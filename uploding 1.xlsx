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095" windowHeight="9435" tabRatio="867" firstSheet="1" activeTab="2"/>
  </bookViews>
  <sheets>
    <sheet name="1. Appendix" sheetId="3" r:id="rId1"/>
    <sheet name="2. Compounding Formula" sheetId="71" r:id="rId2"/>
    <sheet name="3.1 Banks" sheetId="42" r:id="rId3"/>
    <sheet name="3.2 Banks ratio" sheetId="44" r:id="rId4"/>
    <sheet name="3.3 Bank Final" sheetId="47" r:id="rId5"/>
    <sheet name="4.1 Devlop Banks" sheetId="48" r:id="rId6"/>
    <sheet name="4.2 Devlop Bank Ratio" sheetId="49" r:id="rId7"/>
    <sheet name="4.3 Devlop Bank Final" sheetId="50" r:id="rId8"/>
    <sheet name="5.1 Hydropower" sheetId="36" r:id="rId9"/>
    <sheet name="5.2 Hydro ratio" sheetId="40" r:id="rId10"/>
    <sheet name="5.3 Hydro Final" sheetId="39" r:id="rId11"/>
    <sheet name="6.1 Manufacturing" sheetId="62" r:id="rId12"/>
    <sheet name="6.2 Manufacturing Ratio" sheetId="64" r:id="rId13"/>
    <sheet name="6.3 Manufacturing Final" sheetId="65" r:id="rId14"/>
    <sheet name="7.1 Finances" sheetId="54" r:id="rId15"/>
    <sheet name="7.2 Finances Ratio" sheetId="55" r:id="rId16"/>
    <sheet name="7.3 Finance Final" sheetId="56" r:id="rId17"/>
    <sheet name="8.1 Micro-Finance" sheetId="51" r:id="rId18"/>
    <sheet name="8.2 Microfinance Ratio" sheetId="52" r:id="rId19"/>
    <sheet name="8.3 Microfinance Final" sheetId="53" r:id="rId20"/>
    <sheet name="9.1 Insurance" sheetId="30" r:id="rId21"/>
    <sheet name="9.2 Insurance ratio" sheetId="35" r:id="rId22"/>
    <sheet name="9.3 Insurance Final" sheetId="31" r:id="rId23"/>
    <sheet name="10.1 Non-life Insurance" sheetId="59" r:id="rId24"/>
    <sheet name="10.2 Non-life Inc. Ratio" sheetId="60" r:id="rId25"/>
    <sheet name="10.3 Non-life Inc. Final" sheetId="61" r:id="rId26"/>
    <sheet name="11.1 Investment" sheetId="57" r:id="rId27"/>
    <sheet name="11.2 Investment Ratio" sheetId="58" r:id="rId28"/>
    <sheet name="12.1 Others &amp; Trading" sheetId="66" r:id="rId29"/>
    <sheet name="12.2 Others &amp; Trading Ratio" sheetId="67" r:id="rId30"/>
    <sheet name="13.1 Hotel &amp; Tourism" sheetId="68" r:id="rId31"/>
    <sheet name="13.2 Hotel &amp; Tourism Ratio" sheetId="69" r:id="rId32"/>
    <sheet name="13.3 H&amp;T Final" sheetId="70" r:id="rId33"/>
    <sheet name="14. Tools &amp; Checklists" sheetId="27" r:id="rId3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<sst xmlns="http://schemas.openxmlformats.org/spreadsheetml/2006/main" count="4107" uniqueCount="842">
  <si>
    <t>S.N</t>
  </si>
  <si>
    <t>Note</t>
  </si>
  <si>
    <t xml:space="preserve">Operating expenses </t>
  </si>
  <si>
    <t xml:space="preserve"> =</t>
  </si>
  <si>
    <t>General and administrative + advertising</t>
  </si>
  <si>
    <t>Interest expense, net</t>
  </si>
  <si>
    <t>Net Non Operating Interest Income Expense</t>
  </si>
  <si>
    <t>Net income</t>
  </si>
  <si>
    <t>Net Income Common Stockholder</t>
  </si>
  <si>
    <t>Basic EPS</t>
  </si>
  <si>
    <t>Net Income−Preferred Dividends</t>
  </si>
  <si>
    <t>Weighted Average Shares Outstanding</t>
  </si>
  <si>
    <t>Total Expenses</t>
  </si>
  <si>
    <t>Total cost of sales+ General and administrative+ advertising</t>
  </si>
  <si>
    <t>Net Income from Continuing &amp; Discontinuing Operation</t>
  </si>
  <si>
    <t>Selling, General &amp; Administrative Margin</t>
  </si>
  <si>
    <t>Selling also means= Sales &amp; marketing cost.</t>
  </si>
  <si>
    <t>Debt</t>
  </si>
  <si>
    <t>Total current liabilities+ Total long-term liabilities</t>
  </si>
  <si>
    <t>Preferred stocks</t>
  </si>
  <si>
    <t>If not in Balance sheet, it's = 0</t>
  </si>
  <si>
    <t>Treasury stocks</t>
  </si>
  <si>
    <t>Stocks bought back by the company</t>
  </si>
  <si>
    <t>Total Capitalization</t>
  </si>
  <si>
    <t>Long-Term Debt+Shareholders’ Equity</t>
  </si>
  <si>
    <t>Total amount of capital a company has raised to finance its operations and growth</t>
  </si>
  <si>
    <t>Total Debts</t>
  </si>
  <si>
    <t>Short-Term Debt+Long-Term Debt</t>
  </si>
  <si>
    <t>Deferred revenue</t>
  </si>
  <si>
    <t xml:space="preserve">Unearned revenue, is a liability </t>
  </si>
  <si>
    <t>Represents money that a company has received for goods or services that it has yet to deliver or fulfill. Since the company still owes the customer the product or service, it is considered a liability rather than revenue until it is earned.</t>
  </si>
  <si>
    <t>Retained earning</t>
  </si>
  <si>
    <t>Accumulated net profit that are not distributed</t>
  </si>
  <si>
    <t>Amount company keeps to use after paying dividends. It's an equity</t>
  </si>
  <si>
    <t>Book Value (Company)</t>
  </si>
  <si>
    <t>Total Assets−Total Liabilities</t>
  </si>
  <si>
    <t>Company Net worth. Example: If a company's assets are worth $10 million and its liabilities are $4 million, the book value is $6 million.</t>
  </si>
  <si>
    <t>Book Value of Securities</t>
  </si>
  <si>
    <t>Purchase Price+Transaction Costs−Depreciation/Amortization−Impairment</t>
  </si>
  <si>
    <t>Book Value per Share</t>
  </si>
  <si>
    <t>Total Shareholders’ Equity−Preferred Equity</t>
  </si>
  <si>
    <t>Total outstanding Shares</t>
  </si>
  <si>
    <t>Face Value (Par Value)</t>
  </si>
  <si>
    <t>Initial Price Assigned to a Share</t>
  </si>
  <si>
    <t>The face value (or par value) of a company refers to the nominal or original value of a company's shares as stated in the company's charter.</t>
  </si>
  <si>
    <t>Quick current assets</t>
  </si>
  <si>
    <r>
      <rPr>
        <sz val="11"/>
        <color theme="1"/>
        <rFont val="Calibri"/>
        <charset val="134"/>
        <scheme val="minor"/>
      </rPr>
      <t xml:space="preserve">Current assets </t>
    </r>
    <r>
      <rPr>
        <sz val="11"/>
        <color theme="1"/>
        <rFont val="Aptos Narrow"/>
        <charset val="134"/>
      </rPr>
      <t>―</t>
    </r>
    <r>
      <rPr>
        <sz val="11"/>
        <color theme="1"/>
        <rFont val="Calibri"/>
        <charset val="134"/>
        <scheme val="minor"/>
      </rPr>
      <t xml:space="preserve"> (Inventrories + Prepaid expenses)</t>
    </r>
  </si>
  <si>
    <t>Capex (Capital Expenditures)</t>
  </si>
  <si>
    <t>Change in PP&amp;E + Depreciation</t>
  </si>
  <si>
    <r>
      <rPr>
        <b/>
        <sz val="11"/>
        <color theme="1"/>
        <rFont val="Calibri"/>
        <charset val="134"/>
        <scheme val="minor"/>
      </rPr>
      <t>Capex</t>
    </r>
    <r>
      <rPr>
        <sz val="11"/>
        <color theme="1"/>
        <rFont val="Calibri"/>
        <charset val="134"/>
        <scheme val="minor"/>
      </rPr>
      <t xml:space="preserve"> represent the money a company spends on acquiring, upgrading, or maintaining physical assets such as property, plants, and equipment (PP&amp;E)</t>
    </r>
  </si>
  <si>
    <t>Free cash flow (FCF)</t>
  </si>
  <si>
    <t>Operating Cash Flow − Capex</t>
  </si>
  <si>
    <t>Capex=  Purchases of property, plant and equipment - Disposal of PPE (if any)</t>
  </si>
  <si>
    <t>Total Operating Expenses</t>
  </si>
  <si>
    <t>Cost of Goods Sold (COGS) + Selling, General &amp; Administrative Expenses (SG&amp;A) + Other Operating Costs</t>
  </si>
  <si>
    <t>Operating cost = Cost of sales+ Operating expenses</t>
  </si>
  <si>
    <t>Average Inventory for Year</t>
  </si>
  <si>
    <t>Beginning Inventory of this year + Ending Inventory of last year</t>
  </si>
  <si>
    <t>Accrued and other current liabilities</t>
  </si>
  <si>
    <t>Is not included while calculation "Debt"</t>
  </si>
  <si>
    <t>Total Debt</t>
  </si>
  <si>
    <t>Short-term debt (e.g., bank loans, commercial paper)
Long-term debt (e.g., bonds, loans, mortgages)
Current portion of long-term debt (if applicable)</t>
  </si>
  <si>
    <t xml:space="preserve">Operating Income </t>
  </si>
  <si>
    <t>Gross Margin - Operating Expenses</t>
  </si>
  <si>
    <t xml:space="preserve">RWA (Risk-Weighted Assets) </t>
  </si>
  <si>
    <t xml:space="preserve">Earning Per Share (EPS) </t>
  </si>
  <si>
    <t>Earning in that year</t>
  </si>
  <si>
    <t>Total number of share</t>
  </si>
  <si>
    <t>Nepal Fisical Year Calender</t>
  </si>
  <si>
    <t>1st Quarter (Q1): Shrawan - Ashoj</t>
  </si>
  <si>
    <t>2nd Quater (Q2): Kartik - Poush</t>
  </si>
  <si>
    <t>3rd Quater (Q3): Magh - Chaitra</t>
  </si>
  <si>
    <t>4th Quater (Q4): Baishak - Ashad</t>
  </si>
  <si>
    <t>How to calculate Earning per Year?</t>
  </si>
  <si>
    <t>If the report is Q1, multiply it with x4</t>
  </si>
  <si>
    <t>If the report is Q2, multiply it with x2</t>
  </si>
  <si>
    <t>If the report is Q3, multiply by 1.333 (or divide it with 3 then multiply it with 4)</t>
  </si>
  <si>
    <t>If the report is Q4, no need to multiply</t>
  </si>
  <si>
    <t>PEG ratio</t>
  </si>
  <si>
    <t>P/E ratio</t>
  </si>
  <si>
    <t>Earning growth rate</t>
  </si>
  <si>
    <t>Earning Growth Rate</t>
  </si>
  <si>
    <t>EPS this year ― EPS last year</t>
  </si>
  <si>
    <t>EPS previous year</t>
  </si>
  <si>
    <t>Dividend capacity</t>
  </si>
  <si>
    <t>Dividend paid per year</t>
  </si>
  <si>
    <t>A</t>
  </si>
  <si>
    <t>Commercial bank</t>
  </si>
  <si>
    <t>B</t>
  </si>
  <si>
    <t>Development bank</t>
  </si>
  <si>
    <t>C</t>
  </si>
  <si>
    <t>Finance companies</t>
  </si>
  <si>
    <t>D</t>
  </si>
  <si>
    <t>Micro-finance companies</t>
  </si>
  <si>
    <t>Return of Equity (ROE)</t>
  </si>
  <si>
    <t xml:space="preserve">Company generating Nrs. X amount by using share holders Nrs. 100 invested; Higher the better i.e &gt; 10%. </t>
  </si>
  <si>
    <t>Less than 10% can be received from FD on bank</t>
  </si>
  <si>
    <t xml:space="preserve">Convert Quaterly net income to annual income. </t>
  </si>
  <si>
    <t xml:space="preserve">Equity is taken as is from quaterly report. DO NOT multiply it with any number. </t>
  </si>
  <si>
    <t>Share capital</t>
  </si>
  <si>
    <t>Number of share x 100</t>
  </si>
  <si>
    <t xml:space="preserve">Number of share </t>
  </si>
  <si>
    <t>Dividend is based on face value</t>
  </si>
  <si>
    <t>Dividend is declared based on the face value (also called par value) of the share, not on the current market price.</t>
  </si>
  <si>
    <t>Dividend yield is based on market price.</t>
  </si>
  <si>
    <t>Dividend paid on the face value of the company. For example, if the face value of the company is $100 per share, but stock price is now $500. Let's say the dividend is paid $10 per share. In general it's said $10 dividend is 10% based on the par value, but in actual it is only 2% based on the current stock price, which is $500.</t>
  </si>
  <si>
    <t>Group companies</t>
  </si>
  <si>
    <t>Subsidiary company + Associate company + Nabil bank</t>
  </si>
  <si>
    <t>Subsidiary company</t>
  </si>
  <si>
    <t xml:space="preserve">If parent or holding company own and control 50% + </t>
  </si>
  <si>
    <t>Associate company</t>
  </si>
  <si>
    <t>If parent or holding company own and control 20 - 40%</t>
  </si>
  <si>
    <t>Bank</t>
  </si>
  <si>
    <t>Nabil bank only</t>
  </si>
  <si>
    <t>Liquid Assets to Deposit Ratio (LD ratio)</t>
  </si>
  <si>
    <t>Liquid Assets</t>
  </si>
  <si>
    <t>X 100</t>
  </si>
  <si>
    <t xml:space="preserve">Total Deposits
</t>
  </si>
  <si>
    <t>Assets</t>
  </si>
  <si>
    <t>Liability + Equity</t>
  </si>
  <si>
    <t>Equity</t>
  </si>
  <si>
    <t xml:space="preserve">Assets ― Liability </t>
  </si>
  <si>
    <t>Available Solvency Capital</t>
  </si>
  <si>
    <t>≈</t>
  </si>
  <si>
    <t>Total Assets − Total Liability= Equity</t>
  </si>
  <si>
    <t>Solvency Margin Ratio</t>
  </si>
  <si>
    <t>Higher % = stronger financial stability</t>
  </si>
  <si>
    <t>Current amount</t>
  </si>
  <si>
    <t>Final amount</t>
  </si>
  <si>
    <t>Total amount contributed</t>
  </si>
  <si>
    <t>Annual return</t>
  </si>
  <si>
    <t>How many years invested?</t>
  </si>
  <si>
    <t>Additional deposit (yearly)</t>
  </si>
  <si>
    <t>Years</t>
  </si>
  <si>
    <t>Amount</t>
  </si>
  <si>
    <t>Commercial Banks</t>
  </si>
  <si>
    <t>1. Nabil Bank Ltd (NABIL)</t>
  </si>
  <si>
    <t>2. Global IME Bank Limited ( GBIME )</t>
  </si>
  <si>
    <t>3. Everest Bank Limited ( EBL )</t>
  </si>
  <si>
    <t>4. Nepal Investment Mega Bank (NIMB)</t>
  </si>
  <si>
    <t>5. Standard Chartered Bank Nepal (SCB)</t>
  </si>
  <si>
    <t>6. NIC Asia Bank Limited ( NICA )</t>
  </si>
  <si>
    <t>7. Laxmi Sunrise Bank Limited ( LSL )</t>
  </si>
  <si>
    <t>8. Kumari Bank Limited ( KBL )</t>
  </si>
  <si>
    <t>9. Siddhartha Bank Limited ( SBL )</t>
  </si>
  <si>
    <t>10. Prime Commercial Bank Ltd (PCBL)</t>
  </si>
  <si>
    <t>11. Prabhu Bank Limited ( PRVU )</t>
  </si>
  <si>
    <t>12. Himalayan Bank Limited ( HBL )</t>
  </si>
  <si>
    <t>13. Sanima Bank Limited ( SANIMA )</t>
  </si>
  <si>
    <t>14. NMB Bank Limited ( NMB )</t>
  </si>
  <si>
    <t>15. Nepal SBI Bank Limited ( SBI )</t>
  </si>
  <si>
    <t>16. Agricultural Dev Bank Ltd ( ADBL )</t>
  </si>
  <si>
    <t>17. Nepal Bank Limited ( NBL )</t>
  </si>
  <si>
    <t>18. Citizens Bank International Ltd (CZBIL)</t>
  </si>
  <si>
    <t>19. Machhapuchchhre Bank Ltd ( MBL )</t>
  </si>
  <si>
    <t>Formula</t>
  </si>
  <si>
    <t>Ratios</t>
  </si>
  <si>
    <t>Condition</t>
  </si>
  <si>
    <t>Value input 1</t>
  </si>
  <si>
    <t>Value input 2</t>
  </si>
  <si>
    <t>Result</t>
  </si>
  <si>
    <t>Net Earning</t>
  </si>
  <si>
    <t>(+ve) &gt; 1</t>
  </si>
  <si>
    <t>No. of Share</t>
  </si>
  <si>
    <t>last yr in loss</t>
  </si>
  <si>
    <t>double check eps</t>
  </si>
  <si>
    <t>Price to Earning (P/E) Ratio</t>
  </si>
  <si>
    <t>Share price</t>
  </si>
  <si>
    <t>~20</t>
  </si>
  <si>
    <t>Earning per share</t>
  </si>
  <si>
    <t>Net Profit Growth (YoY)</t>
  </si>
  <si>
    <t>This year ― Last year</t>
  </si>
  <si>
    <t>Growing</t>
  </si>
  <si>
    <t>Equity Growth (YoY)</t>
  </si>
  <si>
    <t>This year ―  Last year</t>
  </si>
  <si>
    <t>&gt; 10%</t>
  </si>
  <si>
    <t>Total Equity</t>
  </si>
  <si>
    <t>Lending Growth (%)</t>
  </si>
  <si>
    <t>Credit growth</t>
  </si>
  <si>
    <t xml:space="preserve">Deposit Growth (%) </t>
  </si>
  <si>
    <t>Net Worth Per Share</t>
  </si>
  <si>
    <t>&gt; 100</t>
  </si>
  <si>
    <t>Price to Book (P/B) Ratio</t>
  </si>
  <si>
    <t>Share Price</t>
  </si>
  <si>
    <t>1--3</t>
  </si>
  <si>
    <t>Book value per share</t>
  </si>
  <si>
    <t>Dividend Yield</t>
  </si>
  <si>
    <t>Dividend per share</t>
  </si>
  <si>
    <t>NO DIVIDENT</t>
  </si>
  <si>
    <t>Current share price</t>
  </si>
  <si>
    <t>no Div</t>
  </si>
  <si>
    <t>no recent Div</t>
  </si>
  <si>
    <t>Capital Fund to RWA</t>
  </si>
  <si>
    <t>Capital Adequacy Ratio (CAR)</t>
  </si>
  <si>
    <t>&gt; 11%</t>
  </si>
  <si>
    <t>13.o3</t>
  </si>
  <si>
    <t>Non-Performing Loan (NPL) Ratio</t>
  </si>
  <si>
    <t>This year Vs Last year</t>
  </si>
  <si>
    <t>&lt; 5%</t>
  </si>
  <si>
    <t>Credit to Deposit Ratio (CD Ratio)</t>
  </si>
  <si>
    <t>Total Loan/ Total Deposit</t>
  </si>
  <si>
    <t>80 - 88%</t>
  </si>
  <si>
    <t>Total Assets per Share</t>
  </si>
  <si>
    <t>Total assets</t>
  </si>
  <si>
    <t>Particulars</t>
  </si>
  <si>
    <t>Description</t>
  </si>
  <si>
    <t>The percentage of total capital (Tier 1 + Tier 2) the bank holds compared to its risk-weighted assets. Also known as the Capital Adequacy Ratio (CAR).</t>
  </si>
  <si>
    <t>Tier-1 Capital to RWA</t>
  </si>
  <si>
    <t>The core equity capital (like paid-up capital and retained earnings) as a percentage of risk-weighted assets. Shows the bank’s core financial strength.</t>
  </si>
  <si>
    <t>CET-1 Capital to RWA</t>
  </si>
  <si>
    <t>Common Equity Tier 1 capital (the highest quality capital) compared to RWA. Reflects the most loss-absorbing capital.</t>
  </si>
  <si>
    <t>Gross Non-Performing Loan (NPL) to Total Loan</t>
  </si>
  <si>
    <t>Percentage of total loans that are overdue and classified as non-performing.</t>
  </si>
  <si>
    <t>Net Non-Performing Loan (NPL) to Total Loan</t>
  </si>
  <si>
    <t>NPLs after deducting provisions, showing the actual credit risk exposure.</t>
  </si>
  <si>
    <t>Total Loan Loss Provision to Total NPL</t>
  </si>
  <si>
    <t>How much provision (buffer) the bank has made to cover bad loans. If it's 100%, the NPLs are fully covered.</t>
  </si>
  <si>
    <t>Costs of Funds</t>
  </si>
  <si>
    <t>The average interest the bank pays to raise money from deposits or borrowings.</t>
  </si>
  <si>
    <t>Shows how much of the bank’s deposits are used for lending. A higher ratio means more aggressive lending.</t>
  </si>
  <si>
    <t>Base Rate (3 Months Average)</t>
  </si>
  <si>
    <t>The minimum interest rate a bank can charge for loans, averaged over 3 months.</t>
  </si>
  <si>
    <t>Interest Rate Spread</t>
  </si>
  <si>
    <t>The difference between the lending rate and deposit rate. It shows the gross profit margin from lending.</t>
  </si>
  <si>
    <t>Return on Equity (Annualized)</t>
  </si>
  <si>
    <t>How much profit the bank generates for every rupee of shareholder equity in a year.</t>
  </si>
  <si>
    <t>Return on Assets (Annualized)</t>
  </si>
  <si>
    <t>Shows how efficiently the bank uses its total assets to generate net profit annually.</t>
  </si>
  <si>
    <t>RWA</t>
  </si>
  <si>
    <t>Risk-Weighted Assets</t>
  </si>
  <si>
    <t>Nepal Commercial Banks</t>
  </si>
  <si>
    <t>Ranking</t>
  </si>
  <si>
    <t>&gt; 20</t>
  </si>
  <si>
    <t>&lt; 25</t>
  </si>
  <si>
    <t>&gt; 10</t>
  </si>
  <si>
    <t>&gt; 5</t>
  </si>
  <si>
    <t>&lt; 3</t>
  </si>
  <si>
    <t>&gt; 1</t>
  </si>
  <si>
    <t>&lt; 5</t>
  </si>
  <si>
    <t>80 -88</t>
  </si>
  <si>
    <t>1. Everest Bank Limited (EBL)</t>
  </si>
  <si>
    <t>Checkpoint</t>
  </si>
  <si>
    <t>Question to Ask</t>
  </si>
  <si>
    <t>2082 (Q3)</t>
  </si>
  <si>
    <t>Total Revenue Growth</t>
  </si>
  <si>
    <t>Is revenue growing every year?</t>
  </si>
  <si>
    <t>Yes</t>
  </si>
  <si>
    <t>Positive Operating Income (EBIT)</t>
  </si>
  <si>
    <t>Is core business profitable (positive)?</t>
  </si>
  <si>
    <t>Net Income Positive</t>
  </si>
  <si>
    <t>Is net income positive?</t>
  </si>
  <si>
    <t>Net Profit Margin Healthy (%)</t>
  </si>
  <si>
    <t>Is gross margin high and stable? (&gt; 20% ideal)</t>
  </si>
  <si>
    <t>Net Profit/ Total Income</t>
  </si>
  <si>
    <t>Earnings Per Share (EPS) Growing</t>
  </si>
  <si>
    <t>Is EPS rising year over year?</t>
  </si>
  <si>
    <t>Price per Earning (P/E) ratio</t>
  </si>
  <si>
    <t xml:space="preserve">Is P/E right, if more than 20-25: stock price could be overvalued. </t>
  </si>
  <si>
    <t>No One-time Gains</t>
  </si>
  <si>
    <t>Are profits coming from real operations, not one-time items?</t>
  </si>
  <si>
    <t>Low or Manageable Interest Expenses</t>
  </si>
  <si>
    <t>Is debt manageable compared to profits?</t>
  </si>
  <si>
    <t>Consistency for 5+ Years</t>
  </si>
  <si>
    <t>Are profits and revenues steady over multiple years?</t>
  </si>
  <si>
    <t>Industry Comparison</t>
  </si>
  <si>
    <t>Is the company performing better than competitors?</t>
  </si>
  <si>
    <t>2. Nabil Bank Limited (NABIL)</t>
  </si>
  <si>
    <t>Development Banks</t>
  </si>
  <si>
    <t>1. Muktinath Bikas Bank Ltd (MNBBL)</t>
  </si>
  <si>
    <t>2. Garima Bikas Bank Limited (GBBL)</t>
  </si>
  <si>
    <t>3. Shine Resunga Dev Bank Ltd ( SHINE )</t>
  </si>
  <si>
    <t>4. Lumbini Bikas Bank Limited ( LBBL )</t>
  </si>
  <si>
    <t>5. Kamana Sewa Bikas Bank Ltd ( KSBBL )</t>
  </si>
  <si>
    <t>6. Mahalaxmi Bikas Bank Ltd (MLBL)</t>
  </si>
  <si>
    <t>7. Shangrila Dev Bank Ltd (SADBL)</t>
  </si>
  <si>
    <t>8. Jyoti Bikash Bank Limited ( JBBL )</t>
  </si>
  <si>
    <t>9. Corporate Dev Bank Ltd ( CORBL )</t>
  </si>
  <si>
    <t>10. Excel Development Bank Ltd ( EDBL )</t>
  </si>
  <si>
    <t>11. Miteri Development Bank Ltd (MDB)</t>
  </si>
  <si>
    <t>12. Saptakoshi Dev Bank Ltd (SAPDBL)</t>
  </si>
  <si>
    <t>13. Green Development Bank Ltd (GRDBL)</t>
  </si>
  <si>
    <t>14. Sindhu Bikas Bank Limited</t>
  </si>
  <si>
    <t>15. Narayani Develop Bank Ltd (NABBC)</t>
  </si>
  <si>
    <t>16. Karnali Development Bank Ltd. (KRBL)</t>
  </si>
  <si>
    <t>Acct. tricks</t>
  </si>
  <si>
    <t>History of losses</t>
  </si>
  <si>
    <t>Only Q4s big profitable</t>
  </si>
  <si>
    <t>Sinking soon</t>
  </si>
  <si>
    <t>No further report after Q1 2081</t>
  </si>
  <si>
    <t>Values not calculated below this</t>
  </si>
  <si>
    <t>values not calcualted below this</t>
  </si>
  <si>
    <t>low net worth</t>
  </si>
  <si>
    <t>eating its networth</t>
  </si>
  <si>
    <t>Decreasing</t>
  </si>
  <si>
    <t>very low net worth</t>
  </si>
  <si>
    <t>Have some</t>
  </si>
  <si>
    <t>no recent Div.</t>
  </si>
  <si>
    <t>Liquidity ratio</t>
  </si>
  <si>
    <t>Liquid Assets</t>
  </si>
  <si>
    <t>&gt; 20%</t>
  </si>
  <si>
    <t>Total Deposits</t>
  </si>
  <si>
    <t>Results</t>
  </si>
  <si>
    <t>&gt; 15</t>
  </si>
  <si>
    <t>Total Income</t>
  </si>
  <si>
    <t>Net Operating Income (EBIT)</t>
  </si>
  <si>
    <t>Hydropower Companies</t>
  </si>
  <si>
    <t>1. Chilime Hydropower Company</t>
  </si>
  <si>
    <t>2. Upper Tamakoshi Hydropower</t>
  </si>
  <si>
    <t>3. Butwal Power Company</t>
  </si>
  <si>
    <t>4. Sahas Urja Limited</t>
  </si>
  <si>
    <t>5. Sanima Mai Hydropower</t>
  </si>
  <si>
    <t>6. Super Madi Hydropower</t>
  </si>
  <si>
    <t>7. Rasuwagadhi Hydropower Company</t>
  </si>
  <si>
    <t>8. Madhya Bhotekoshi Jalavidyut</t>
  </si>
  <si>
    <t>9. Api Power Company</t>
  </si>
  <si>
    <t>10. Sanima Middle Tamor Hydropower</t>
  </si>
  <si>
    <t>11. Green Ventures Limited ( GVL )</t>
  </si>
  <si>
    <t>12. Peoples Hydropower Company Ltd (PHCL)</t>
  </si>
  <si>
    <t>13. Mountain Energy Nepal Ltd (MEN)</t>
  </si>
  <si>
    <t>14. Radhi Bidyut Company Ltd (RADHI)</t>
  </si>
  <si>
    <t>15. Ngadi Group Power Limited (NGPL)</t>
  </si>
  <si>
    <t>16. Mandu Hydropower Ltd (MANDU)</t>
  </si>
  <si>
    <t>17. Sanjen Jalavidhyut Company Ltd (SJCL)</t>
  </si>
  <si>
    <t>18. Vision Lumbini Urja Company (VLUCL)</t>
  </si>
  <si>
    <t>19. Arun Valley Hydropower Development ( AHPC )</t>
  </si>
  <si>
    <t>20. Arun Kabeli Power Limited (AKPL)</t>
  </si>
  <si>
    <t>21. Universal Power Company Ltd (UPCL)</t>
  </si>
  <si>
    <t>22. Modi Energy Limited (MEL)</t>
  </si>
  <si>
    <t>23. Trishuli Jal Vidhyut Company (TVCL)</t>
  </si>
  <si>
    <t>24. Singati Hydro Energy Limited (SHEL)</t>
  </si>
  <si>
    <t>25. Balephi Hydropower Limited ( BHL )</t>
  </si>
  <si>
    <t>26. Sikles Hydropower Limited ( SIKLES )</t>
  </si>
  <si>
    <t>27. Nyadi Hydropower Limited ( NYADI )</t>
  </si>
  <si>
    <t>28. United Modi Hydropower Ltd ( UMHL )</t>
  </si>
  <si>
    <t>29. Mid Solu Hydropower Company ( MSHL )</t>
  </si>
  <si>
    <t>30. Bhagawati Hydropower Development (BGWT)</t>
  </si>
  <si>
    <t>31. Dordi Khola Hydropower ( DORDI )</t>
  </si>
  <si>
    <t>32. Swet-Ganga Hydro &amp; Construction (SGHC)</t>
  </si>
  <si>
    <t>33. Sagarmatha Jalbidhyut Company ( SMJC )</t>
  </si>
  <si>
    <t>34. Mathillo Mailun Khola Jalvidhyut (MMKJL)</t>
  </si>
  <si>
    <t>35. Ridi Power Company Limited ( RIDI )</t>
  </si>
  <si>
    <t>36. Upper Solu Hydro Electric Comp ( USHEC )</t>
  </si>
  <si>
    <t>37. Himal Dolakha Hydropower Comp (HDHPC)</t>
  </si>
  <si>
    <t>38. Bindhyabasini Hydropower Dev Comp (BHDC)</t>
  </si>
  <si>
    <t>39. Himalayan Power Partner Limited (HPPL)</t>
  </si>
  <si>
    <t>40. National Hydro Power Company ( NHPC )</t>
  </si>
  <si>
    <t>41. Kalika Power Company Limited ( KPCL )</t>
  </si>
  <si>
    <t>42. Himalaya Urja Bikas Company (HURJA)</t>
  </si>
  <si>
    <t>43. Synergy Power Development Ltd (SPDL)</t>
  </si>
  <si>
    <t>44. Liberty Energy Company Limited ( LEC )</t>
  </si>
  <si>
    <t>45. Barun Hydropower Company ( BARUN )</t>
  </si>
  <si>
    <t>46. Greenlife Hydropower Limited ( GLH )</t>
  </si>
  <si>
    <t>47. Makar Jitumaya Suri Hydropower (MAKAR)</t>
  </si>
  <si>
    <t>48. Supermai Hydropower Limited ( SMH )</t>
  </si>
  <si>
    <t>49. River Falls Power Limited ( RFPL )</t>
  </si>
  <si>
    <t>50. Himalayan Hydropower Limited ( HHL )</t>
  </si>
  <si>
    <t>51. Ankhukhola Hydropower Com Ltd (AKJCL)</t>
  </si>
  <si>
    <t>52. Ghalemdi Hydro Limited ( GHL )</t>
  </si>
  <si>
    <t>53. Maya Khola Hydropower Comp Ltd (MKHC)</t>
  </si>
  <si>
    <t>54. Rapti Hydro &amp; General Contst. Ltd (RHGCL)</t>
  </si>
  <si>
    <t>55. Panchakanya Mai Hydropower Ltd ( PMHPL )</t>
  </si>
  <si>
    <t>56. Ru Ru Jalbidhyut Pariyojana Ltd (RURU)</t>
  </si>
  <si>
    <t>57. Mandakini Hydropower Limited (MHL)</t>
  </si>
  <si>
    <t>58. People's Power Limited (PPL)</t>
  </si>
  <si>
    <t>59. Bhugol Energy Development Comp (BEDC)</t>
  </si>
  <si>
    <t>60. Shiva Shree Hydropower Limited ( SSHL )</t>
  </si>
  <si>
    <t>61. Molung Hydropower Company Ltd ( MHCL )</t>
  </si>
  <si>
    <t>62. Mai Khola Hydropower Limited ( MKHL )</t>
  </si>
  <si>
    <t>63. Eastern Hydropower Limited ( EHPL )</t>
  </si>
  <si>
    <t>64. Panchthar Power Company Ltd (PPCL)</t>
  </si>
  <si>
    <t>65. Manakamana Engineering Hydro Ltd (MEHL)</t>
  </si>
  <si>
    <t>66. Ingwa Hydropower Ltd ( IHL )</t>
  </si>
  <si>
    <t>67. Three Star Hydropower Ltd (TSHL)</t>
  </si>
  <si>
    <t>68. Mountain Hydro Nepal Ltd (MHNL)</t>
  </si>
  <si>
    <t>69. Terhathum Power Company Ltd (TPC)</t>
  </si>
  <si>
    <t>70. Dolti Power Company Ltd (DOLTI)</t>
  </si>
  <si>
    <t>71. Union Hydropower Limited (UNHPL)</t>
  </si>
  <si>
    <t>72. Menchhiyam Hydropower Ltd (MCHL)</t>
  </si>
  <si>
    <t>73. United Idi-Mardi and R.B. Hydro Ltd (UMRH)</t>
  </si>
  <si>
    <t>74. Upper Hewakhola Hydro Comp (UHEWA)</t>
  </si>
  <si>
    <t>75. Chirkhwa Hydro Power Limited (CKHL)</t>
  </si>
  <si>
    <t>76. Khani Khola Hydropower Comp Ltd (KKHC)</t>
  </si>
  <si>
    <t>77. Nepal Hydro Developer Ltd (NHDL)</t>
  </si>
  <si>
    <t>78. Kutheli Bukhari Small Hydropower Ltd (KBSH)</t>
  </si>
  <si>
    <t>79. Samling Power Company Limited (SPC)</t>
  </si>
  <si>
    <t>80. Chhyangdi Hydropower Comp Ltd (CHL)</t>
  </si>
  <si>
    <t>81. Upper Lohore Khola HydroComp Ltd (ULHC)</t>
  </si>
  <si>
    <t>82. Rawa Energy Development Ltd. (RAWA)</t>
  </si>
  <si>
    <t>83. Asian Hydropower Limited ( AHL )</t>
  </si>
  <si>
    <t>84. Joshi Hydropower Dev Comp Ltd (JOSHI)</t>
  </si>
  <si>
    <t>85. Buddha Bhumi Nepal Hydro Com Ltd (BNHC)</t>
  </si>
  <si>
    <t>86. Mailung Khola Jal Vidhyut Comp Ltd (MKJC)</t>
  </si>
  <si>
    <t>87. Sayapatri Hydropower Limited (SPHL)</t>
  </si>
  <si>
    <t>88. Barahi Hydropower Public Ltd (BHPL)</t>
  </si>
  <si>
    <t>89. Shuvam Power Limited (SPL)</t>
  </si>
  <si>
    <t>90. Upper Syange Hydro Ltd (USHL)</t>
  </si>
  <si>
    <t>91. Dibyashwari Hydrop Comp Ltd (DHPL)</t>
  </si>
  <si>
    <t>in loss last yr</t>
  </si>
  <si>
    <t>multiple yr loss</t>
  </si>
  <si>
    <t>no revenue</t>
  </si>
  <si>
    <t>very low numbers</t>
  </si>
  <si>
    <t>multiple year loss</t>
  </si>
  <si>
    <t>history of losses</t>
  </si>
  <si>
    <t>Sinking ship</t>
  </si>
  <si>
    <t>low book value</t>
  </si>
  <si>
    <t>low numbers</t>
  </si>
  <si>
    <t>paying lot in interest</t>
  </si>
  <si>
    <t>high interest payment</t>
  </si>
  <si>
    <t>multiple year in loss</t>
  </si>
  <si>
    <t>Multiple year in loss</t>
  </si>
  <si>
    <t>multi year loss</t>
  </si>
  <si>
    <t>multiple years in loss</t>
  </si>
  <si>
    <t>Very high borrowings</t>
  </si>
  <si>
    <t>low book value (73.52)</t>
  </si>
  <si>
    <t>low book value (90.85)</t>
  </si>
  <si>
    <t>low book value (89.91)</t>
  </si>
  <si>
    <t>low book value (67.73)</t>
  </si>
  <si>
    <t>low book value (60.96)</t>
  </si>
  <si>
    <t>low book value (14.32)</t>
  </si>
  <si>
    <t>good but high stock price</t>
  </si>
  <si>
    <t>bearly profitable</t>
  </si>
  <si>
    <t>Decent but high stocks price</t>
  </si>
  <si>
    <t>Decent but high stock price</t>
  </si>
  <si>
    <t>low book value (55.29)</t>
  </si>
  <si>
    <t>low book value (51.54)</t>
  </si>
  <si>
    <t>low book value (4.53)</t>
  </si>
  <si>
    <t>below numbers are not calculated</t>
  </si>
  <si>
    <t>below values are not calculated</t>
  </si>
  <si>
    <t>values not caluculated below this</t>
  </si>
  <si>
    <t>Value not calculated below this</t>
  </si>
  <si>
    <t>Values not calcualte below this</t>
  </si>
  <si>
    <t>Values not calculatd below this</t>
  </si>
  <si>
    <t>Values not calculted below this</t>
  </si>
  <si>
    <t>values not calculated below this</t>
  </si>
  <si>
    <t>value not calculated below this</t>
  </si>
  <si>
    <t>No futher calculation after this</t>
  </si>
  <si>
    <t>No futher calcualtion below this</t>
  </si>
  <si>
    <t>Net Profit Margin</t>
  </si>
  <si>
    <t>Net Profit</t>
  </si>
  <si>
    <t>Total Sales (Revenue)</t>
  </si>
  <si>
    <t>2 incomes</t>
  </si>
  <si>
    <t>seasonal income</t>
  </si>
  <si>
    <t>0 revenue</t>
  </si>
  <si>
    <t>Growing YoY</t>
  </si>
  <si>
    <t>equity decreasing</t>
  </si>
  <si>
    <t xml:space="preserve"> </t>
  </si>
  <si>
    <t>low RoE</t>
  </si>
  <si>
    <t>Debt to Equity Ratio</t>
  </si>
  <si>
    <t>&lt; 1</t>
  </si>
  <si>
    <t>Total Shareholder Equity</t>
  </si>
  <si>
    <t>Nice example of Debt</t>
  </si>
  <si>
    <t>low D/E</t>
  </si>
  <si>
    <t>high debt</t>
  </si>
  <si>
    <t>high D/E</t>
  </si>
  <si>
    <t>tricky table</t>
  </si>
  <si>
    <t>Liquidity Ratio</t>
  </si>
  <si>
    <t>Current Assets</t>
  </si>
  <si>
    <t>Current Liability</t>
  </si>
  <si>
    <t>Show the CA</t>
  </si>
  <si>
    <t>Debt Terms</t>
  </si>
  <si>
    <t>Term Loan/ Long-term Loan/ Financial liability/ Loan</t>
  </si>
  <si>
    <t>Other financial Liability/ Borrowings/ Secured loan/ Unsecured loan</t>
  </si>
  <si>
    <t>Current Portion of Long-term Loan</t>
  </si>
  <si>
    <t>Rating</t>
  </si>
  <si>
    <t>&lt; 40</t>
  </si>
  <si>
    <t>&gt; 25</t>
  </si>
  <si>
    <t>&lt; 4</t>
  </si>
  <si>
    <t>&lt; 1.5</t>
  </si>
  <si>
    <t>1. Sahas Urja Limited (SAHAS)</t>
  </si>
  <si>
    <t>2081 (Q3)</t>
  </si>
  <si>
    <t>N/A</t>
  </si>
  <si>
    <t>2. Mountain Energy Nepal (MEN)</t>
  </si>
  <si>
    <t>3. Arun Valley Hydropower Development Company (AHPC)</t>
  </si>
  <si>
    <t>Manufacturing and Processing</t>
  </si>
  <si>
    <t>1. Sarbottam Cement Limited ( SARBTM )</t>
  </si>
  <si>
    <t>2. Unilever Nepal Limited ( UNL )</t>
  </si>
  <si>
    <t>3. Himalayan Distillery Limited ( HDL )</t>
  </si>
  <si>
    <t>4. Shivam Cements Limited ( SHIVM )</t>
  </si>
  <si>
    <t>5. Bottlers Nepal Limited (Balaju) ( BNL )</t>
  </si>
  <si>
    <t>6. Ghorahi Cement Industry Ltd ( GCIL )</t>
  </si>
  <si>
    <t>7. Bottlers Nepal (Terai) Limited ( BNT )</t>
  </si>
  <si>
    <t>8. Sonapur Minerals and Oil ( SONA )</t>
  </si>
  <si>
    <t>9. Om Megashree Pharmaceuticals (OMPL)</t>
  </si>
  <si>
    <t>11. Nepal Lube Oil Limited ( NLO )</t>
  </si>
  <si>
    <t>matches Nepali paisa calc</t>
  </si>
  <si>
    <t>Q2 report</t>
  </si>
  <si>
    <t>Gross Profit margin</t>
  </si>
  <si>
    <t>Gross Profit</t>
  </si>
  <si>
    <t>&gt; 30%</t>
  </si>
  <si>
    <t xml:space="preserve"> Revenue</t>
  </si>
  <si>
    <t>COGS</t>
  </si>
  <si>
    <t>This year vs Last year</t>
  </si>
  <si>
    <t>(-added)</t>
  </si>
  <si>
    <t>Big loss last year</t>
  </si>
  <si>
    <t xml:space="preserve">Interest Coverage Ratio </t>
  </si>
  <si>
    <t>EBIT</t>
  </si>
  <si>
    <t>&gt; 3 safe
&lt; 1 risky</t>
  </si>
  <si>
    <t>Interest Expense</t>
  </si>
  <si>
    <t>PBT</t>
  </si>
  <si>
    <t>Interest too high</t>
  </si>
  <si>
    <t>Receivable Days</t>
  </si>
  <si>
    <t>Receivables              x 365</t>
  </si>
  <si>
    <t>&lt; 30 best
&gt; 90 poor</t>
  </si>
  <si>
    <t>Revenue</t>
  </si>
  <si>
    <t>sales not on credit</t>
  </si>
  <si>
    <t>Appendix</t>
  </si>
  <si>
    <t>Revenue – COGS</t>
  </si>
  <si>
    <t>Cost of goods sold/ cost of revenue/ cost of sales/ cost of material consumed*</t>
  </si>
  <si>
    <t>(includes)</t>
  </si>
  <si>
    <t>Raw Materials Consumed+ Direct Labor+ Manufacturing Overheads</t>
  </si>
  <si>
    <t>Gross Profit</t>
  </si>
  <si>
    <t>Cost of Material Consumed (COGS) under Operating Expenses and does not have “COGS” line</t>
  </si>
  <si>
    <t>Revenue – Cost of Material Consumed</t>
  </si>
  <si>
    <t>Measures how easily a company can pay interest on its debt from its operating profits</t>
  </si>
  <si>
    <t>Finance Cost</t>
  </si>
  <si>
    <t>Operating Expenses</t>
  </si>
  <si>
    <t>Administrative: Rent for office buildings, Utilities (electricity, water), Office supplies, Insurance
Selling &amp; Distribution: Marketing, advertising, promotion, commission
General Business Running Costs: Depreciation of office equipment &amp; buildings, Repairs &amp; maintenance</t>
  </si>
  <si>
    <t xml:space="preserve"> Operating Profit</t>
  </si>
  <si>
    <t>Earnings Before Interest &amp; Taxes</t>
  </si>
  <si>
    <t>Finance Cost included in Operating Expenses</t>
  </si>
  <si>
    <t>Cannot directly use Operating Profit as EBIT</t>
  </si>
  <si>
    <t>EBIT= PBT + Finance Cost</t>
  </si>
  <si>
    <t xml:space="preserve">Profit Before Tax </t>
  </si>
  <si>
    <t xml:space="preserve">Receivable Days </t>
  </si>
  <si>
    <t>Trade Receivable</t>
  </si>
  <si>
    <t>Days on average it takes for the company to collect cash from customers after making sales</t>
  </si>
  <si>
    <t>1. Unilever Nepal Limited ( UNL )</t>
  </si>
  <si>
    <t>2. Himalayan Distillery Limited ( HDL )</t>
  </si>
  <si>
    <t>Finances</t>
  </si>
  <si>
    <t>1. Manjushree Finance Limited ( MFIL )</t>
  </si>
  <si>
    <t>2. ICFC Finance Limited ( ICFC )</t>
  </si>
  <si>
    <t>3. Goodwill Finance Company  ( GFCL )</t>
  </si>
  <si>
    <t>4. Nepal Finance Limited ( NFS )</t>
  </si>
  <si>
    <t>5. Reliance Finance Limited ( RLFL )</t>
  </si>
  <si>
    <t>6. Shree Investment Finance ( SIFC )</t>
  </si>
  <si>
    <t>7. Guheswori Merchant Banking &amp; Fin (GMFIL)</t>
  </si>
  <si>
    <t>8. Central Finance Limited ( CFCL )</t>
  </si>
  <si>
    <t>9. Gurkhas Finance Limited ( GUFL )</t>
  </si>
  <si>
    <t>10. Best Finance Company Limited ( BFC )</t>
  </si>
  <si>
    <t>11. Pokhara Finance Limited ( PFL )</t>
  </si>
  <si>
    <t>12. Progressive Finance Limited ( PROFL )</t>
  </si>
  <si>
    <t>13. Samriddhi Finance (former World Merchant) (SFCL)</t>
  </si>
  <si>
    <t>14. Multipurpose Finance Comp ( MPFL )</t>
  </si>
  <si>
    <t>15. Janaki Finance Company Limited (JFL)</t>
  </si>
  <si>
    <t>last year in loss</t>
  </si>
  <si>
    <t>last year in big loss</t>
  </si>
  <si>
    <t>big loss</t>
  </si>
  <si>
    <t>last year in huge loss</t>
  </si>
  <si>
    <t>Last year in huge loss</t>
  </si>
  <si>
    <t>Big loss this year</t>
  </si>
  <si>
    <t>History of loss</t>
  </si>
  <si>
    <t>Sinking</t>
  </si>
  <si>
    <t>(- added)</t>
  </si>
  <si>
    <t>Values not calcualted below this</t>
  </si>
  <si>
    <t>Values not calcuated below this</t>
  </si>
  <si>
    <t>(― added)</t>
  </si>
  <si>
    <t>Low book value</t>
  </si>
  <si>
    <t>V. Low book value</t>
  </si>
  <si>
    <t>~ 100</t>
  </si>
  <si>
    <t>1--4</t>
  </si>
  <si>
    <t>82-88</t>
  </si>
  <si>
    <t>1. ICFC Finance Limited ( ICFC )</t>
  </si>
  <si>
    <t>2. Manjushree Finance Limited ( MFIL )</t>
  </si>
  <si>
    <t>MicroFinance (Laghubitta Sanstha)</t>
  </si>
  <si>
    <t>1. Sana Kisan Bikas Laghubitta ( SKBBL )</t>
  </si>
  <si>
    <t>2. Chhimek Laghubitta Bittiya (CBBL)</t>
  </si>
  <si>
    <t>3. Jeevan Bikas Laghubitta ( JBLB )</t>
  </si>
  <si>
    <t>4. Nirdhan Utthan Laghubitta ( NUBL )</t>
  </si>
  <si>
    <t>5. National Laghubitta Bittiya ( NMFBS )</t>
  </si>
  <si>
    <t>6. Deprosc Laghubitta Bittiya ( DDBL )</t>
  </si>
  <si>
    <t>7. Swabalamban Laghubitta ( SWBBL )</t>
  </si>
  <si>
    <t>8. Forward Microfinance Laghubitta (FOWAD)</t>
  </si>
  <si>
    <t>9. First Microfinance Laghubitta ( FMDBL )</t>
  </si>
  <si>
    <t>10. Mero Microfinance Laghubitta ( MERO )</t>
  </si>
  <si>
    <t>11. NIC Asia Laghubitta Bittiya ( NICLBSL )</t>
  </si>
  <si>
    <t>12. Nerude Mirmire Laghubitta ( NMLBBL )</t>
  </si>
  <si>
    <t>13. Suryodaya Womi Laghubitta ( SWMF )</t>
  </si>
  <si>
    <t>14. Global IME Laghubitta ( GILB )</t>
  </si>
  <si>
    <t>15. Grameen Bikas Laghubitta (GBLBS)</t>
  </si>
  <si>
    <t>16. Swarojgar Laghubitta ( SLBBL )</t>
  </si>
  <si>
    <t>17. Asha Laghubitta Bittiya (ALBSL)</t>
  </si>
  <si>
    <t>18. RSDC Laghubitta Bittiya (RSDC)</t>
  </si>
  <si>
    <t>19. Matribhumi Laghubitta Bittiya ( MATRI )</t>
  </si>
  <si>
    <t>20. Sampada Laghubitta Bittiya ( SMPDA )</t>
  </si>
  <si>
    <t>21. Vijaya Laghubitta Bittiya ( VLBS )</t>
  </si>
  <si>
    <t>22. Infinity Laghubitta Bittiya S ( ILBS )</t>
  </si>
  <si>
    <t>23. Samata Gharelu Laghubitta ( SMATA )</t>
  </si>
  <si>
    <t>24. NMB Laghubitta Bittiya ( NMBMF )</t>
  </si>
  <si>
    <t>25. Unnati Sahakarya Laghubitta ( USLB )</t>
  </si>
  <si>
    <t>26. Mahuli Laghubitta Bittiya ( MSLB )</t>
  </si>
  <si>
    <t>27. Mahila Laghubitta Bittiya ( MLBSL )</t>
  </si>
  <si>
    <t>28. Nesdo Sambridha Laghubitta ( NESDO )</t>
  </si>
  <si>
    <t>29. CYC Nepal Laghubitta Bittiya ( CYCL )</t>
  </si>
  <si>
    <t>30. Laxmi Laghubitta Bittiya ( LLBS )</t>
  </si>
  <si>
    <t>31. Aatmanirbhar Laghubitta ( ANLB )</t>
  </si>
  <si>
    <t>32. Kalika Laghubitta Bittiya ( KMCDB )</t>
  </si>
  <si>
    <t>33. NADEP Laghubitta Bittiya ( NADEP )</t>
  </si>
  <si>
    <t>34. Aarambha Chautari Laghubitta ( ACLBSL )</t>
  </si>
  <si>
    <t>35. Upakar Laghubitta Bittiya ( ULBSL )</t>
  </si>
  <si>
    <t>36. Mithila Laghubitta Bittiya (MLBBL)</t>
  </si>
  <si>
    <t>37. Unique Nepal Laghubitta ( UNLB )</t>
  </si>
  <si>
    <t>38. Himalayan Laghubitta (Former Civil LB) (HLBSL)</t>
  </si>
  <si>
    <t>39. Support Laghubitta ( SMB )</t>
  </si>
  <si>
    <t>40. Swabhimaan Laghubitta ( SMFBS )</t>
  </si>
  <si>
    <t>41. Gurans Laghubitta Bittiya ( GLBSL )</t>
  </si>
  <si>
    <t>42. Aviyan Laghubitta ( AVYAN )</t>
  </si>
  <si>
    <t>43. Samudayik Laghubitta ( SLBSL )</t>
  </si>
  <si>
    <t>44. Ganapati Laghubitta Bittiya ( GMFBS )</t>
  </si>
  <si>
    <t>45. Janautthan Samudayic Laghubitta (JSLBB)</t>
  </si>
  <si>
    <t>46. Shrijanshil Laghubitta Bittiya ( SHLB )</t>
  </si>
  <si>
    <t>47. Wean Nepal Laghubitta ( WNLB )</t>
  </si>
  <si>
    <t>48. Manushi Laghubitta Bittiya ( MLBS )</t>
  </si>
  <si>
    <t>49. Dhaulagiri Laghubitta Bittiya  ( DLBS )</t>
  </si>
  <si>
    <t>50. Samaj Laghubitta Bittiya ( SAMAJ )</t>
  </si>
  <si>
    <t>last Q4 in loss</t>
  </si>
  <si>
    <t>Q4 this yr in loss</t>
  </si>
  <si>
    <t>2 year Q4 in loss</t>
  </si>
  <si>
    <t>huge borrowings</t>
  </si>
  <si>
    <t>No further calculation done below this</t>
  </si>
  <si>
    <t>No further calcualtion done below this</t>
  </si>
  <si>
    <t>Equity decreasing</t>
  </si>
  <si>
    <t>big borrowings</t>
  </si>
  <si>
    <t>high borrowings</t>
  </si>
  <si>
    <t>all are borrowings</t>
  </si>
  <si>
    <t>high borrowing</t>
  </si>
  <si>
    <t>High NPL</t>
  </si>
  <si>
    <t>Very high</t>
  </si>
  <si>
    <t>&lt; 35</t>
  </si>
  <si>
    <t>&lt; 7%</t>
  </si>
  <si>
    <t>100-120</t>
  </si>
  <si>
    <t>1. Chhimek Laghubitta Bittiya (CBBL)</t>
  </si>
  <si>
    <t>2. Deprosc Laghubitta Bittiya ( DDBL )</t>
  </si>
  <si>
    <t>Life Insurance Companies</t>
  </si>
  <si>
    <t>1. Nepal Life Insurance Company (NLIC)</t>
  </si>
  <si>
    <t>2. Life Insurance Corporation Nepal (LICN)</t>
  </si>
  <si>
    <t>3. Himalayan Life Insurance (HLI)</t>
  </si>
  <si>
    <t>4. National Life Insurance Company (LICL)</t>
  </si>
  <si>
    <t>5. Prabhu Mahalaxmi Life Insurance (PMLI)</t>
  </si>
  <si>
    <t xml:space="preserve"> 6. Asian Life Insurance Company Ltd (ALICL)</t>
  </si>
  <si>
    <t>7. Sun Nepal Life Insurance Company (SNLI)</t>
  </si>
  <si>
    <t>8. Citizen Life Insurance Company (CLI)</t>
  </si>
  <si>
    <t>9. Reliable Nepal Life Insurance Limited (RNLI)</t>
  </si>
  <si>
    <t>10. IME Life Insurance Company Limited (ILI)</t>
  </si>
  <si>
    <t>11. SuryaJyoti Life Insurance Company (SJLIC)</t>
  </si>
  <si>
    <t>12. Sanima Reliance Life Insurance (SRLI)</t>
  </si>
  <si>
    <t>13. Guardian Micro Life Insurance (GMLI)</t>
  </si>
  <si>
    <t>14. Crest Micro Life Insurance (CREST)</t>
  </si>
  <si>
    <t>15. Rastriya Jeewan Beema Company (RJBCL)</t>
  </si>
  <si>
    <t>&gt;10%</t>
  </si>
  <si>
    <t xml:space="preserve"> 1-1.5+</t>
  </si>
  <si>
    <t>Required Solvency Capital</t>
  </si>
  <si>
    <t>Net Income vs Claims Outstanding</t>
  </si>
  <si>
    <t>50% of Net Profit &gt; Gross Claims Outstanding</t>
  </si>
  <si>
    <t>Positive Required</t>
  </si>
  <si>
    <t>Other Indicators</t>
  </si>
  <si>
    <t>Total Inforce Policy Count</t>
  </si>
  <si>
    <t>The total number of active (valid and running) insurance policies as of the report date.</t>
  </si>
  <si>
    <t>Total No. of Policy Issued During the Year</t>
  </si>
  <si>
    <t>New policies issued during the current fiscal year up to this quarter.</t>
  </si>
  <si>
    <t>First Year Premium (including single premium)</t>
  </si>
  <si>
    <t>Total premium collected from policies in their first year, including one-time premium plans.</t>
  </si>
  <si>
    <t>Single Premium</t>
  </si>
  <si>
    <t>Premiums collected in full (one-time payment) for certain policy types.</t>
  </si>
  <si>
    <t>Renewal Premium</t>
  </si>
  <si>
    <t>Premiums paid for renewing existing policies.</t>
  </si>
  <si>
    <t>Number of claims processed and paid during the period.</t>
  </si>
  <si>
    <t>Outstanding Benefits and Claims in Count</t>
  </si>
  <si>
    <t>Number of claims still pending or under processing.</t>
  </si>
  <si>
    <t>Gross Claim Outstanding (Amount)</t>
  </si>
  <si>
    <t>Total monetary value of claims not yet paid.</t>
  </si>
  <si>
    <t>Declared Bonus Rate (2080/81)</t>
  </si>
  <si>
    <t>Annual bonus declared for participating policies.</t>
  </si>
  <si>
    <t>Interim Bonus Rate</t>
  </si>
  <si>
    <t>Bonus declared when a policy is terminated before the financial year end.</t>
  </si>
  <si>
    <t>Long-Term Investments (Amount)</t>
  </si>
  <si>
    <t>Investments with maturity periods generally more than 1 year.</t>
  </si>
  <si>
    <t>Short-Term Investments (Amount)</t>
  </si>
  <si>
    <t>Investments with less than 1-year maturity (e.g. money market).</t>
  </si>
  <si>
    <t>Policyholders Loan</t>
  </si>
  <si>
    <t>Loans issued to policyholders against their policy surrender value.</t>
  </si>
  <si>
    <t>Investment in Cost Value</t>
  </si>
  <si>
    <t>Total cost (book value) of all investments made.</t>
  </si>
  <si>
    <t>Life Insurance Fund (Amount)</t>
  </si>
  <si>
    <t>Total fund held for life insurance liabilities.</t>
  </si>
  <si>
    <t>Unearned Premium Reserve for Term Policies (Amount)</t>
  </si>
  <si>
    <t>Reserve for premiums received in advance for term policies but not yet earned.</t>
  </si>
  <si>
    <t>Solvency Margin Ratio</t>
  </si>
  <si>
    <t>Key indicator of financial health. It shows how much available capital exceeds the required minimum.</t>
  </si>
  <si>
    <t>Operating Margin</t>
  </si>
  <si>
    <t>Operating income</t>
  </si>
  <si>
    <t>Gross Profit Margin</t>
  </si>
  <si>
    <t>Gross profit</t>
  </si>
  <si>
    <t>&gt; 40%</t>
  </si>
  <si>
    <t>Current ratio (LD ratio)</t>
  </si>
  <si>
    <t>Current assets</t>
  </si>
  <si>
    <t>Current liablitlity</t>
  </si>
  <si>
    <t>Reliable Nepal Life Insurance Limited (RNLI)</t>
  </si>
  <si>
    <t>Revenue Growth</t>
  </si>
  <si>
    <t>Is revenue growing consistently?</t>
  </si>
  <si>
    <t>Net Profit Margin Healthy</t>
  </si>
  <si>
    <t>Is gross margin high and stable? (&gt;30% ideal)</t>
  </si>
  <si>
    <t>Sun Life Insurance Company (SNLI)</t>
  </si>
  <si>
    <t>Non-Life Insurance Companies</t>
  </si>
  <si>
    <t>1. Rastriya Beema Company Ltd ( RBCL )</t>
  </si>
  <si>
    <t>2. Siddhartha Premier Insurance ( SPIL )</t>
  </si>
  <si>
    <t>3. NLG Insurance Company Limited ( NLG )</t>
  </si>
  <si>
    <t>4. Shikhar Insurance Company Limited ( SICL )</t>
  </si>
  <si>
    <t>5. Neco Insurance Limited ( NIL )</t>
  </si>
  <si>
    <t>6. Sagarmatha Lumbini Insurance ( SALICO )</t>
  </si>
  <si>
    <t>7. IGI Prudential Insurance Limited ( IGI )</t>
  </si>
  <si>
    <t>8. Nepal Insurance Company Limited ( NICL )</t>
  </si>
  <si>
    <t>9. Himalayan Everest Insurance Limited ( HEI )</t>
  </si>
  <si>
    <t>10. Prabhu Insurance Company Limited (PRIN)</t>
  </si>
  <si>
    <t>11. Sanima GIC Insurance Limited ( SGIC )</t>
  </si>
  <si>
    <t>12. United Ajod Insurance Limited ( UAIL )</t>
  </si>
  <si>
    <t>13. Nepal Micro Insurance Company ( NMIC )</t>
  </si>
  <si>
    <t>Net Claim Ratio 
(Loss Ratio)</t>
  </si>
  <si>
    <t>Net Claims Incurred</t>
  </si>
  <si>
    <t>lower = better</t>
  </si>
  <si>
    <t>Net Premium Earned</t>
  </si>
  <si>
    <t>xx rupees of every 100 rupee premium earned is being consumed by claims</t>
  </si>
  <si>
    <t>&gt; 200</t>
  </si>
  <si>
    <t>&gt; 1.5</t>
  </si>
  <si>
    <t xml:space="preserve">Net Claim Ratio </t>
  </si>
  <si>
    <t>&lt; 55</t>
  </si>
  <si>
    <t>1. Siddhartha Premier Insurance ( SPIL )</t>
  </si>
  <si>
    <t>2. Himalayan Everest Insurance Limited ( HEI )</t>
  </si>
  <si>
    <t>3. Neco Insurance Limited ( NIL )</t>
  </si>
  <si>
    <t>Investment</t>
  </si>
  <si>
    <t>1. Citizen Investment Trust ( CIT )</t>
  </si>
  <si>
    <t>2. Hydroelectricity Invest and Dev (HIDCL)</t>
  </si>
  <si>
    <t>3. Nepal Infrastructure Bank ( NIFRA )</t>
  </si>
  <si>
    <t>4. Hathway Investment Nepal (HATHY)</t>
  </si>
  <si>
    <t>5. NRN Infrastructure and Dev ( NRN )</t>
  </si>
  <si>
    <t>6. CEDB Holdings Limited ( CHDC )</t>
  </si>
  <si>
    <t>7. Emerging Nepal Limited ( ENL )</t>
  </si>
  <si>
    <t>Paid up= 50</t>
  </si>
  <si>
    <t>Q4s in losses</t>
  </si>
  <si>
    <t>Doc has taken highest price</t>
  </si>
  <si>
    <t>&gt; 50 is ok</t>
  </si>
  <si>
    <t>Total Assets per share</t>
  </si>
  <si>
    <t>Total Assets</t>
  </si>
  <si>
    <t>Has higher</t>
  </si>
  <si>
    <t>Return on Assets</t>
  </si>
  <si>
    <t>Net Income</t>
  </si>
  <si>
    <t>Toal Assets</t>
  </si>
  <si>
    <t>Others &amp; Trading</t>
  </si>
  <si>
    <t>1. Nepal Reinsurance Company (NRIC)</t>
  </si>
  <si>
    <t>2. Nepal Doorsanchar Company ( NTC )</t>
  </si>
  <si>
    <t>3. Himalayan Reinsurance Limited ( HRL )</t>
  </si>
  <si>
    <t>4. Muktinath Krishi Company (MKCL)</t>
  </si>
  <si>
    <t>5. Trade Tower Limited ( TTL )</t>
  </si>
  <si>
    <t>6. Pure Energy Limited ( PURE )</t>
  </si>
  <si>
    <t>7. Nepal Warehousing Company ( NWCL )</t>
  </si>
  <si>
    <t>8. Nepal Republic Media Limited ( NRM )</t>
  </si>
  <si>
    <t>11. Salt Trading Corporation Limited ( STC )</t>
  </si>
  <si>
    <t>Q2 reports only available</t>
  </si>
  <si>
    <t>Solvency ratio</t>
  </si>
  <si>
    <t>Hotel &amp; Tourism</t>
  </si>
  <si>
    <t>1. Soaltee Hotel Limited ( SHL )</t>
  </si>
  <si>
    <t>2. Taragaon Regency Hotel Ltd (TRH)</t>
  </si>
  <si>
    <t>3. City Hotel Limited ( CITY )</t>
  </si>
  <si>
    <t>4. Chandragiri Hills Limited ( CGH )</t>
  </si>
  <si>
    <t>5. Oriental Hotel Limited ( OHL )</t>
  </si>
  <si>
    <t>6. Kalinchowk Darshan Limited ( KDL )</t>
  </si>
  <si>
    <t>&gt; 10 is Ok</t>
  </si>
  <si>
    <t>Operating Profit Margin (OPM)</t>
  </si>
  <si>
    <t>Operating Profit (EBIT)</t>
  </si>
  <si>
    <t>Financial cost</t>
  </si>
  <si>
    <t>Interest Coverage Ratio</t>
  </si>
  <si>
    <t>&gt; 3</t>
  </si>
  <si>
    <t>Interest Expense</t>
  </si>
  <si>
    <t>Debt to Equity Ratio (D/E)</t>
  </si>
  <si>
    <t>Total Debt</t>
  </si>
  <si>
    <t>Long + short term debt</t>
  </si>
  <si>
    <t>Loans &amp; borrowings, Borrowings</t>
  </si>
  <si>
    <t>EBIT = Operating Profit</t>
  </si>
  <si>
    <t>EBIT= PBT+ Finance Cost (if Financial Cost is above the Profor Before Tax (PBT)</t>
  </si>
  <si>
    <t>If no financial cost (Interest payment) EBIT = Profit before tax</t>
  </si>
  <si>
    <t>WL</t>
  </si>
  <si>
    <t>Operating Profit Margin</t>
  </si>
  <si>
    <t>1. Taragaon Regency Hotel Limited (TRH)</t>
  </si>
  <si>
    <t>Tools &amp; Resources</t>
  </si>
  <si>
    <t>Details</t>
  </si>
  <si>
    <t>Download Quaterly and Annual reports</t>
  </si>
  <si>
    <t>Company's official website</t>
  </si>
  <si>
    <t>type "company name + investor relation/ financial reports"</t>
  </si>
  <si>
    <t>https://www.sharesansar.com/</t>
  </si>
  <si>
    <t>Download Nepali Financial statements</t>
  </si>
  <si>
    <t>https://www.nepalipaisa.com/</t>
  </si>
  <si>
    <t xml:space="preserve">Listten to Company Earnings Calls </t>
  </si>
  <si>
    <t>Dates found in company website</t>
  </si>
  <si>
    <t>https://finance.yahoo.com/</t>
  </si>
  <si>
    <t>Yahoo Finance</t>
  </si>
  <si>
    <t>https://www.google.com/finance/?hl=en</t>
  </si>
  <si>
    <t>Google finance</t>
  </si>
  <si>
    <t>https://www.gurufocus.com/</t>
  </si>
  <si>
    <t>Buffett style investing</t>
  </si>
  <si>
    <t>https://finviz.com/</t>
  </si>
  <si>
    <t>Companies screening</t>
  </si>
  <si>
    <t>https://www.alphaspread.com/</t>
  </si>
  <si>
    <t>Shows company valuation; Intrinsic Value</t>
  </si>
  <si>
    <t>Fundamental Analysis Checklist</t>
  </si>
  <si>
    <t xml:space="preserve">Category  </t>
  </si>
  <si>
    <t>Yes/No</t>
  </si>
  <si>
    <t>Understanding the Business</t>
  </si>
  <si>
    <t>What does the company do?</t>
  </si>
  <si>
    <t>Is the business model simple and understandable?</t>
  </si>
  <si>
    <t xml:space="preserve">Most income from primary business </t>
  </si>
  <si>
    <t xml:space="preserve">Competitive Advantage (Moat)  </t>
  </si>
  <si>
    <t>Who are the competitors?</t>
  </si>
  <si>
    <t>Financial Health</t>
  </si>
  <si>
    <t xml:space="preserve">Consistent Revenue Growth (5 years)   </t>
  </si>
  <si>
    <t xml:space="preserve">Net Profit Margin (High &amp; Stable)       </t>
  </si>
  <si>
    <t xml:space="preserve">Return on Equity (ROE) &gt; 10%   </t>
  </si>
  <si>
    <t xml:space="preserve">Return on Assets (ROA) acceptable      </t>
  </si>
  <si>
    <t>Low Debt-to-Equity (&lt;0.8 preferred)</t>
  </si>
  <si>
    <t xml:space="preserve">High Interest Coverage Ratio      </t>
  </si>
  <si>
    <t>Valuation Metrics</t>
  </si>
  <si>
    <t xml:space="preserve">Reasonable P/E Ratio   </t>
  </si>
  <si>
    <t xml:space="preserve">Reasonable P/B Ratio      </t>
  </si>
  <si>
    <t xml:space="preserve">PEG Ratio &lt; 1        </t>
  </si>
  <si>
    <t>Attractive Dividend Yield (if distributed)</t>
  </si>
  <si>
    <t xml:space="preserve">Positive Free Cash Flow     </t>
  </si>
  <si>
    <t>Management &amp; Insiders</t>
  </si>
  <si>
    <t xml:space="preserve">Experienced Management Team  </t>
  </si>
  <si>
    <t xml:space="preserve">Insider Ownership is High  </t>
  </si>
  <si>
    <t xml:space="preserve">Low Insider Selling     </t>
  </si>
  <si>
    <t>Industry Position</t>
  </si>
  <si>
    <t xml:space="preserve">Industry is growing  </t>
  </si>
  <si>
    <t xml:space="preserve">Company gaining market share       </t>
  </si>
  <si>
    <t>Resilient to economic downturns or recession</t>
  </si>
  <si>
    <t>Red Flags</t>
  </si>
  <si>
    <t xml:space="preserve">No High Debt Levels     </t>
  </si>
  <si>
    <t xml:space="preserve">No Negative Free Cash Flow   </t>
  </si>
  <si>
    <t xml:space="preserve">No Declining Revenue or Earnings </t>
  </si>
  <si>
    <t>No frequest management changes</t>
  </si>
  <si>
    <t xml:space="preserve">No sudden or one time income </t>
  </si>
  <si>
    <t xml:space="preserve">Diversified Revenue Streams       </t>
  </si>
  <si>
    <t>Personal Filters</t>
  </si>
  <si>
    <t xml:space="preserve">Fits my personal risk profile  </t>
  </si>
  <si>
    <t>Comfortable Holding for 5+ Years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</si>
</sst>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  <numFmt numFmtId="179" formatCode="&quot;$&quot;#,##0"/>
  </numFmts>
  <fonts count="4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2"/>
      <color theme="10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i/>
      <sz val="10"/>
      <color theme="1"/>
      <name val="Calibri"/>
      <charset val="134"/>
      <scheme val="minor"/>
    </font>
    <font>
      <i/>
      <sz val="10"/>
      <color rgb="FFFF0000"/>
      <name val="Calibri"/>
      <charset val="134"/>
      <scheme val="minor"/>
    </font>
    <font>
      <i/>
      <sz val="11"/>
      <color rgb="FFFF0000"/>
      <name val="Calibri"/>
      <charset val="134"/>
      <scheme val="minor"/>
    </font>
    <font>
      <b/>
      <sz val="14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i/>
      <sz val="10"/>
      <color theme="1"/>
      <name val="Calibri"/>
      <charset val="134"/>
      <scheme val="minor"/>
    </font>
    <font>
      <i/>
      <sz val="10"/>
      <name val="Calibri"/>
      <charset val="134"/>
      <scheme val="minor"/>
    </font>
    <font>
      <sz val="11"/>
      <name val="Calibri"/>
      <charset val="134"/>
      <scheme val="minor"/>
    </font>
    <font>
      <i/>
      <sz val="11"/>
      <name val="Calibri"/>
      <charset val="134"/>
      <scheme val="minor"/>
    </font>
    <font>
      <b/>
      <sz val="12"/>
      <color theme="1"/>
      <name val="Calibri"/>
      <charset val="134"/>
    </font>
    <font>
      <sz val="12"/>
      <color theme="1"/>
      <name val="Calibri"/>
      <charset val="134"/>
    </font>
    <font>
      <sz val="11"/>
      <name val="Calibri"/>
      <charset val="134"/>
    </font>
    <font>
      <b/>
      <sz val="12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Aptos Narrow"/>
      <charset val="134"/>
    </font>
  </fonts>
  <fills count="6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5" fillId="0" borderId="0" applyFont="0" applyFill="0" applyBorder="0" applyAlignment="0" applyProtection="0">
      <alignment vertical="center"/>
    </xf>
    <xf numFmtId="44" fontId="25" fillId="0" borderId="0" applyFont="0" applyFill="0" applyBorder="0" applyAlignment="0" applyProtection="0">
      <alignment vertical="center"/>
    </xf>
    <xf numFmtId="9" fontId="25" fillId="0" borderId="0" applyFont="0" applyFill="0" applyBorder="0" applyAlignment="0" applyProtection="0">
      <alignment vertical="center"/>
    </xf>
    <xf numFmtId="177" fontId="25" fillId="0" borderId="0" applyFont="0" applyFill="0" applyBorder="0" applyAlignment="0" applyProtection="0">
      <alignment vertical="center"/>
    </xf>
    <xf numFmtId="42" fontId="25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>
      <alignment vertical="center"/>
    </xf>
    <xf numFmtId="0" fontId="25" fillId="31" borderId="33" applyNumberFormat="0" applyFon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34" applyNumberFormat="0" applyFill="0" applyAlignment="0" applyProtection="0">
      <alignment vertical="center"/>
    </xf>
    <xf numFmtId="0" fontId="32" fillId="0" borderId="34" applyNumberFormat="0" applyFill="0" applyAlignment="0" applyProtection="0">
      <alignment vertical="center"/>
    </xf>
    <xf numFmtId="0" fontId="33" fillId="0" borderId="35" applyNumberFormat="0" applyFill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32" borderId="36" applyNumberFormat="0" applyAlignment="0" applyProtection="0">
      <alignment vertical="center"/>
    </xf>
    <xf numFmtId="0" fontId="35" fillId="33" borderId="37" applyNumberFormat="0" applyAlignment="0" applyProtection="0">
      <alignment vertical="center"/>
    </xf>
    <xf numFmtId="0" fontId="36" fillId="33" borderId="36" applyNumberFormat="0" applyAlignment="0" applyProtection="0">
      <alignment vertical="center"/>
    </xf>
    <xf numFmtId="0" fontId="37" fillId="34" borderId="38" applyNumberFormat="0" applyAlignment="0" applyProtection="0">
      <alignment vertical="center"/>
    </xf>
    <xf numFmtId="0" fontId="38" fillId="0" borderId="39" applyNumberFormat="0" applyFill="0" applyAlignment="0" applyProtection="0">
      <alignment vertical="center"/>
    </xf>
    <xf numFmtId="0" fontId="39" fillId="0" borderId="40" applyNumberFormat="0" applyFill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1" fillId="36" borderId="0" applyNumberFormat="0" applyBorder="0" applyAlignment="0" applyProtection="0">
      <alignment vertical="center"/>
    </xf>
    <xf numFmtId="0" fontId="42" fillId="37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0" fontId="44" fillId="44" borderId="0" applyNumberFormat="0" applyBorder="0" applyAlignment="0" applyProtection="0">
      <alignment vertical="center"/>
    </xf>
    <xf numFmtId="0" fontId="43" fillId="45" borderId="0" applyNumberFormat="0" applyBorder="0" applyAlignment="0" applyProtection="0">
      <alignment vertical="center"/>
    </xf>
    <xf numFmtId="0" fontId="43" fillId="46" borderId="0" applyNumberFormat="0" applyBorder="0" applyAlignment="0" applyProtection="0">
      <alignment vertical="center"/>
    </xf>
    <xf numFmtId="0" fontId="44" fillId="47" borderId="0" applyNumberFormat="0" applyBorder="0" applyAlignment="0" applyProtection="0">
      <alignment vertical="center"/>
    </xf>
    <xf numFmtId="0" fontId="44" fillId="48" borderId="0" applyNumberFormat="0" applyBorder="0" applyAlignment="0" applyProtection="0">
      <alignment vertical="center"/>
    </xf>
    <xf numFmtId="0" fontId="43" fillId="49" borderId="0" applyNumberFormat="0" applyBorder="0" applyAlignment="0" applyProtection="0">
      <alignment vertical="center"/>
    </xf>
    <xf numFmtId="0" fontId="43" fillId="50" borderId="0" applyNumberFormat="0" applyBorder="0" applyAlignment="0" applyProtection="0">
      <alignment vertical="center"/>
    </xf>
    <xf numFmtId="0" fontId="44" fillId="51" borderId="0" applyNumberFormat="0" applyBorder="0" applyAlignment="0" applyProtection="0">
      <alignment vertical="center"/>
    </xf>
    <xf numFmtId="0" fontId="44" fillId="52" borderId="0" applyNumberFormat="0" applyBorder="0" applyAlignment="0" applyProtection="0">
      <alignment vertical="center"/>
    </xf>
    <xf numFmtId="0" fontId="43" fillId="53" borderId="0" applyNumberFormat="0" applyBorder="0" applyAlignment="0" applyProtection="0">
      <alignment vertical="center"/>
    </xf>
    <xf numFmtId="0" fontId="43" fillId="54" borderId="0" applyNumberFormat="0" applyBorder="0" applyAlignment="0" applyProtection="0">
      <alignment vertical="center"/>
    </xf>
    <xf numFmtId="0" fontId="44" fillId="55" borderId="0" applyNumberFormat="0" applyBorder="0" applyAlignment="0" applyProtection="0">
      <alignment vertical="center"/>
    </xf>
    <xf numFmtId="0" fontId="44" fillId="56" borderId="0" applyNumberFormat="0" applyBorder="0" applyAlignment="0" applyProtection="0">
      <alignment vertical="center"/>
    </xf>
    <xf numFmtId="0" fontId="43" fillId="57" borderId="0" applyNumberFormat="0" applyBorder="0" applyAlignment="0" applyProtection="0">
      <alignment vertical="center"/>
    </xf>
    <xf numFmtId="0" fontId="43" fillId="58" borderId="0" applyNumberFormat="0" applyBorder="0" applyAlignment="0" applyProtection="0">
      <alignment vertical="center"/>
    </xf>
    <xf numFmtId="0" fontId="44" fillId="59" borderId="0" applyNumberFormat="0" applyBorder="0" applyAlignment="0" applyProtection="0">
      <alignment vertical="center"/>
    </xf>
    <xf numFmtId="0" fontId="44" fillId="60" borderId="0" applyNumberFormat="0" applyBorder="0" applyAlignment="0" applyProtection="0">
      <alignment vertical="center"/>
    </xf>
    <xf numFmtId="0" fontId="43" fillId="61" borderId="0" applyNumberFormat="0" applyBorder="0" applyAlignment="0" applyProtection="0">
      <alignment vertical="center"/>
    </xf>
  </cellStyleXfs>
  <cellXfs count="379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6" applyFont="1"/>
    <xf numFmtId="0" fontId="4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5" borderId="0" xfId="0" applyFont="1" applyFill="1" applyAlignment="1">
      <alignment horizontal="left"/>
    </xf>
    <xf numFmtId="0" fontId="5" fillId="0" borderId="0" xfId="0" applyFont="1"/>
    <xf numFmtId="0" fontId="4" fillId="6" borderId="2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/>
    </xf>
    <xf numFmtId="3" fontId="0" fillId="9" borderId="0" xfId="0" applyNumberFormat="1" applyFill="1" applyAlignment="1">
      <alignment horizontal="center" vertical="center"/>
    </xf>
    <xf numFmtId="0" fontId="0" fillId="0" borderId="0" xfId="0" applyAlignment="1">
      <alignment horizontal="center" wrapText="1"/>
    </xf>
    <xf numFmtId="10" fontId="0" fillId="9" borderId="0" xfId="0" applyNumberFormat="1" applyFill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10" borderId="0" xfId="0" applyNumberFormat="1" applyFill="1" applyAlignment="1">
      <alignment horizontal="center" vertical="center"/>
    </xf>
    <xf numFmtId="2" fontId="0" fillId="12" borderId="0" xfId="0" applyNumberFormat="1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2" fontId="0" fillId="13" borderId="0" xfId="0" applyNumberFormat="1" applyFill="1" applyAlignment="1">
      <alignment horizontal="center" vertical="center"/>
    </xf>
    <xf numFmtId="10" fontId="0" fillId="10" borderId="0" xfId="0" applyNumberFormat="1" applyFill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horizontal="center" vertical="center" wrapText="1"/>
    </xf>
    <xf numFmtId="10" fontId="0" fillId="10" borderId="0" xfId="0" applyNumberFormat="1" applyFill="1" applyAlignment="1">
      <alignment horizontal="center" vertical="center" wrapText="1"/>
    </xf>
    <xf numFmtId="0" fontId="0" fillId="10" borderId="0" xfId="0" applyFill="1"/>
    <xf numFmtId="2" fontId="0" fillId="14" borderId="0" xfId="0" applyNumberFormat="1" applyFill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 applyAlignment="1">
      <alignment horizontal="center" vertical="center"/>
    </xf>
    <xf numFmtId="2" fontId="0" fillId="10" borderId="0" xfId="0" applyNumberFormat="1" applyFill="1" applyAlignment="1">
      <alignment horizontal="center" vertical="center" wrapText="1"/>
    </xf>
    <xf numFmtId="2" fontId="0" fillId="14" borderId="0" xfId="0" applyNumberFormat="1" applyFill="1" applyAlignment="1">
      <alignment horizontal="center" vertical="center" wrapText="1"/>
    </xf>
    <xf numFmtId="4" fontId="0" fillId="10" borderId="0" xfId="0" applyNumberFormat="1" applyFill="1" applyAlignment="1">
      <alignment horizontal="center" vertical="center" wrapText="1"/>
    </xf>
    <xf numFmtId="4" fontId="0" fillId="14" borderId="0" xfId="0" applyNumberFormat="1" applyFill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2" fillId="10" borderId="5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7" fillId="13" borderId="0" xfId="0" applyFont="1" applyFill="1" applyAlignment="1">
      <alignment horizontal="left" vertical="center"/>
    </xf>
    <xf numFmtId="3" fontId="7" fillId="0" borderId="0" xfId="0" applyNumberFormat="1" applyFont="1" applyAlignment="1">
      <alignment horizontal="center"/>
    </xf>
    <xf numFmtId="2" fontId="0" fillId="15" borderId="0" xfId="0" applyNumberFormat="1" applyFill="1" applyAlignment="1">
      <alignment horizontal="center" vertical="center"/>
    </xf>
    <xf numFmtId="0" fontId="7" fillId="10" borderId="0" xfId="0" applyFont="1" applyFill="1"/>
    <xf numFmtId="10" fontId="0" fillId="12" borderId="0" xfId="0" applyNumberFormat="1" applyFill="1" applyAlignment="1">
      <alignment horizontal="center" vertical="center"/>
    </xf>
    <xf numFmtId="0" fontId="0" fillId="0" borderId="6" xfId="0" applyBorder="1" applyAlignment="1">
      <alignment horizontal="left"/>
    </xf>
    <xf numFmtId="0" fontId="4" fillId="7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3" fontId="8" fillId="0" borderId="0" xfId="0" applyNumberFormat="1" applyFont="1" applyAlignment="1">
      <alignment horizontal="center"/>
    </xf>
    <xf numFmtId="3" fontId="8" fillId="0" borderId="0" xfId="0" applyNumberFormat="1" applyFont="1" applyAlignment="1">
      <alignment horizontal="center" vertical="center"/>
    </xf>
    <xf numFmtId="0" fontId="0" fillId="10" borderId="0" xfId="0" applyFill="1" applyAlignment="1">
      <alignment horizontal="center" vertical="center"/>
    </xf>
    <xf numFmtId="3" fontId="7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vertical="center"/>
    </xf>
    <xf numFmtId="0" fontId="7" fillId="0" borderId="0" xfId="0" applyFont="1" applyAlignment="1">
      <alignment horizontal="center"/>
    </xf>
    <xf numFmtId="2" fontId="7" fillId="10" borderId="0" xfId="0" applyNumberFormat="1" applyFont="1" applyFill="1" applyAlignment="1">
      <alignment horizontal="center" vertical="center"/>
    </xf>
    <xf numFmtId="1" fontId="0" fillId="10" borderId="0" xfId="0" applyNumberForma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3" fontId="9" fillId="0" borderId="0" xfId="0" applyNumberFormat="1" applyFont="1" applyAlignment="1">
      <alignment horizontal="center"/>
    </xf>
    <xf numFmtId="0" fontId="4" fillId="6" borderId="3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16" borderId="1" xfId="0" applyFont="1" applyFill="1" applyBorder="1" applyAlignment="1">
      <alignment horizontal="center" vertical="center" wrapText="1"/>
    </xf>
    <xf numFmtId="3" fontId="0" fillId="17" borderId="0" xfId="0" applyNumberForma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 wrapText="1"/>
    </xf>
    <xf numFmtId="0" fontId="0" fillId="10" borderId="0" xfId="0" applyFill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11" fillId="2" borderId="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18" borderId="1" xfId="0" applyFill="1" applyBorder="1" applyAlignment="1">
      <alignment horizontal="left"/>
    </xf>
    <xf numFmtId="0" fontId="0" fillId="18" borderId="8" xfId="0" applyFill="1" applyBorder="1" applyAlignment="1">
      <alignment horizontal="left" vertical="center"/>
    </xf>
    <xf numFmtId="0" fontId="0" fillId="18" borderId="0" xfId="0" applyFill="1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0" fillId="6" borderId="0" xfId="0" applyFill="1"/>
    <xf numFmtId="0" fontId="1" fillId="0" borderId="0" xfId="0" applyFont="1" applyAlignment="1">
      <alignment wrapText="1"/>
    </xf>
    <xf numFmtId="0" fontId="2" fillId="11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19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0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/>
    </xf>
    <xf numFmtId="0" fontId="2" fillId="19" borderId="1" xfId="0" applyFont="1" applyFill="1" applyBorder="1" applyAlignment="1">
      <alignment horizontal="center" vertical="center"/>
    </xf>
    <xf numFmtId="0" fontId="2" fillId="20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/>
    </xf>
    <xf numFmtId="0" fontId="0" fillId="0" borderId="1" xfId="0" applyBorder="1"/>
    <xf numFmtId="0" fontId="4" fillId="11" borderId="1" xfId="0" applyFont="1" applyFill="1" applyBorder="1" applyAlignment="1">
      <alignment horizontal="center"/>
    </xf>
    <xf numFmtId="2" fontId="0" fillId="6" borderId="0" xfId="0" applyNumberFormat="1" applyFill="1" applyAlignment="1">
      <alignment horizontal="center" vertical="center"/>
    </xf>
    <xf numFmtId="2" fontId="0" fillId="19" borderId="0" xfId="0" applyNumberFormat="1" applyFill="1" applyAlignment="1">
      <alignment horizontal="center" vertical="center"/>
    </xf>
    <xf numFmtId="2" fontId="0" fillId="8" borderId="0" xfId="0" applyNumberFormat="1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2" fontId="0" fillId="4" borderId="0" xfId="0" applyNumberFormat="1" applyFill="1" applyAlignment="1">
      <alignment horizontal="center" vertical="center"/>
    </xf>
    <xf numFmtId="0" fontId="8" fillId="0" borderId="0" xfId="0" applyFont="1" applyAlignment="1">
      <alignment horizontal="center"/>
    </xf>
    <xf numFmtId="2" fontId="0" fillId="2" borderId="0" xfId="0" applyNumberFormat="1" applyFill="1" applyAlignment="1">
      <alignment horizontal="center" vertical="center"/>
    </xf>
    <xf numFmtId="2" fontId="0" fillId="20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9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2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2" fontId="0" fillId="5" borderId="0" xfId="0" applyNumberFormat="1" applyFill="1" applyAlignment="1">
      <alignment horizontal="center" vertical="center"/>
    </xf>
    <xf numFmtId="0" fontId="0" fillId="15" borderId="0" xfId="0" applyFill="1"/>
    <xf numFmtId="0" fontId="0" fillId="19" borderId="0" xfId="0" applyFill="1"/>
    <xf numFmtId="0" fontId="0" fillId="2" borderId="0" xfId="0" applyFill="1"/>
    <xf numFmtId="0" fontId="0" fillId="20" borderId="0" xfId="0" applyFill="1"/>
    <xf numFmtId="0" fontId="0" fillId="8" borderId="0" xfId="0" applyFill="1"/>
    <xf numFmtId="0" fontId="0" fillId="3" borderId="0" xfId="0" applyFill="1"/>
    <xf numFmtId="0" fontId="0" fillId="4" borderId="0" xfId="0" applyFill="1"/>
    <xf numFmtId="10" fontId="0" fillId="15" borderId="0" xfId="0" applyNumberFormat="1" applyFill="1" applyAlignment="1">
      <alignment horizontal="center" vertical="center"/>
    </xf>
    <xf numFmtId="10" fontId="0" fillId="6" borderId="0" xfId="0" applyNumberFormat="1" applyFill="1" applyAlignment="1">
      <alignment horizontal="center" vertical="center"/>
    </xf>
    <xf numFmtId="10" fontId="0" fillId="19" borderId="0" xfId="0" applyNumberFormat="1" applyFill="1" applyAlignment="1">
      <alignment horizontal="center" vertical="center"/>
    </xf>
    <xf numFmtId="10" fontId="0" fillId="2" borderId="0" xfId="0" applyNumberFormat="1" applyFill="1" applyAlignment="1">
      <alignment horizontal="center" vertical="center"/>
    </xf>
    <xf numFmtId="10" fontId="0" fillId="20" borderId="0" xfId="0" applyNumberFormat="1" applyFill="1" applyAlignment="1">
      <alignment horizontal="center" vertical="center"/>
    </xf>
    <xf numFmtId="10" fontId="0" fillId="8" borderId="0" xfId="0" applyNumberFormat="1" applyFill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10" fontId="0" fillId="4" borderId="0" xfId="0" applyNumberFormat="1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0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" fontId="0" fillId="15" borderId="0" xfId="0" applyNumberFormat="1" applyFill="1" applyAlignment="1">
      <alignment horizontal="center" vertical="center"/>
    </xf>
    <xf numFmtId="1" fontId="0" fillId="6" borderId="0" xfId="0" applyNumberFormat="1" applyFill="1" applyAlignment="1">
      <alignment horizontal="center" vertical="center"/>
    </xf>
    <xf numFmtId="1" fontId="0" fillId="19" borderId="0" xfId="0" applyNumberFormat="1" applyFill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0" borderId="0" xfId="0" applyNumberFormat="1" applyFill="1" applyAlignment="1">
      <alignment horizontal="center" vertical="center"/>
    </xf>
    <xf numFmtId="1" fontId="0" fillId="8" borderId="0" xfId="0" applyNumberFormat="1" applyFill="1" applyAlignment="1">
      <alignment horizontal="center" vertical="center"/>
    </xf>
    <xf numFmtId="1" fontId="0" fillId="3" borderId="0" xfId="0" applyNumberFormat="1" applyFill="1" applyAlignment="1">
      <alignment horizontal="center" vertical="center"/>
    </xf>
    <xf numFmtId="1" fontId="0" fillId="4" borderId="0" xfId="0" applyNumberFormat="1" applyFill="1" applyAlignment="1">
      <alignment horizontal="center" vertical="center"/>
    </xf>
    <xf numFmtId="0" fontId="0" fillId="15" borderId="0" xfId="0" applyFill="1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0" fontId="0" fillId="19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center" wrapText="1"/>
    </xf>
    <xf numFmtId="0" fontId="0" fillId="20" borderId="0" xfId="0" applyFill="1" applyAlignment="1">
      <alignment horizontal="left" vertical="center" wrapText="1"/>
    </xf>
    <xf numFmtId="3" fontId="0" fillId="10" borderId="0" xfId="0" applyNumberFormat="1" applyFill="1" applyAlignment="1">
      <alignment horizontal="center" vertical="center" wrapText="1"/>
    </xf>
    <xf numFmtId="3" fontId="0" fillId="15" borderId="0" xfId="0" applyNumberFormat="1" applyFill="1" applyAlignment="1">
      <alignment horizontal="center" vertical="center" wrapText="1"/>
    </xf>
    <xf numFmtId="3" fontId="0" fillId="6" borderId="0" xfId="0" applyNumberFormat="1" applyFill="1" applyAlignment="1">
      <alignment horizontal="center" vertical="center" wrapText="1"/>
    </xf>
    <xf numFmtId="3" fontId="0" fillId="19" borderId="0" xfId="0" applyNumberFormat="1" applyFill="1" applyAlignment="1">
      <alignment horizontal="center" vertical="center" wrapText="1"/>
    </xf>
    <xf numFmtId="3" fontId="0" fillId="2" borderId="0" xfId="0" applyNumberFormat="1" applyFill="1" applyAlignment="1">
      <alignment horizontal="center" vertical="center" wrapText="1"/>
    </xf>
    <xf numFmtId="3" fontId="0" fillId="3" borderId="0" xfId="0" applyNumberFormat="1" applyFill="1" applyAlignment="1">
      <alignment horizontal="center" vertical="center" wrapText="1"/>
    </xf>
    <xf numFmtId="3" fontId="0" fillId="8" borderId="0" xfId="0" applyNumberFormat="1" applyFill="1" applyAlignment="1">
      <alignment horizontal="center" vertical="center" wrapText="1"/>
    </xf>
    <xf numFmtId="3" fontId="0" fillId="4" borderId="0" xfId="0" applyNumberForma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15" borderId="0" xfId="0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8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9" xfId="0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6" borderId="3" xfId="0" applyFont="1" applyFill="1" applyBorder="1" applyAlignment="1">
      <alignment horizontal="center" vertical="center"/>
    </xf>
    <xf numFmtId="0" fontId="4" fillId="6" borderId="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3" fontId="0" fillId="20" borderId="0" xfId="0" applyNumberFormat="1" applyFill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4" xfId="0" applyFont="1" applyFill="1" applyBorder="1" applyAlignment="1">
      <alignment horizontal="center" vertical="center" wrapText="1"/>
    </xf>
    <xf numFmtId="0" fontId="12" fillId="10" borderId="5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2" fontId="0" fillId="21" borderId="0" xfId="0" applyNumberFormat="1" applyFill="1" applyAlignment="1">
      <alignment horizontal="center" vertical="center"/>
    </xf>
    <xf numFmtId="3" fontId="8" fillId="14" borderId="0" xfId="0" applyNumberFormat="1" applyFont="1" applyFill="1" applyAlignment="1">
      <alignment horizontal="center"/>
    </xf>
    <xf numFmtId="3" fontId="7" fillId="14" borderId="0" xfId="0" applyNumberFormat="1" applyFont="1" applyFill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0" fontId="8" fillId="14" borderId="0" xfId="0" applyFont="1" applyFill="1" applyAlignment="1">
      <alignment horizontal="center" vertical="center"/>
    </xf>
    <xf numFmtId="3" fontId="8" fillId="13" borderId="0" xfId="0" applyNumberFormat="1" applyFont="1" applyFill="1" applyAlignment="1">
      <alignment horizontal="center" vertical="center"/>
    </xf>
    <xf numFmtId="3" fontId="9" fillId="0" borderId="0" xfId="0" applyNumberFormat="1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10" fontId="0" fillId="13" borderId="0" xfId="0" applyNumberFormat="1" applyFill="1" applyAlignment="1">
      <alignment horizontal="center" vertical="center"/>
    </xf>
    <xf numFmtId="3" fontId="8" fillId="0" borderId="0" xfId="0" applyNumberFormat="1" applyFont="1" applyAlignment="1">
      <alignment horizontal="left" vertical="center"/>
    </xf>
    <xf numFmtId="3" fontId="8" fillId="21" borderId="0" xfId="0" applyNumberFormat="1" applyFont="1" applyFill="1" applyAlignment="1">
      <alignment horizontal="left" vertical="center"/>
    </xf>
    <xf numFmtId="3" fontId="7" fillId="13" borderId="0" xfId="0" applyNumberFormat="1" applyFont="1" applyFill="1" applyAlignment="1">
      <alignment horizontal="center" vertical="center"/>
    </xf>
    <xf numFmtId="3" fontId="0" fillId="10" borderId="0" xfId="0" applyNumberFormat="1" applyFill="1" applyAlignment="1">
      <alignment horizontal="center" vertical="center"/>
    </xf>
    <xf numFmtId="4" fontId="0" fillId="10" borderId="0" xfId="0" applyNumberForma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4" fontId="0" fillId="14" borderId="0" xfId="0" applyNumberFormat="1" applyFill="1" applyAlignment="1">
      <alignment horizontal="center" vertical="center"/>
    </xf>
    <xf numFmtId="4" fontId="0" fillId="13" borderId="0" xfId="0" applyNumberFormat="1" applyFill="1" applyAlignment="1">
      <alignment horizontal="center" vertical="center"/>
    </xf>
    <xf numFmtId="3" fontId="7" fillId="12" borderId="0" xfId="0" applyNumberFormat="1" applyFont="1" applyFill="1" applyAlignment="1">
      <alignment vertical="center"/>
    </xf>
    <xf numFmtId="4" fontId="0" fillId="21" borderId="0" xfId="0" applyNumberFormat="1" applyFill="1" applyAlignment="1">
      <alignment horizontal="center" vertical="center"/>
    </xf>
    <xf numFmtId="4" fontId="7" fillId="21" borderId="0" xfId="0" applyNumberFormat="1" applyFont="1" applyFill="1" applyAlignment="1">
      <alignment horizontal="center" vertical="center"/>
    </xf>
    <xf numFmtId="3" fontId="0" fillId="18" borderId="0" xfId="0" applyNumberFormat="1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12" fillId="10" borderId="3" xfId="0" applyFont="1" applyFill="1" applyBorder="1" applyAlignment="1">
      <alignment horizontal="center" vertical="center"/>
    </xf>
    <xf numFmtId="0" fontId="12" fillId="10" borderId="4" xfId="0" applyFont="1" applyFill="1" applyBorder="1" applyAlignment="1">
      <alignment horizontal="center" vertical="center"/>
    </xf>
    <xf numFmtId="0" fontId="12" fillId="10" borderId="5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vertical="center"/>
    </xf>
    <xf numFmtId="4" fontId="0" fillId="12" borderId="0" xfId="0" applyNumberFormat="1" applyFill="1" applyAlignment="1">
      <alignment horizontal="center" vertical="center"/>
    </xf>
    <xf numFmtId="0" fontId="14" fillId="10" borderId="3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 wrapText="1"/>
    </xf>
    <xf numFmtId="0" fontId="14" fillId="10" borderId="5" xfId="0" applyFont="1" applyFill="1" applyBorder="1" applyAlignment="1">
      <alignment horizontal="center" vertical="center" wrapText="1"/>
    </xf>
    <xf numFmtId="3" fontId="9" fillId="0" borderId="0" xfId="0" applyNumberFormat="1" applyFont="1" applyAlignment="1">
      <alignment horizontal="left"/>
    </xf>
    <xf numFmtId="3" fontId="15" fillId="0" borderId="0" xfId="0" applyNumberFormat="1" applyFont="1" applyAlignment="1">
      <alignment horizontal="center" vertical="center"/>
    </xf>
    <xf numFmtId="2" fontId="10" fillId="10" borderId="0" xfId="0" applyNumberFormat="1" applyFont="1" applyFill="1" applyAlignment="1">
      <alignment horizontal="center" vertical="center"/>
    </xf>
    <xf numFmtId="3" fontId="7" fillId="12" borderId="0" xfId="0" applyNumberFormat="1" applyFont="1" applyFill="1" applyAlignment="1">
      <alignment horizontal="center" vertical="center"/>
    </xf>
    <xf numFmtId="3" fontId="7" fillId="12" borderId="0" xfId="0" applyNumberFormat="1" applyFont="1" applyFill="1" applyAlignment="1">
      <alignment horizontal="left" vertical="center"/>
    </xf>
    <xf numFmtId="0" fontId="14" fillId="10" borderId="3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center" vertical="center"/>
    </xf>
    <xf numFmtId="2" fontId="0" fillId="23" borderId="0" xfId="0" applyNumberFormat="1" applyFill="1" applyAlignment="1">
      <alignment horizontal="center" vertical="center"/>
    </xf>
    <xf numFmtId="0" fontId="7" fillId="4" borderId="0" xfId="0" applyFont="1" applyFill="1" applyAlignment="1">
      <alignment horizontal="left"/>
    </xf>
    <xf numFmtId="0" fontId="7" fillId="14" borderId="0" xfId="0" applyFont="1" applyFill="1" applyAlignment="1">
      <alignment horizontal="center"/>
    </xf>
    <xf numFmtId="0" fontId="16" fillId="0" borderId="0" xfId="0" applyFont="1" applyAlignment="1">
      <alignment horizontal="center" vertical="center"/>
    </xf>
    <xf numFmtId="0" fontId="7" fillId="10" borderId="0" xfId="0" applyFont="1" applyFill="1" applyAlignment="1">
      <alignment horizontal="center" vertical="center"/>
    </xf>
    <xf numFmtId="0" fontId="10" fillId="0" borderId="0" xfId="0" applyFont="1"/>
    <xf numFmtId="3" fontId="10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16" fontId="0" fillId="0" borderId="0" xfId="0" applyNumberFormat="1" applyAlignment="1">
      <alignment horizontal="center" vertical="center" wrapText="1"/>
    </xf>
    <xf numFmtId="178" fontId="0" fillId="10" borderId="0" xfId="0" applyNumberFormat="1" applyFill="1" applyAlignment="1">
      <alignment horizontal="center" vertical="center"/>
    </xf>
    <xf numFmtId="178" fontId="0" fillId="10" borderId="0" xfId="0" applyNumberFormat="1" applyFill="1" applyAlignment="1">
      <alignment horizontal="center"/>
    </xf>
    <xf numFmtId="178" fontId="0" fillId="0" borderId="0" xfId="0" applyNumberFormat="1" applyAlignment="1">
      <alignment horizontal="center"/>
    </xf>
    <xf numFmtId="2" fontId="7" fillId="10" borderId="1" xfId="0" applyNumberFormat="1" applyFont="1" applyFill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7" fillId="20" borderId="0" xfId="0" applyFont="1" applyFill="1"/>
    <xf numFmtId="4" fontId="0" fillId="0" borderId="0" xfId="0" applyNumberFormat="1" applyAlignment="1">
      <alignment horizontal="center" vertical="center" wrapText="1"/>
    </xf>
    <xf numFmtId="4" fontId="0" fillId="13" borderId="0" xfId="0" applyNumberFormat="1" applyFill="1" applyAlignment="1">
      <alignment horizontal="center" vertical="center" wrapText="1"/>
    </xf>
    <xf numFmtId="0" fontId="2" fillId="6" borderId="5" xfId="0" applyFont="1" applyFill="1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6" borderId="1" xfId="0" applyFill="1" applyBorder="1"/>
    <xf numFmtId="0" fontId="4" fillId="6" borderId="1" xfId="0" applyFont="1" applyFill="1" applyBorder="1" applyAlignment="1">
      <alignment horizontal="center"/>
    </xf>
    <xf numFmtId="0" fontId="0" fillId="7" borderId="1" xfId="0" applyFill="1" applyBorder="1"/>
    <xf numFmtId="0" fontId="16" fillId="0" borderId="0" xfId="0" applyFont="1" applyAlignment="1">
      <alignment wrapText="1"/>
    </xf>
    <xf numFmtId="0" fontId="12" fillId="11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10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2" fontId="0" fillId="24" borderId="0" xfId="0" applyNumberFormat="1" applyFill="1" applyAlignment="1">
      <alignment horizontal="center" vertical="center"/>
    </xf>
    <xf numFmtId="0" fontId="7" fillId="0" borderId="0" xfId="0" applyFont="1"/>
    <xf numFmtId="0" fontId="1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7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3" fontId="6" fillId="0" borderId="0" xfId="0" applyNumberFormat="1" applyFont="1" applyAlignment="1">
      <alignment horizontal="center" vertical="center"/>
    </xf>
    <xf numFmtId="4" fontId="17" fillId="0" borderId="0" xfId="0" applyNumberFormat="1" applyFont="1" applyAlignment="1">
      <alignment horizontal="center" vertical="center"/>
    </xf>
    <xf numFmtId="3" fontId="0" fillId="21" borderId="0" xfId="0" applyNumberFormat="1" applyFill="1" applyAlignment="1">
      <alignment horizontal="center" vertical="center"/>
    </xf>
    <xf numFmtId="0" fontId="17" fillId="0" borderId="0" xfId="0" applyFont="1" applyAlignment="1">
      <alignment vertical="center"/>
    </xf>
    <xf numFmtId="0" fontId="13" fillId="0" borderId="0" xfId="0" applyFont="1"/>
    <xf numFmtId="0" fontId="7" fillId="25" borderId="0" xfId="0" applyFont="1" applyFill="1" applyAlignment="1">
      <alignment horizontal="center" vertical="center"/>
    </xf>
    <xf numFmtId="3" fontId="7" fillId="10" borderId="0" xfId="0" applyNumberFormat="1" applyFont="1" applyFill="1" applyAlignment="1">
      <alignment vertical="center"/>
    </xf>
    <xf numFmtId="2" fontId="7" fillId="0" borderId="0" xfId="0" applyNumberFormat="1" applyFont="1" applyAlignment="1">
      <alignment horizontal="center" vertical="center"/>
    </xf>
    <xf numFmtId="3" fontId="0" fillId="18" borderId="0" xfId="0" applyNumberFormat="1" applyFill="1" applyAlignment="1">
      <alignment horizontal="center" vertical="center" wrapText="1"/>
    </xf>
    <xf numFmtId="0" fontId="2" fillId="21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 wrapText="1"/>
    </xf>
    <xf numFmtId="3" fontId="18" fillId="23" borderId="0" xfId="0" applyNumberFormat="1" applyFont="1" applyFill="1" applyAlignment="1">
      <alignment horizontal="center"/>
    </xf>
    <xf numFmtId="3" fontId="19" fillId="23" borderId="0" xfId="0" applyNumberFormat="1" applyFont="1" applyFill="1" applyAlignment="1">
      <alignment horizontal="left" vertical="center"/>
    </xf>
    <xf numFmtId="3" fontId="8" fillId="12" borderId="0" xfId="0" applyNumberFormat="1" applyFont="1" applyFill="1" applyAlignment="1">
      <alignment horizontal="center"/>
    </xf>
    <xf numFmtId="3" fontId="20" fillId="23" borderId="0" xfId="0" applyNumberFormat="1" applyFont="1" applyFill="1" applyAlignment="1">
      <alignment horizontal="center" vertical="center"/>
    </xf>
    <xf numFmtId="3" fontId="10" fillId="0" borderId="0" xfId="0" applyNumberFormat="1" applyFont="1" applyAlignment="1">
      <alignment horizontal="center" vertical="center"/>
    </xf>
    <xf numFmtId="10" fontId="0" fillId="14" borderId="0" xfId="0" applyNumberFormat="1" applyFill="1" applyAlignment="1">
      <alignment horizontal="center" vertical="center"/>
    </xf>
    <xf numFmtId="0" fontId="20" fillId="23" borderId="0" xfId="0" applyFont="1" applyFill="1" applyAlignment="1">
      <alignment horizontal="center" vertical="center"/>
    </xf>
    <xf numFmtId="0" fontId="20" fillId="23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/>
    </xf>
    <xf numFmtId="3" fontId="7" fillId="15" borderId="0" xfId="0" applyNumberFormat="1" applyFont="1" applyFill="1" applyAlignment="1">
      <alignment horizontal="center" vertical="center"/>
    </xf>
    <xf numFmtId="4" fontId="7" fillId="10" borderId="0" xfId="0" applyNumberFormat="1" applyFont="1" applyFill="1" applyAlignment="1">
      <alignment horizontal="center" vertical="center"/>
    </xf>
    <xf numFmtId="2" fontId="0" fillId="26" borderId="0" xfId="0" applyNumberFormat="1" applyFill="1" applyAlignment="1">
      <alignment horizontal="center" vertical="center"/>
    </xf>
    <xf numFmtId="4" fontId="0" fillId="26" borderId="0" xfId="0" applyNumberFormat="1" applyFill="1" applyAlignment="1">
      <alignment horizontal="center" vertical="center"/>
    </xf>
    <xf numFmtId="0" fontId="6" fillId="6" borderId="1" xfId="0" applyFont="1" applyFill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6" fillId="0" borderId="0" xfId="0" applyFont="1"/>
    <xf numFmtId="0" fontId="6" fillId="0" borderId="0" xfId="0" applyFont="1" applyAlignment="1">
      <alignment horizontal="left"/>
    </xf>
    <xf numFmtId="0" fontId="4" fillId="7" borderId="3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 wrapText="1"/>
    </xf>
    <xf numFmtId="0" fontId="2" fillId="10" borderId="3" xfId="0" applyFont="1" applyFill="1" applyBorder="1" applyAlignment="1">
      <alignment vertical="center" wrapText="1"/>
    </xf>
    <xf numFmtId="0" fontId="2" fillId="10" borderId="4" xfId="0" applyFont="1" applyFill="1" applyBorder="1" applyAlignment="1">
      <alignment vertical="center"/>
    </xf>
    <xf numFmtId="3" fontId="0" fillId="5" borderId="0" xfId="0" applyNumberFormat="1" applyFill="1" applyAlignment="1">
      <alignment vertical="center"/>
    </xf>
    <xf numFmtId="3" fontId="0" fillId="5" borderId="0" xfId="0" applyNumberFormat="1" applyFill="1" applyAlignment="1">
      <alignment horizontal="center" vertical="center"/>
    </xf>
    <xf numFmtId="0" fontId="6" fillId="6" borderId="1" xfId="0" applyFont="1" applyFill="1" applyBorder="1"/>
    <xf numFmtId="0" fontId="21" fillId="27" borderId="10" xfId="0" applyFont="1" applyFill="1" applyBorder="1"/>
    <xf numFmtId="179" fontId="22" fillId="28" borderId="10" xfId="0" applyNumberFormat="1" applyFont="1" applyFill="1" applyBorder="1" applyAlignment="1">
      <alignment horizontal="center" vertical="center"/>
    </xf>
    <xf numFmtId="0" fontId="23" fillId="0" borderId="11" xfId="0" applyFont="1" applyBorder="1"/>
    <xf numFmtId="0" fontId="22" fillId="0" borderId="0" xfId="0" applyFont="1"/>
    <xf numFmtId="0" fontId="21" fillId="27" borderId="10" xfId="0" applyFont="1" applyFill="1" applyBorder="1" applyAlignment="1">
      <alignment horizontal="center" vertical="center"/>
    </xf>
    <xf numFmtId="0" fontId="23" fillId="0" borderId="12" xfId="0" applyFont="1" applyBorder="1"/>
    <xf numFmtId="0" fontId="21" fillId="27" borderId="12" xfId="0" applyFont="1" applyFill="1" applyBorder="1" applyAlignment="1">
      <alignment horizontal="center" vertical="center"/>
    </xf>
    <xf numFmtId="0" fontId="21" fillId="27" borderId="13" xfId="0" applyFont="1" applyFill="1" applyBorder="1"/>
    <xf numFmtId="10" fontId="22" fillId="28" borderId="13" xfId="0" applyNumberFormat="1" applyFont="1" applyFill="1" applyBorder="1" applyAlignment="1">
      <alignment horizontal="center" vertical="center"/>
    </xf>
    <xf numFmtId="10" fontId="23" fillId="0" borderId="14" xfId="0" applyNumberFormat="1" applyFont="1" applyBorder="1"/>
    <xf numFmtId="0" fontId="22" fillId="0" borderId="0" xfId="0" applyFont="1" applyAlignment="1">
      <alignment horizontal="center"/>
    </xf>
    <xf numFmtId="179" fontId="21" fillId="28" borderId="15" xfId="0" applyNumberFormat="1" applyFont="1" applyFill="1" applyBorder="1" applyAlignment="1">
      <alignment horizontal="center" vertical="center"/>
    </xf>
    <xf numFmtId="0" fontId="23" fillId="0" borderId="16" xfId="0" applyFont="1" applyBorder="1"/>
    <xf numFmtId="0" fontId="23" fillId="0" borderId="17" xfId="0" applyFont="1" applyBorder="1"/>
    <xf numFmtId="179" fontId="21" fillId="28" borderId="16" xfId="0" applyNumberFormat="1" applyFont="1" applyFill="1" applyBorder="1" applyAlignment="1">
      <alignment horizontal="center" vertical="center"/>
    </xf>
    <xf numFmtId="0" fontId="22" fillId="28" borderId="13" xfId="0" applyFont="1" applyFill="1" applyBorder="1" applyAlignment="1">
      <alignment horizontal="center" vertical="center"/>
    </xf>
    <xf numFmtId="0" fontId="23" fillId="0" borderId="14" xfId="0" applyFont="1" applyBorder="1"/>
    <xf numFmtId="0" fontId="23" fillId="0" borderId="18" xfId="0" applyFont="1" applyBorder="1"/>
    <xf numFmtId="0" fontId="23" fillId="0" borderId="19" xfId="0" applyFont="1" applyBorder="1"/>
    <xf numFmtId="0" fontId="23" fillId="0" borderId="0" xfId="0" applyFont="1"/>
    <xf numFmtId="0" fontId="21" fillId="27" borderId="20" xfId="0" applyFont="1" applyFill="1" applyBorder="1"/>
    <xf numFmtId="179" fontId="22" fillId="28" borderId="20" xfId="0" applyNumberFormat="1" applyFont="1" applyFill="1" applyBorder="1" applyAlignment="1">
      <alignment horizontal="center" vertical="center"/>
    </xf>
    <xf numFmtId="0" fontId="23" fillId="0" borderId="21" xfId="0" applyFont="1" applyBorder="1"/>
    <xf numFmtId="0" fontId="23" fillId="0" borderId="22" xfId="0" applyFont="1" applyBorder="1"/>
    <xf numFmtId="0" fontId="23" fillId="0" borderId="23" xfId="0" applyFont="1" applyBorder="1"/>
    <xf numFmtId="0" fontId="23" fillId="0" borderId="24" xfId="0" applyFont="1" applyBorder="1"/>
    <xf numFmtId="0" fontId="21" fillId="29" borderId="25" xfId="0" applyFont="1" applyFill="1" applyBorder="1" applyAlignment="1">
      <alignment horizontal="center"/>
    </xf>
    <xf numFmtId="0" fontId="21" fillId="30" borderId="26" xfId="0" applyFont="1" applyFill="1" applyBorder="1" applyAlignment="1">
      <alignment horizontal="center"/>
    </xf>
    <xf numFmtId="0" fontId="21" fillId="30" borderId="27" xfId="0" applyFont="1" applyFill="1" applyBorder="1" applyAlignment="1">
      <alignment horizontal="center"/>
    </xf>
    <xf numFmtId="0" fontId="21" fillId="30" borderId="28" xfId="0" applyFont="1" applyFill="1" applyBorder="1" applyAlignment="1">
      <alignment horizontal="center"/>
    </xf>
    <xf numFmtId="0" fontId="21" fillId="29" borderId="29" xfId="0" applyFont="1" applyFill="1" applyBorder="1" applyAlignment="1">
      <alignment horizontal="center"/>
    </xf>
    <xf numFmtId="179" fontId="22" fillId="0" borderId="30" xfId="0" applyNumberFormat="1" applyFont="1" applyBorder="1" applyAlignment="1">
      <alignment horizontal="center"/>
    </xf>
    <xf numFmtId="179" fontId="22" fillId="0" borderId="31" xfId="0" applyNumberFormat="1" applyFont="1" applyBorder="1" applyAlignment="1">
      <alignment horizontal="center"/>
    </xf>
    <xf numFmtId="179" fontId="22" fillId="0" borderId="32" xfId="0" applyNumberFormat="1" applyFont="1" applyBorder="1" applyAlignment="1">
      <alignment horizontal="center"/>
    </xf>
    <xf numFmtId="0" fontId="24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0" fillId="0" borderId="9" xfId="0" applyBorder="1"/>
    <xf numFmtId="0" fontId="1" fillId="4" borderId="2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1" fillId="0" borderId="2" xfId="0" applyFont="1" applyBorder="1" applyAlignment="1">
      <alignment vertical="center"/>
    </xf>
    <xf numFmtId="0" fontId="1" fillId="18" borderId="0" xfId="0" applyFont="1" applyFill="1" applyAlignment="1">
      <alignment vertical="center"/>
    </xf>
    <xf numFmtId="2" fontId="1" fillId="0" borderId="0" xfId="0" applyNumberFormat="1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9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F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tyles" Target="styles.xml"/><Relationship Id="rId36" Type="http://schemas.openxmlformats.org/officeDocument/2006/relationships/sharedStrings" Target="sharedString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4.xml.rels><?xml version="1.0" encoding="UTF-8" standalone="yes"?>
<Relationships xmlns="http://schemas.openxmlformats.org/package/2006/relationships"><Relationship Id="rId7" Type="http://schemas.openxmlformats.org/officeDocument/2006/relationships/hyperlink" Target="https://www.nepalipaisa.com/" TargetMode="External"/><Relationship Id="rId6" Type="http://schemas.openxmlformats.org/officeDocument/2006/relationships/hyperlink" Target="https://www.sharesansar.com/" TargetMode="External"/><Relationship Id="rId5" Type="http://schemas.openxmlformats.org/officeDocument/2006/relationships/hyperlink" Target="https://finance.yahoo.com/" TargetMode="External"/><Relationship Id="rId4" Type="http://schemas.openxmlformats.org/officeDocument/2006/relationships/hyperlink" Target="https://finviz.com/" TargetMode="External"/><Relationship Id="rId3" Type="http://schemas.openxmlformats.org/officeDocument/2006/relationships/hyperlink" Target="https://www.gurufocus.com/" TargetMode="External"/><Relationship Id="rId2" Type="http://schemas.openxmlformats.org/officeDocument/2006/relationships/hyperlink" Target="https://www.google.com/finance/?hl=en" TargetMode="External"/><Relationship Id="rId1" Type="http://schemas.openxmlformats.org/officeDocument/2006/relationships/hyperlink" Target="https://www.alphaspread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8"/>
  <sheetViews>
    <sheetView workbookViewId="0">
      <selection activeCell="B11" sqref="B11"/>
    </sheetView>
  </sheetViews>
  <sheetFormatPr defaultColWidth="9" defaultRowHeight="15.75" outlineLevelCol="6"/>
  <cols>
    <col min="1" max="1" width="5.45714285714286" style="366" customWidth="1"/>
    <col min="2" max="2" width="39.0857142857143" style="366" customWidth="1"/>
    <col min="3" max="3" width="2.45714285714286" style="366" customWidth="1"/>
    <col min="4" max="4" width="55.7238095238095" style="366" customWidth="1"/>
    <col min="5" max="5" width="81.2666666666667" style="366" customWidth="1"/>
    <col min="6" max="6" width="8.72380952380952" style="366"/>
    <col min="7" max="7" width="9.26666666666667" style="366" customWidth="1"/>
    <col min="8" max="16384" width="8.72380952380952" style="366"/>
  </cols>
  <sheetData>
    <row r="1" spans="1:5">
      <c r="A1" s="4" t="s">
        <v>0</v>
      </c>
      <c r="B1" s="4"/>
      <c r="C1" s="4"/>
      <c r="D1" s="4"/>
      <c r="E1" s="4" t="s">
        <v>1</v>
      </c>
    </row>
    <row r="2" spans="1:5">
      <c r="B2" s="366" t="s">
        <v>2</v>
      </c>
      <c r="C2" s="366" t="s">
        <v>3</v>
      </c>
      <c r="D2" s="366" t="s">
        <v>4</v>
      </c>
    </row>
    <row r="4" spans="1:5">
      <c r="B4" s="366" t="s">
        <v>5</v>
      </c>
      <c r="C4" s="366" t="s">
        <v>3</v>
      </c>
      <c r="D4" s="366" t="s">
        <v>6</v>
      </c>
    </row>
    <row r="6" spans="1:5">
      <c r="B6" s="366" t="s">
        <v>7</v>
      </c>
      <c r="C6" s="366" t="s">
        <v>3</v>
      </c>
      <c r="D6" s="366" t="s">
        <v>8</v>
      </c>
    </row>
    <row r="8" ht="16.5" spans="1:5">
      <c r="B8" s="365" t="s">
        <v>9</v>
      </c>
      <c r="C8" s="365" t="s">
        <v>3</v>
      </c>
      <c r="D8" s="367" t="s">
        <v>10</v>
      </c>
    </row>
    <row r="9" spans="1:5">
      <c r="B9" s="365"/>
      <c r="C9" s="365"/>
      <c r="D9" s="366" t="s">
        <v>11</v>
      </c>
    </row>
    <row r="10" spans="1:5">
      <c r="B10" s="365"/>
      <c r="C10" s="365"/>
    </row>
    <row r="11" spans="1:5">
      <c r="B11" s="365" t="s">
        <v>12</v>
      </c>
      <c r="C11" s="366" t="s">
        <v>3</v>
      </c>
      <c r="D11" s="366" t="s">
        <v>13</v>
      </c>
    </row>
    <row r="12" spans="1:5">
      <c r="B12" s="365"/>
    </row>
    <row r="13" s="12" customFormat="1" ht="31.5" spans="1:5">
      <c r="B13" s="368" t="s">
        <v>14</v>
      </c>
      <c r="C13" s="12" t="s">
        <v>3</v>
      </c>
      <c r="D13" s="365" t="s">
        <v>7</v>
      </c>
    </row>
    <row r="14" s="12" customFormat="1" spans="1:5">
      <c r="B14" s="365"/>
      <c r="D14" s="365"/>
    </row>
    <row r="15" spans="1:5">
      <c r="B15" s="365" t="s">
        <v>15</v>
      </c>
      <c r="C15" s="12" t="s">
        <v>3</v>
      </c>
      <c r="D15" s="366" t="s">
        <v>16</v>
      </c>
    </row>
    <row r="16" spans="1:5">
      <c r="B16" s="365"/>
      <c r="C16" s="12"/>
    </row>
    <row r="17" spans="2:5">
      <c r="B17" s="365" t="s">
        <v>17</v>
      </c>
      <c r="C17" s="12" t="s">
        <v>3</v>
      </c>
      <c r="D17" s="366" t="s">
        <v>18</v>
      </c>
    </row>
    <row r="18" spans="2:5">
      <c r="B18" s="365"/>
      <c r="C18" s="12"/>
    </row>
    <row r="19" spans="2:5">
      <c r="B19" s="365" t="s">
        <v>19</v>
      </c>
      <c r="C19" s="12" t="s">
        <v>3</v>
      </c>
      <c r="D19" s="366" t="s">
        <v>20</v>
      </c>
    </row>
    <row r="20" spans="2:5">
      <c r="B20" s="365"/>
      <c r="C20" s="12"/>
    </row>
    <row r="21" spans="2:5">
      <c r="B21" s="365" t="s">
        <v>21</v>
      </c>
      <c r="C21" s="12" t="s">
        <v>3</v>
      </c>
      <c r="D21" s="366" t="s">
        <v>22</v>
      </c>
    </row>
    <row r="22" spans="2:5">
      <c r="B22" s="365"/>
      <c r="C22" s="12"/>
    </row>
    <row r="23" spans="2:5">
      <c r="B23" s="365" t="s">
        <v>23</v>
      </c>
      <c r="C23" s="12" t="s">
        <v>3</v>
      </c>
      <c r="D23" s="366" t="s">
        <v>24</v>
      </c>
      <c r="E23" s="366" t="s">
        <v>25</v>
      </c>
    </row>
    <row r="24" spans="2:5">
      <c r="B24" s="365"/>
      <c r="C24" s="12"/>
    </row>
    <row r="25" spans="2:5">
      <c r="B25" s="365" t="s">
        <v>26</v>
      </c>
      <c r="C25" s="12" t="s">
        <v>3</v>
      </c>
      <c r="D25" s="366" t="s">
        <v>27</v>
      </c>
    </row>
    <row r="26" spans="2:5">
      <c r="B26" s="365"/>
      <c r="C26" s="12"/>
    </row>
    <row r="27" ht="47.25" spans="2:5">
      <c r="B27" s="19" t="s">
        <v>28</v>
      </c>
      <c r="C27" s="12" t="s">
        <v>3</v>
      </c>
      <c r="D27" s="366" t="s">
        <v>29</v>
      </c>
      <c r="E27" s="19" t="s">
        <v>30</v>
      </c>
    </row>
    <row r="28" spans="2:5">
      <c r="B28" s="19"/>
      <c r="C28" s="12"/>
      <c r="E28" s="19"/>
    </row>
    <row r="29" spans="2:5">
      <c r="B29" s="365" t="s">
        <v>31</v>
      </c>
      <c r="C29" s="12" t="s">
        <v>3</v>
      </c>
      <c r="D29" s="366" t="s">
        <v>32</v>
      </c>
      <c r="E29" s="366" t="s">
        <v>33</v>
      </c>
    </row>
    <row r="30" spans="2:5">
      <c r="B30" s="365"/>
      <c r="C30" s="12"/>
    </row>
    <row r="31" ht="31.5" spans="2:5">
      <c r="B31" s="366" t="s">
        <v>34</v>
      </c>
      <c r="C31" s="12" t="s">
        <v>3</v>
      </c>
      <c r="D31" s="366" t="s">
        <v>35</v>
      </c>
      <c r="E31" s="19" t="s">
        <v>36</v>
      </c>
    </row>
    <row r="32" spans="2:5">
      <c r="C32" s="12"/>
      <c r="E32" s="19"/>
    </row>
    <row r="33" ht="31.5" spans="2:5">
      <c r="B33" s="366" t="s">
        <v>37</v>
      </c>
      <c r="C33" s="12" t="s">
        <v>3</v>
      </c>
      <c r="D33" s="368" t="s">
        <v>38</v>
      </c>
      <c r="E33" s="19"/>
    </row>
    <row r="34" spans="2:5">
      <c r="C34" s="12"/>
      <c r="D34" s="368"/>
      <c r="E34" s="19"/>
    </row>
    <row r="35" spans="2:5">
      <c r="B35" s="365" t="s">
        <v>39</v>
      </c>
      <c r="C35" s="12" t="s">
        <v>3</v>
      </c>
      <c r="D35" s="369" t="s">
        <v>40</v>
      </c>
      <c r="E35" s="19"/>
    </row>
    <row r="36" spans="2:5">
      <c r="B36" s="365"/>
      <c r="C36" s="12"/>
      <c r="D36" s="368" t="s">
        <v>41</v>
      </c>
      <c r="E36" s="19"/>
    </row>
    <row r="37" spans="2:5">
      <c r="B37" s="365"/>
      <c r="C37" s="12"/>
      <c r="D37" s="368"/>
      <c r="E37" s="19"/>
    </row>
    <row r="38" ht="31.5" spans="2:5">
      <c r="B38" s="366" t="s">
        <v>42</v>
      </c>
      <c r="C38" s="12" t="s">
        <v>3</v>
      </c>
      <c r="D38" s="366" t="s">
        <v>43</v>
      </c>
      <c r="E38" s="19" t="s">
        <v>44</v>
      </c>
    </row>
    <row r="39" spans="2:5">
      <c r="C39" s="12"/>
      <c r="E39" s="19"/>
    </row>
    <row r="40" spans="2:5">
      <c r="B40" s="366" t="s">
        <v>45</v>
      </c>
      <c r="C40" s="12" t="s">
        <v>3</v>
      </c>
      <c r="D40" s="99" t="s">
        <v>46</v>
      </c>
      <c r="E40" s="99"/>
    </row>
    <row r="41" spans="2:5">
      <c r="C41" s="12"/>
      <c r="D41" s="99"/>
      <c r="E41" s="99"/>
    </row>
    <row r="42" ht="30" spans="2:5">
      <c r="B42" s="366" t="s">
        <v>47</v>
      </c>
      <c r="C42" s="12" t="s">
        <v>3</v>
      </c>
      <c r="D42" s="366" t="s">
        <v>48</v>
      </c>
      <c r="E42" s="370" t="s">
        <v>49</v>
      </c>
    </row>
    <row r="43" spans="2:5">
      <c r="C43" s="12"/>
      <c r="E43" s="370"/>
    </row>
    <row r="44" spans="2:5">
      <c r="B44" s="366" t="s">
        <v>50</v>
      </c>
      <c r="C44" s="12" t="s">
        <v>3</v>
      </c>
      <c r="D44" s="19" t="s">
        <v>51</v>
      </c>
      <c r="E44" s="366" t="s">
        <v>52</v>
      </c>
    </row>
    <row r="45" spans="2:5">
      <c r="C45" s="12"/>
      <c r="D45" s="19"/>
    </row>
    <row r="46" ht="30" spans="2:5">
      <c r="B46" s="366" t="s">
        <v>53</v>
      </c>
      <c r="C46" s="12" t="s">
        <v>3</v>
      </c>
      <c r="D46" s="99" t="s">
        <v>54</v>
      </c>
      <c r="E46" s="103" t="s">
        <v>55</v>
      </c>
    </row>
    <row r="47" spans="2:5">
      <c r="C47" s="12"/>
      <c r="D47" s="99"/>
      <c r="E47" s="103"/>
    </row>
    <row r="48" ht="16.5" spans="2:5">
      <c r="B48" s="366" t="s">
        <v>56</v>
      </c>
      <c r="C48" s="12" t="s">
        <v>3</v>
      </c>
      <c r="D48" s="371" t="s">
        <v>57</v>
      </c>
    </row>
    <row r="49" spans="2:4">
      <c r="D49" s="12">
        <v>2</v>
      </c>
    </row>
    <row r="50" spans="2:4">
      <c r="D50" s="12"/>
    </row>
    <row r="51" spans="2:4">
      <c r="B51" s="366" t="s">
        <v>58</v>
      </c>
      <c r="D51" s="366" t="s">
        <v>59</v>
      </c>
    </row>
    <row r="53" ht="47.25" spans="2:4">
      <c r="B53" s="366" t="s">
        <v>60</v>
      </c>
      <c r="C53" s="12" t="s">
        <v>3</v>
      </c>
      <c r="D53" s="19" t="s">
        <v>61</v>
      </c>
    </row>
    <row r="54" spans="2:4">
      <c r="C54" s="12"/>
      <c r="D54" s="19"/>
    </row>
    <row r="55" spans="2:4">
      <c r="B55" s="366" t="s">
        <v>62</v>
      </c>
      <c r="C55" s="12" t="s">
        <v>3</v>
      </c>
      <c r="D55" s="366" t="s">
        <v>63</v>
      </c>
    </row>
    <row r="56" spans="2:4">
      <c r="C56" s="12"/>
    </row>
    <row r="57" spans="2:4">
      <c r="B57" s="366" t="s">
        <v>64</v>
      </c>
    </row>
    <row r="59" spans="2:4">
      <c r="B59" s="45" t="s">
        <v>65</v>
      </c>
      <c r="C59" s="12" t="s">
        <v>3</v>
      </c>
      <c r="D59" s="372" t="s">
        <v>66</v>
      </c>
    </row>
    <row r="60" spans="2:4">
      <c r="B60" s="45"/>
      <c r="C60" s="12"/>
      <c r="D60" s="365" t="s">
        <v>67</v>
      </c>
    </row>
    <row r="61" spans="2:4">
      <c r="B61" s="45"/>
      <c r="D61" s="365"/>
    </row>
    <row r="62" spans="2:4">
      <c r="B62" s="365" t="s">
        <v>68</v>
      </c>
      <c r="D62" s="366" t="s">
        <v>69</v>
      </c>
    </row>
    <row r="63" spans="2:4">
      <c r="B63" s="365"/>
      <c r="D63" s="366" t="s">
        <v>70</v>
      </c>
    </row>
    <row r="64" spans="2:4">
      <c r="B64" s="365"/>
      <c r="D64" s="366" t="s">
        <v>71</v>
      </c>
    </row>
    <row r="65" spans="2:7">
      <c r="B65" s="365"/>
      <c r="D65" s="366" t="s">
        <v>72</v>
      </c>
    </row>
    <row r="66" spans="2:7">
      <c r="B66" s="373" t="s">
        <v>73</v>
      </c>
      <c r="D66" s="366" t="s">
        <v>74</v>
      </c>
    </row>
    <row r="67" spans="2:7">
      <c r="B67" s="373"/>
      <c r="D67" s="366" t="s">
        <v>75</v>
      </c>
    </row>
    <row r="68" spans="2:7">
      <c r="B68" s="373"/>
      <c r="D68" s="365" t="s">
        <v>76</v>
      </c>
      <c r="E68" s="365"/>
    </row>
    <row r="69" spans="2:7">
      <c r="B69" s="373"/>
      <c r="D69" s="366" t="s">
        <v>77</v>
      </c>
    </row>
    <row r="71" spans="2:7">
      <c r="B71" s="365" t="s">
        <v>78</v>
      </c>
      <c r="C71" s="12" t="s">
        <v>3</v>
      </c>
      <c r="D71" s="374" t="s">
        <v>79</v>
      </c>
    </row>
    <row r="72" spans="2:7">
      <c r="B72" s="365"/>
      <c r="C72" s="12"/>
      <c r="D72" s="375" t="s">
        <v>80</v>
      </c>
      <c r="F72" s="376"/>
      <c r="G72" s="12"/>
    </row>
    <row r="73" spans="2:7">
      <c r="F73" s="365"/>
      <c r="G73" s="12"/>
    </row>
    <row r="74" spans="2:7">
      <c r="B74" s="112" t="s">
        <v>81</v>
      </c>
      <c r="C74" s="12" t="s">
        <v>3</v>
      </c>
      <c r="D74" s="374" t="s">
        <v>82</v>
      </c>
      <c r="G74" s="12"/>
    </row>
    <row r="75" spans="2:7">
      <c r="B75" s="112"/>
      <c r="C75" s="12"/>
      <c r="D75" s="365" t="s">
        <v>83</v>
      </c>
      <c r="E75" s="222"/>
      <c r="F75" s="376"/>
      <c r="G75" s="12"/>
    </row>
    <row r="76" spans="2:7">
      <c r="D76" s="365"/>
      <c r="E76" s="222"/>
      <c r="G76" s="12"/>
    </row>
    <row r="77" spans="2:7">
      <c r="B77" s="365" t="s">
        <v>84</v>
      </c>
      <c r="C77" s="12" t="s">
        <v>3</v>
      </c>
      <c r="D77" s="374" t="s">
        <v>85</v>
      </c>
      <c r="E77" s="222"/>
    </row>
    <row r="78" spans="2:7">
      <c r="B78" s="365"/>
      <c r="C78" s="12"/>
      <c r="D78" s="366" t="s">
        <v>67</v>
      </c>
      <c r="E78" s="222"/>
    </row>
    <row r="79" spans="2:7">
      <c r="E79" s="222"/>
    </row>
    <row r="80" spans="2:7">
      <c r="B80" s="12" t="s">
        <v>86</v>
      </c>
      <c r="D80" s="365" t="s">
        <v>87</v>
      </c>
      <c r="E80" s="222"/>
    </row>
    <row r="81" spans="2:5">
      <c r="B81" s="12" t="s">
        <v>88</v>
      </c>
      <c r="D81" s="365" t="s">
        <v>89</v>
      </c>
      <c r="E81" s="365"/>
    </row>
    <row r="82" spans="2:5">
      <c r="B82" s="12" t="s">
        <v>90</v>
      </c>
      <c r="D82" s="366" t="s">
        <v>91</v>
      </c>
      <c r="E82" s="365"/>
    </row>
    <row r="83" spans="2:5">
      <c r="B83" s="12" t="s">
        <v>92</v>
      </c>
      <c r="D83" s="366" t="s">
        <v>93</v>
      </c>
      <c r="E83" s="365"/>
    </row>
    <row r="84" spans="2:5">
      <c r="E84" s="365"/>
    </row>
    <row r="85" ht="31" customHeight="1" spans="2:5">
      <c r="B85" s="366" t="s">
        <v>94</v>
      </c>
      <c r="D85" s="19" t="s">
        <v>95</v>
      </c>
      <c r="E85" s="366" t="s">
        <v>96</v>
      </c>
    </row>
    <row r="86" spans="2:5">
      <c r="B86" s="66" t="s">
        <v>94</v>
      </c>
      <c r="D86" s="19" t="s">
        <v>97</v>
      </c>
      <c r="E86" s="366" t="s">
        <v>98</v>
      </c>
    </row>
    <row r="87" spans="2:5">
      <c r="B87" s="66"/>
      <c r="D87" s="19"/>
    </row>
    <row r="88" spans="2:5">
      <c r="B88" s="366" t="s">
        <v>99</v>
      </c>
      <c r="D88" s="366" t="s">
        <v>100</v>
      </c>
    </row>
    <row r="89" spans="2:5">
      <c r="B89" s="366" t="s">
        <v>101</v>
      </c>
      <c r="D89" s="377" t="s">
        <v>99</v>
      </c>
    </row>
    <row r="90" spans="2:5">
      <c r="D90" s="12">
        <v>100</v>
      </c>
    </row>
    <row r="91" spans="2:5">
      <c r="D91" s="12"/>
      <c r="E91" s="12"/>
    </row>
    <row r="92" spans="2:5">
      <c r="B92" s="378" t="s">
        <v>102</v>
      </c>
      <c r="D92" s="365" t="s">
        <v>103</v>
      </c>
      <c r="E92" s="365"/>
    </row>
    <row r="93" ht="46" customHeight="1" spans="2:5">
      <c r="B93" s="378" t="s">
        <v>104</v>
      </c>
      <c r="D93" s="368" t="s">
        <v>105</v>
      </c>
      <c r="E93" s="368"/>
    </row>
    <row r="95" spans="2:5">
      <c r="B95" s="366" t="s">
        <v>106</v>
      </c>
      <c r="D95" s="366" t="s">
        <v>107</v>
      </c>
    </row>
    <row r="96" spans="2:5">
      <c r="B96" s="366" t="s">
        <v>108</v>
      </c>
      <c r="D96" s="366" t="s">
        <v>109</v>
      </c>
    </row>
    <row r="97" spans="2:5">
      <c r="B97" s="366" t="s">
        <v>110</v>
      </c>
      <c r="D97" s="366" t="s">
        <v>111</v>
      </c>
    </row>
    <row r="98" spans="2:5">
      <c r="B98" s="366" t="s">
        <v>112</v>
      </c>
      <c r="D98" s="366" t="s">
        <v>113</v>
      </c>
    </row>
    <row r="100" spans="2:5">
      <c r="B100" s="365" t="s">
        <v>114</v>
      </c>
      <c r="D100" s="374" t="s">
        <v>115</v>
      </c>
      <c r="E100" s="365" t="s">
        <v>116</v>
      </c>
    </row>
    <row r="101" spans="2:5">
      <c r="B101" s="365"/>
      <c r="D101" s="366" t="s">
        <v>117</v>
      </c>
      <c r="E101" s="365"/>
    </row>
    <row r="102" s="365" customFormat="1" spans="2:5">
      <c r="D102" s="368"/>
    </row>
    <row r="103" spans="2:5">
      <c r="B103" s="366" t="s">
        <v>118</v>
      </c>
      <c r="D103" s="366" t="s">
        <v>119</v>
      </c>
    </row>
    <row r="104" spans="2:5">
      <c r="B104" s="366" t="s">
        <v>120</v>
      </c>
      <c r="D104" s="366" t="s">
        <v>121</v>
      </c>
    </row>
    <row r="106" spans="2:5">
      <c r="B106" s="366" t="s">
        <v>122</v>
      </c>
      <c r="C106" s="366" t="s">
        <v>123</v>
      </c>
      <c r="D106" s="366" t="s">
        <v>124</v>
      </c>
    </row>
    <row r="108" spans="2:5">
      <c r="B108" s="366" t="s">
        <v>125</v>
      </c>
      <c r="D108" s="366" t="s">
        <v>126</v>
      </c>
    </row>
  </sheetData>
  <mergeCells count="19">
    <mergeCell ref="D68:E68"/>
    <mergeCell ref="D91:E91"/>
    <mergeCell ref="D92:E92"/>
    <mergeCell ref="D93:E93"/>
    <mergeCell ref="B8:B9"/>
    <mergeCell ref="B35:B36"/>
    <mergeCell ref="B62:B65"/>
    <mergeCell ref="B66:B69"/>
    <mergeCell ref="B71:B72"/>
    <mergeCell ref="B74:B75"/>
    <mergeCell ref="B77:B78"/>
    <mergeCell ref="B100:B101"/>
    <mergeCell ref="C8:C9"/>
    <mergeCell ref="C35:C36"/>
    <mergeCell ref="C59:C60"/>
    <mergeCell ref="C71:C72"/>
    <mergeCell ref="C74:C75"/>
    <mergeCell ref="C77:C78"/>
    <mergeCell ref="E100:E101"/>
  </mergeCell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AZ93"/>
  <sheetViews>
    <sheetView workbookViewId="0">
      <selection activeCell="D15" sqref="D15"/>
    </sheetView>
  </sheetViews>
  <sheetFormatPr defaultColWidth="14.4571428571429" defaultRowHeight="15"/>
  <cols>
    <col min="1" max="1" width="8.72380952380952" customWidth="1"/>
    <col min="2" max="2" width="27.0857142857143" customWidth="1"/>
    <col min="3" max="3" width="16.8190476190476" customWidth="1"/>
    <col min="4" max="32" width="11.5428571428571" customWidth="1"/>
  </cols>
  <sheetData>
    <row r="1" ht="15.75"/>
    <row r="2" ht="14.25" customHeight="1" spans="2:52">
      <c r="B2" s="330" t="s">
        <v>127</v>
      </c>
      <c r="C2" s="331">
        <v>400000</v>
      </c>
      <c r="D2" s="332"/>
      <c r="E2" s="333"/>
      <c r="F2" s="334" t="s">
        <v>128</v>
      </c>
      <c r="G2" s="335"/>
      <c r="H2" s="332"/>
      <c r="I2" s="336" t="s">
        <v>129</v>
      </c>
      <c r="J2" s="335"/>
      <c r="K2" s="332"/>
      <c r="L2" s="333"/>
      <c r="M2" s="333"/>
      <c r="N2" s="333"/>
      <c r="O2" s="333"/>
      <c r="P2" s="333"/>
      <c r="Q2" s="333"/>
      <c r="R2" s="333"/>
      <c r="S2" s="333"/>
      <c r="T2" s="333"/>
      <c r="U2" s="333"/>
      <c r="V2" s="333"/>
      <c r="W2" s="333"/>
      <c r="X2" s="333"/>
      <c r="Y2" s="333"/>
      <c r="Z2" s="333"/>
      <c r="AA2" s="333"/>
      <c r="AB2" s="333"/>
      <c r="AC2" s="333"/>
      <c r="AD2" s="333"/>
      <c r="AE2" s="333"/>
      <c r="AF2" s="333"/>
    </row>
    <row r="3" ht="14.25" customHeight="1" spans="2:52">
      <c r="B3" s="337" t="s">
        <v>130</v>
      </c>
      <c r="C3" s="338">
        <v>0.16</v>
      </c>
      <c r="D3" s="339"/>
      <c r="E3" s="340"/>
      <c r="F3" s="341">
        <f>INDEX(C8:AZ8,MATCH(C4,C7:CG7,0))</f>
        <v>8772158.8871235</v>
      </c>
      <c r="G3" s="342"/>
      <c r="H3" s="343"/>
      <c r="I3" s="344">
        <f>C2+C5*C4</f>
        <v>1900000</v>
      </c>
      <c r="J3" s="342"/>
      <c r="K3" s="343"/>
      <c r="L3" s="333"/>
      <c r="M3" s="333"/>
      <c r="N3" s="333"/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</row>
    <row r="4" ht="14.25" customHeight="1" spans="2:52">
      <c r="B4" s="337" t="s">
        <v>131</v>
      </c>
      <c r="C4" s="345">
        <v>15</v>
      </c>
      <c r="D4" s="346"/>
      <c r="E4" s="333"/>
      <c r="F4" s="347"/>
      <c r="H4" s="348"/>
      <c r="I4" s="349"/>
      <c r="K4" s="348"/>
      <c r="L4" s="333"/>
      <c r="M4" s="333"/>
      <c r="N4" s="333"/>
      <c r="O4" s="333"/>
      <c r="P4" s="333"/>
      <c r="Q4" s="333"/>
      <c r="R4" s="333"/>
      <c r="S4" s="333"/>
      <c r="T4" s="333"/>
      <c r="U4" s="333"/>
      <c r="V4" s="333"/>
      <c r="W4" s="333"/>
      <c r="X4" s="333"/>
      <c r="Y4" s="333"/>
      <c r="Z4" s="333"/>
      <c r="AA4" s="333"/>
      <c r="AB4" s="333"/>
      <c r="AC4" s="333"/>
      <c r="AD4" s="333"/>
      <c r="AE4" s="333"/>
      <c r="AF4" s="333"/>
    </row>
    <row r="5" ht="14.25" customHeight="1" spans="2:52">
      <c r="B5" s="350" t="s">
        <v>132</v>
      </c>
      <c r="C5" s="351">
        <v>100000</v>
      </c>
      <c r="D5" s="352"/>
      <c r="E5" s="333"/>
      <c r="F5" s="353"/>
      <c r="G5" s="354"/>
      <c r="H5" s="355"/>
      <c r="I5" s="354"/>
      <c r="J5" s="354"/>
      <c r="K5" s="355"/>
      <c r="L5" s="333"/>
      <c r="M5" s="333"/>
      <c r="N5" s="333"/>
      <c r="O5" s="333"/>
      <c r="P5" s="333"/>
      <c r="Q5" s="333"/>
      <c r="R5" s="333"/>
      <c r="S5" s="333"/>
      <c r="T5" s="333"/>
      <c r="U5" s="333"/>
      <c r="V5" s="333"/>
      <c r="W5" s="333"/>
      <c r="X5" s="333"/>
      <c r="Y5" s="333"/>
      <c r="Z5" s="333"/>
      <c r="AA5" s="333"/>
      <c r="AB5" s="333"/>
      <c r="AC5" s="333"/>
      <c r="AD5" s="333"/>
      <c r="AE5" s="333"/>
      <c r="AF5" s="333"/>
    </row>
    <row r="6" ht="14.25" customHeight="1" spans="2:52">
      <c r="B6" s="333"/>
      <c r="C6" s="333"/>
      <c r="D6" s="333"/>
      <c r="E6" s="333"/>
      <c r="F6" s="333"/>
      <c r="G6" s="340"/>
      <c r="H6" s="333"/>
      <c r="I6" s="333"/>
      <c r="J6" s="333"/>
      <c r="K6" s="333"/>
      <c r="L6" s="333"/>
      <c r="M6" s="333"/>
      <c r="N6" s="333"/>
      <c r="O6" s="333"/>
      <c r="P6" s="333"/>
      <c r="Q6" s="333"/>
      <c r="R6" s="333"/>
      <c r="S6" s="333"/>
      <c r="T6" s="333"/>
      <c r="U6" s="333"/>
      <c r="V6" s="333"/>
      <c r="W6" s="333"/>
      <c r="X6" s="333"/>
      <c r="Y6" s="333"/>
      <c r="Z6" s="333"/>
      <c r="AA6" s="333"/>
      <c r="AB6" s="333"/>
      <c r="AC6" s="333"/>
      <c r="AD6" s="333"/>
      <c r="AE6" s="333"/>
      <c r="AF6" s="333"/>
    </row>
    <row r="7" ht="14.25" customHeight="1" spans="2:52">
      <c r="B7" s="356" t="s">
        <v>133</v>
      </c>
      <c r="C7" s="357">
        <v>1</v>
      </c>
      <c r="D7" s="358">
        <v>2</v>
      </c>
      <c r="E7" s="358">
        <v>3</v>
      </c>
      <c r="F7" s="358">
        <v>4</v>
      </c>
      <c r="G7" s="358">
        <v>5</v>
      </c>
      <c r="H7" s="358">
        <v>6</v>
      </c>
      <c r="I7" s="358">
        <v>7</v>
      </c>
      <c r="J7" s="358">
        <v>8</v>
      </c>
      <c r="K7" s="358">
        <v>9</v>
      </c>
      <c r="L7" s="358">
        <v>10</v>
      </c>
      <c r="M7" s="358">
        <v>11</v>
      </c>
      <c r="N7" s="358">
        <v>12</v>
      </c>
      <c r="O7" s="358">
        <v>13</v>
      </c>
      <c r="P7" s="358">
        <v>14</v>
      </c>
      <c r="Q7" s="358">
        <v>15</v>
      </c>
      <c r="R7" s="358">
        <v>16</v>
      </c>
      <c r="S7" s="358">
        <v>17</v>
      </c>
      <c r="T7" s="358">
        <v>18</v>
      </c>
      <c r="U7" s="358">
        <v>19</v>
      </c>
      <c r="V7" s="358">
        <v>20</v>
      </c>
      <c r="W7" s="358">
        <v>21</v>
      </c>
      <c r="X7" s="358">
        <v>22</v>
      </c>
      <c r="Y7" s="358">
        <v>23</v>
      </c>
      <c r="Z7" s="358">
        <v>24</v>
      </c>
      <c r="AA7" s="358">
        <v>25</v>
      </c>
      <c r="AB7" s="358">
        <v>26</v>
      </c>
      <c r="AC7" s="358">
        <v>27</v>
      </c>
      <c r="AD7" s="358">
        <v>28</v>
      </c>
      <c r="AE7" s="358">
        <v>29</v>
      </c>
      <c r="AF7" s="359">
        <v>30</v>
      </c>
      <c r="AG7" s="358">
        <v>31</v>
      </c>
      <c r="AH7" s="358">
        <v>32</v>
      </c>
      <c r="AI7" s="358">
        <v>33</v>
      </c>
      <c r="AJ7" s="359">
        <v>34</v>
      </c>
      <c r="AK7" s="358">
        <v>35</v>
      </c>
      <c r="AL7" s="358">
        <v>36</v>
      </c>
      <c r="AM7" s="358">
        <v>37</v>
      </c>
      <c r="AN7" s="359">
        <v>38</v>
      </c>
      <c r="AO7" s="358">
        <v>39</v>
      </c>
      <c r="AP7" s="358">
        <v>40</v>
      </c>
      <c r="AQ7" s="358">
        <v>41</v>
      </c>
      <c r="AR7" s="359">
        <v>42</v>
      </c>
      <c r="AS7" s="358">
        <v>43</v>
      </c>
      <c r="AT7" s="358">
        <v>44</v>
      </c>
      <c r="AU7" s="358">
        <v>45</v>
      </c>
      <c r="AV7" s="359">
        <v>46</v>
      </c>
      <c r="AW7" s="358">
        <v>47</v>
      </c>
      <c r="AX7" s="358">
        <v>48</v>
      </c>
      <c r="AY7" s="358">
        <v>49</v>
      </c>
      <c r="AZ7" s="359">
        <v>50</v>
      </c>
    </row>
    <row r="8" ht="14.25" customHeight="1" spans="2:52">
      <c r="B8" s="360" t="s">
        <v>134</v>
      </c>
      <c r="C8" s="361">
        <f>C2*(1+C3)</f>
        <v>464000</v>
      </c>
      <c r="D8" s="362">
        <f t="shared" ref="D8:AZ8" si="0">(C8+$C$5)*(1+$C$3)</f>
        <v>654240</v>
      </c>
      <c r="E8" s="362">
        <f t="shared" si="0"/>
        <v>874918.4</v>
      </c>
      <c r="F8" s="362">
        <f t="shared" si="0"/>
        <v>1130905.344</v>
      </c>
      <c r="G8" s="362">
        <f t="shared" si="0"/>
        <v>1427850.19904</v>
      </c>
      <c r="H8" s="362">
        <f t="shared" si="0"/>
        <v>1772306.2308864</v>
      </c>
      <c r="I8" s="362">
        <f t="shared" si="0"/>
        <v>2171875.22782822</v>
      </c>
      <c r="J8" s="362">
        <f t="shared" si="0"/>
        <v>2635375.26428074</v>
      </c>
      <c r="K8" s="362">
        <f t="shared" si="0"/>
        <v>3173035.30656566</v>
      </c>
      <c r="L8" s="362">
        <f t="shared" si="0"/>
        <v>3796720.95561616</v>
      </c>
      <c r="M8" s="362">
        <f t="shared" si="0"/>
        <v>4520196.30851475</v>
      </c>
      <c r="N8" s="362">
        <f t="shared" si="0"/>
        <v>5359427.71787711</v>
      </c>
      <c r="O8" s="362">
        <f t="shared" si="0"/>
        <v>6332936.15273744</v>
      </c>
      <c r="P8" s="362">
        <f t="shared" si="0"/>
        <v>7462205.93717543</v>
      </c>
      <c r="Q8" s="362">
        <f t="shared" si="0"/>
        <v>8772158.8871235</v>
      </c>
      <c r="R8" s="362">
        <f t="shared" si="0"/>
        <v>10291704.3090633</v>
      </c>
      <c r="S8" s="362">
        <f t="shared" si="0"/>
        <v>12054376.9985134</v>
      </c>
      <c r="T8" s="362">
        <f t="shared" si="0"/>
        <v>14099077.3182755</v>
      </c>
      <c r="U8" s="362">
        <f t="shared" si="0"/>
        <v>16470929.6891996</v>
      </c>
      <c r="V8" s="362">
        <f t="shared" si="0"/>
        <v>19222278.4394715</v>
      </c>
      <c r="W8" s="362">
        <f t="shared" si="0"/>
        <v>22413842.989787</v>
      </c>
      <c r="X8" s="362">
        <f t="shared" si="0"/>
        <v>26116057.8681529</v>
      </c>
      <c r="Y8" s="362">
        <f t="shared" si="0"/>
        <v>30410627.1270574</v>
      </c>
      <c r="Z8" s="362">
        <f t="shared" si="0"/>
        <v>35392327.4673865</v>
      </c>
      <c r="AA8" s="362">
        <f t="shared" si="0"/>
        <v>41171099.8621684</v>
      </c>
      <c r="AB8" s="362">
        <f t="shared" si="0"/>
        <v>47874475.8401153</v>
      </c>
      <c r="AC8" s="362">
        <f t="shared" si="0"/>
        <v>55650391.9745338</v>
      </c>
      <c r="AD8" s="362">
        <f t="shared" si="0"/>
        <v>64670454.6904592</v>
      </c>
      <c r="AE8" s="362">
        <f t="shared" si="0"/>
        <v>75133727.4409326</v>
      </c>
      <c r="AF8" s="363">
        <f t="shared" si="0"/>
        <v>87271123.8314818</v>
      </c>
      <c r="AG8" s="362">
        <f t="shared" si="0"/>
        <v>101350503.644519</v>
      </c>
      <c r="AH8" s="362">
        <f t="shared" si="0"/>
        <v>117682584.227642</v>
      </c>
      <c r="AI8" s="362">
        <f t="shared" si="0"/>
        <v>136627797.704065</v>
      </c>
      <c r="AJ8" s="363">
        <f t="shared" si="0"/>
        <v>158604245.336715</v>
      </c>
      <c r="AK8" s="362">
        <f t="shared" si="0"/>
        <v>184096924.590589</v>
      </c>
      <c r="AL8" s="362">
        <f t="shared" si="0"/>
        <v>213668432.525084</v>
      </c>
      <c r="AM8" s="362">
        <f t="shared" si="0"/>
        <v>247971381.729097</v>
      </c>
      <c r="AN8" s="363">
        <f t="shared" si="0"/>
        <v>287762802.805753</v>
      </c>
      <c r="AO8" s="362">
        <f t="shared" si="0"/>
        <v>333920851.254673</v>
      </c>
      <c r="AP8" s="362">
        <f t="shared" si="0"/>
        <v>387464187.45542</v>
      </c>
      <c r="AQ8" s="362">
        <f t="shared" si="0"/>
        <v>449574457.448288</v>
      </c>
      <c r="AR8" s="363">
        <f t="shared" si="0"/>
        <v>521622370.640014</v>
      </c>
      <c r="AS8" s="362">
        <f t="shared" si="0"/>
        <v>605197949.942416</v>
      </c>
      <c r="AT8" s="362">
        <f t="shared" si="0"/>
        <v>702145621.933203</v>
      </c>
      <c r="AU8" s="362">
        <f t="shared" si="0"/>
        <v>814604921.442515</v>
      </c>
      <c r="AV8" s="363">
        <f t="shared" si="0"/>
        <v>945057708.873317</v>
      </c>
      <c r="AW8" s="362">
        <f t="shared" si="0"/>
        <v>1096382942.29305</v>
      </c>
      <c r="AX8" s="362">
        <f t="shared" si="0"/>
        <v>1271920213.05994</v>
      </c>
      <c r="AY8" s="362">
        <f t="shared" si="0"/>
        <v>1475543447.14953</v>
      </c>
      <c r="AZ8" s="363">
        <f t="shared" si="0"/>
        <v>1711746398.69345</v>
      </c>
    </row>
    <row r="16" ht="15.75" spans="2:52">
      <c r="B16" s="364"/>
      <c r="C16" s="364"/>
    </row>
    <row r="85" ht="31" customHeight="1"/>
    <row r="93" ht="46" customHeight="1"/>
  </sheetData>
  <mergeCells count="8">
    <mergeCell ref="C2:D2"/>
    <mergeCell ref="F2:H2"/>
    <mergeCell ref="I2:K2"/>
    <mergeCell ref="C3:D3"/>
    <mergeCell ref="C4:D4"/>
    <mergeCell ref="C5:D5"/>
    <mergeCell ref="F3:H5"/>
    <mergeCell ref="I3:K5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58"/>
  <sheetViews>
    <sheetView tabSelected="1" topLeftCell="C31" workbookViewId="0">
      <selection activeCell="L37" sqref="L37:L38"/>
    </sheetView>
  </sheetViews>
  <sheetFormatPr defaultColWidth="9" defaultRowHeight="15"/>
  <cols>
    <col min="1" max="1" width="4.26666666666667" hidden="1" customWidth="1"/>
    <col min="2" max="2" width="22.9047619047619" customWidth="1"/>
    <col min="3" max="3" width="21" customWidth="1"/>
    <col min="4" max="4" width="9.72380952380952" customWidth="1"/>
    <col min="5" max="5" width="14.2666666666667" hidden="1" customWidth="1"/>
    <col min="6" max="6" width="14.1809523809524" hidden="1" customWidth="1"/>
    <col min="7" max="7" width="9.90476190476191" style="6" hidden="1" customWidth="1"/>
    <col min="8" max="8" width="14.2666666666667" hidden="1" customWidth="1"/>
    <col min="9" max="9" width="14.1809523809524" hidden="1" customWidth="1"/>
    <col min="10" max="10" width="7.57142857142857" style="6" hidden="1" customWidth="1"/>
    <col min="11" max="11" width="14.2666666666667" customWidth="1"/>
    <col min="12" max="12" width="14.1809523809524" customWidth="1"/>
    <col min="13" max="13" width="9.90476190476191" style="6" customWidth="1"/>
    <col min="14" max="14" width="14.2666666666667" hidden="1" customWidth="1"/>
    <col min="15" max="15" width="14.1809523809524" hidden="1" customWidth="1"/>
    <col min="16" max="16" width="9.90476190476191" style="6" hidden="1" customWidth="1"/>
    <col min="17" max="17" width="14.2666666666667" hidden="1" customWidth="1"/>
    <col min="18" max="18" width="14.1809523809524" hidden="1" customWidth="1"/>
    <col min="19" max="19" width="9.90476190476191" style="6" hidden="1" customWidth="1"/>
    <col min="20" max="20" width="14.2666666666667" hidden="1" customWidth="1"/>
    <col min="21" max="21" width="14.1809523809524" hidden="1" customWidth="1"/>
    <col min="22" max="22" width="9.90476190476191" style="6" hidden="1" customWidth="1"/>
    <col min="23" max="23" width="14.2666666666667" hidden="1" customWidth="1"/>
    <col min="24" max="24" width="14.1809523809524" hidden="1" customWidth="1"/>
    <col min="25" max="25" width="9.90476190476191" style="6" hidden="1" customWidth="1"/>
    <col min="26" max="26" width="14.2666666666667" hidden="1" customWidth="1"/>
    <col min="27" max="27" width="14.1809523809524" hidden="1" customWidth="1"/>
    <col min="28" max="28" width="9.90476190476191" style="6" hidden="1" customWidth="1"/>
    <col min="29" max="29" width="14.2666666666667" hidden="1" customWidth="1"/>
    <col min="30" max="30" width="14.1809523809524" hidden="1" customWidth="1"/>
    <col min="31" max="31" width="9.90476190476191" style="6" hidden="1" customWidth="1"/>
    <col min="32" max="32" width="14.2666666666667" hidden="1" customWidth="1"/>
    <col min="33" max="33" width="14.1809523809524" hidden="1" customWidth="1"/>
    <col min="34" max="34" width="9.90476190476191" style="6" hidden="1" customWidth="1"/>
    <col min="35" max="35" width="14.2666666666667" hidden="1" customWidth="1"/>
    <col min="36" max="36" width="14.1809523809524" hidden="1" customWidth="1"/>
    <col min="37" max="37" width="9.90476190476191" style="6" hidden="1" customWidth="1"/>
    <col min="38" max="38" width="14.2666666666667" hidden="1" customWidth="1"/>
    <col min="39" max="39" width="14.1809523809524" hidden="1" customWidth="1"/>
    <col min="40" max="40" width="9.90476190476191" style="6" hidden="1" customWidth="1"/>
    <col min="41" max="41" width="14.2666666666667" hidden="1" customWidth="1"/>
    <col min="42" max="42" width="14.1809523809524" hidden="1" customWidth="1"/>
    <col min="43" max="43" width="9.90476190476191" style="6" hidden="1" customWidth="1"/>
    <col min="44" max="44" width="14.2666666666667" hidden="1" customWidth="1"/>
    <col min="45" max="45" width="14.1809523809524" hidden="1" customWidth="1"/>
    <col min="46" max="46" width="9.90476190476191" style="6" hidden="1" customWidth="1"/>
    <col min="47" max="47" width="14.2666666666667" hidden="1" customWidth="1"/>
    <col min="48" max="48" width="14.1809523809524" hidden="1" customWidth="1"/>
    <col min="49" max="49" width="9.90476190476191" style="6" hidden="1" customWidth="1"/>
    <col min="50" max="50" width="14.2666666666667" hidden="1" customWidth="1"/>
    <col min="51" max="51" width="14.1809523809524" hidden="1" customWidth="1"/>
    <col min="52" max="52" width="9.90476190476191" style="6" hidden="1" customWidth="1"/>
    <col min="53" max="53" width="14.2666666666667" hidden="1" customWidth="1"/>
    <col min="54" max="54" width="14.1809523809524" hidden="1" customWidth="1"/>
    <col min="55" max="55" width="9.90476190476191" style="6" hidden="1" customWidth="1"/>
    <col min="56" max="56" width="14.2666666666667" hidden="1" customWidth="1"/>
    <col min="57" max="57" width="14.1809523809524" hidden="1" customWidth="1"/>
    <col min="58" max="58" width="9.90476190476191" style="6" hidden="1" customWidth="1"/>
    <col min="59" max="59" width="14.2666666666667" hidden="1" customWidth="1"/>
    <col min="60" max="60" width="14.1809523809524" hidden="1" customWidth="1"/>
    <col min="61" max="61" width="9.90476190476191" style="6" hidden="1" customWidth="1"/>
  </cols>
  <sheetData>
    <row r="1" ht="18.75" spans="1:61">
      <c r="A1" s="58" t="s">
        <v>135</v>
      </c>
      <c r="B1" s="59"/>
      <c r="C1" s="59"/>
      <c r="D1" s="60"/>
      <c r="E1" s="61" t="s">
        <v>136</v>
      </c>
      <c r="F1" s="62"/>
      <c r="G1" s="63"/>
      <c r="H1" s="61" t="s">
        <v>137</v>
      </c>
      <c r="I1" s="62"/>
      <c r="J1" s="63"/>
      <c r="K1" s="61" t="s">
        <v>138</v>
      </c>
      <c r="L1" s="62"/>
      <c r="M1" s="63"/>
      <c r="N1" s="61" t="s">
        <v>139</v>
      </c>
      <c r="O1" s="62"/>
      <c r="P1" s="63"/>
      <c r="Q1" s="61" t="s">
        <v>140</v>
      </c>
      <c r="R1" s="62"/>
      <c r="S1" s="63"/>
      <c r="T1" s="61" t="s">
        <v>141</v>
      </c>
      <c r="U1" s="62"/>
      <c r="V1" s="63"/>
      <c r="W1" s="61" t="s">
        <v>142</v>
      </c>
      <c r="X1" s="62"/>
      <c r="Y1" s="63"/>
      <c r="Z1" s="61" t="s">
        <v>143</v>
      </c>
      <c r="AA1" s="62"/>
      <c r="AB1" s="63"/>
      <c r="AC1" s="61" t="s">
        <v>144</v>
      </c>
      <c r="AD1" s="62"/>
      <c r="AE1" s="63"/>
      <c r="AF1" s="61" t="s">
        <v>145</v>
      </c>
      <c r="AG1" s="62"/>
      <c r="AH1" s="63"/>
      <c r="AI1" s="61" t="s">
        <v>146</v>
      </c>
      <c r="AJ1" s="62"/>
      <c r="AK1" s="63"/>
      <c r="AL1" s="61" t="s">
        <v>147</v>
      </c>
      <c r="AM1" s="62"/>
      <c r="AN1" s="63"/>
      <c r="AO1" s="61" t="s">
        <v>148</v>
      </c>
      <c r="AP1" s="62"/>
      <c r="AQ1" s="63"/>
      <c r="AR1" s="61" t="s">
        <v>149</v>
      </c>
      <c r="AS1" s="62"/>
      <c r="AT1" s="63"/>
      <c r="AU1" s="61" t="s">
        <v>150</v>
      </c>
      <c r="AV1" s="62"/>
      <c r="AW1" s="63"/>
      <c r="AX1" s="61" t="s">
        <v>151</v>
      </c>
      <c r="AY1" s="62"/>
      <c r="AZ1" s="63"/>
      <c r="BA1" s="61" t="s">
        <v>152</v>
      </c>
      <c r="BB1" s="62"/>
      <c r="BC1" s="63"/>
      <c r="BD1" s="61" t="s">
        <v>153</v>
      </c>
      <c r="BE1" s="62"/>
      <c r="BF1" s="63"/>
      <c r="BG1" s="61" t="s">
        <v>154</v>
      </c>
      <c r="BH1" s="62"/>
      <c r="BI1" s="63"/>
    </row>
    <row r="2" ht="15.75" spans="1:61">
      <c r="A2" s="77" t="s">
        <v>0</v>
      </c>
      <c r="B2" s="77" t="s">
        <v>155</v>
      </c>
      <c r="C2" s="77" t="s">
        <v>156</v>
      </c>
      <c r="D2" s="77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  <c r="AI2" s="35" t="s">
        <v>158</v>
      </c>
      <c r="AJ2" s="35" t="s">
        <v>159</v>
      </c>
      <c r="AK2" s="35" t="s">
        <v>160</v>
      </c>
      <c r="AL2" s="35" t="s">
        <v>158</v>
      </c>
      <c r="AM2" s="35" t="s">
        <v>159</v>
      </c>
      <c r="AN2" s="35" t="s">
        <v>160</v>
      </c>
      <c r="AO2" s="35" t="s">
        <v>158</v>
      </c>
      <c r="AP2" s="35" t="s">
        <v>159</v>
      </c>
      <c r="AQ2" s="35" t="s">
        <v>160</v>
      </c>
      <c r="AR2" s="35" t="s">
        <v>158</v>
      </c>
      <c r="AS2" s="35" t="s">
        <v>159</v>
      </c>
      <c r="AT2" s="35" t="s">
        <v>160</v>
      </c>
      <c r="AU2" s="35" t="s">
        <v>158</v>
      </c>
      <c r="AV2" s="35" t="s">
        <v>159</v>
      </c>
      <c r="AW2" s="35" t="s">
        <v>160</v>
      </c>
      <c r="AX2" s="35" t="s">
        <v>158</v>
      </c>
      <c r="AY2" s="35" t="s">
        <v>159</v>
      </c>
      <c r="AZ2" s="35" t="s">
        <v>160</v>
      </c>
      <c r="BA2" s="35" t="s">
        <v>158</v>
      </c>
      <c r="BB2" s="35" t="s">
        <v>159</v>
      </c>
      <c r="BC2" s="35" t="s">
        <v>160</v>
      </c>
      <c r="BD2" s="35" t="s">
        <v>158</v>
      </c>
      <c r="BE2" s="35" t="s">
        <v>159</v>
      </c>
      <c r="BF2" s="35" t="s">
        <v>160</v>
      </c>
      <c r="BG2" s="35" t="s">
        <v>158</v>
      </c>
      <c r="BH2" s="35" t="s">
        <v>159</v>
      </c>
      <c r="BI2" s="35" t="s">
        <v>160</v>
      </c>
    </row>
    <row r="3" spans="1:61">
      <c r="A3" s="2">
        <v>1</v>
      </c>
      <c r="B3" s="2" t="s">
        <v>65</v>
      </c>
      <c r="C3" s="37" t="s">
        <v>161</v>
      </c>
      <c r="D3" s="2" t="s">
        <v>162</v>
      </c>
      <c r="E3" s="20">
        <f>E5*1.333</f>
        <v>6733541527</v>
      </c>
      <c r="F3" s="20">
        <v>270569770</v>
      </c>
      <c r="G3" s="38">
        <f>E3/F3</f>
        <v>24.8865256713638</v>
      </c>
      <c r="H3" s="20">
        <f>H5*1.333</f>
        <v>6043953967</v>
      </c>
      <c r="I3" s="20">
        <v>381158530</v>
      </c>
      <c r="J3" s="38">
        <f>H3/I3</f>
        <v>15.8567983956702</v>
      </c>
      <c r="K3" s="20">
        <f>K5*1.333</f>
        <v>4437978228</v>
      </c>
      <c r="L3" s="20">
        <v>137213760</v>
      </c>
      <c r="M3" s="38">
        <f>K3/L3</f>
        <v>32.3435363042307</v>
      </c>
      <c r="N3" s="20">
        <f>N5*1.333</f>
        <v>6051826665</v>
      </c>
      <c r="O3" s="20">
        <v>341285950</v>
      </c>
      <c r="P3" s="38">
        <f>N3/O3</f>
        <v>17.7324225184189</v>
      </c>
      <c r="Q3" s="20">
        <f>Q5*1.333</f>
        <v>2897643408</v>
      </c>
      <c r="R3" s="20">
        <v>100423860</v>
      </c>
      <c r="S3" s="38">
        <f>Q3/R3</f>
        <v>28.8541329520694</v>
      </c>
      <c r="T3" s="20">
        <f>T5*1.333</f>
        <v>208982353.347</v>
      </c>
      <c r="U3" s="20">
        <v>149175669</v>
      </c>
      <c r="V3" s="38">
        <f>T3/U3</f>
        <v>1.40091447048915</v>
      </c>
      <c r="W3" s="20">
        <f>W5*1.333</f>
        <v>2202333279</v>
      </c>
      <c r="X3" s="20">
        <v>243465120</v>
      </c>
      <c r="Y3" s="38">
        <f>W3/X3</f>
        <v>9.04578560986477</v>
      </c>
      <c r="Z3" s="20">
        <f>Z5*1.333</f>
        <v>381002144.312</v>
      </c>
      <c r="AA3" s="20">
        <v>262258613</v>
      </c>
      <c r="AB3" s="38">
        <f>Z3/AA3</f>
        <v>1.4527726657046</v>
      </c>
      <c r="AC3" s="20">
        <f>AC5*1.333</f>
        <v>2223791219.84</v>
      </c>
      <c r="AD3" s="20">
        <v>140899801</v>
      </c>
      <c r="AE3" s="38">
        <f>AC3/AD3</f>
        <v>15.7827846743375</v>
      </c>
      <c r="AF3" s="20">
        <f>AF5*1.333</f>
        <v>2971662417.287</v>
      </c>
      <c r="AG3" s="20">
        <v>194025757</v>
      </c>
      <c r="AH3" s="38">
        <f>AF3/AG3</f>
        <v>15.3158140611558</v>
      </c>
      <c r="AI3" s="20">
        <f>AI5*1.333</f>
        <v>2500787980</v>
      </c>
      <c r="AJ3" s="20">
        <v>235424900</v>
      </c>
      <c r="AK3" s="38">
        <f>AI3/AJ3</f>
        <v>10.6224446946776</v>
      </c>
      <c r="AL3" s="20">
        <f>AL5*1.333</f>
        <v>666564171.953</v>
      </c>
      <c r="AM3" s="20">
        <v>216566156</v>
      </c>
      <c r="AN3" s="38">
        <f>AL3/AM3</f>
        <v>3.07787783772179</v>
      </c>
      <c r="AO3" s="20">
        <f>AO5*1.333</f>
        <v>2202751617.056</v>
      </c>
      <c r="AP3" s="20">
        <v>135815254</v>
      </c>
      <c r="AQ3" s="38">
        <f>AO3/AP3</f>
        <v>16.2187350255664</v>
      </c>
      <c r="AR3" s="20">
        <f>AR5*1.333</f>
        <v>3163594237</v>
      </c>
      <c r="AS3" s="20">
        <v>183667060</v>
      </c>
      <c r="AT3" s="38">
        <f>AR3/AS3</f>
        <v>17.2246141305904</v>
      </c>
      <c r="AU3" s="20">
        <f>AU5*1.333</f>
        <v>1603947451.532</v>
      </c>
      <c r="AV3" s="20">
        <v>108991580</v>
      </c>
      <c r="AW3" s="38">
        <f>AU3/AV3</f>
        <v>14.7162510308778</v>
      </c>
      <c r="AX3" s="20">
        <f>AX5*1.333</f>
        <v>2458532365.212</v>
      </c>
      <c r="AY3" s="20">
        <v>192879363</v>
      </c>
      <c r="AZ3" s="38">
        <f>AX3/AY3</f>
        <v>12.7464770049661</v>
      </c>
      <c r="BA3" s="20">
        <f>BA5*1.333</f>
        <v>3710398412.439</v>
      </c>
      <c r="BB3" s="20">
        <v>146940229</v>
      </c>
      <c r="BC3" s="38">
        <f>BA3/BB3</f>
        <v>25.251072750397</v>
      </c>
      <c r="BD3" s="20">
        <f>BD5*1.333</f>
        <v>1282204294.102</v>
      </c>
      <c r="BE3" s="20">
        <v>147690129</v>
      </c>
      <c r="BF3" s="38">
        <f>BD3/BE3</f>
        <v>8.68171964357889</v>
      </c>
      <c r="BG3" s="20">
        <f>BG5*1.333</f>
        <v>1469802914.719</v>
      </c>
      <c r="BH3" s="20">
        <v>116213572</v>
      </c>
      <c r="BI3" s="38">
        <f>BG3/BH3</f>
        <v>12.6474291205764</v>
      </c>
    </row>
    <row r="4" spans="1:61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38"/>
      <c r="T4" s="20"/>
      <c r="U4" s="20"/>
      <c r="V4" s="38"/>
      <c r="W4" s="20"/>
      <c r="X4" s="20"/>
      <c r="Y4" s="38"/>
      <c r="Z4" s="20"/>
      <c r="AA4" s="20"/>
      <c r="AB4" s="38"/>
      <c r="AC4" s="20"/>
      <c r="AD4" s="20"/>
      <c r="AE4" s="38"/>
      <c r="AF4" s="20"/>
      <c r="AG4" s="20"/>
      <c r="AH4" s="38"/>
      <c r="AI4" s="20"/>
      <c r="AJ4" s="20"/>
      <c r="AK4" s="38"/>
      <c r="AL4" s="20"/>
      <c r="AM4" s="20"/>
      <c r="AN4" s="38"/>
      <c r="AO4" s="20"/>
      <c r="AP4" s="20"/>
      <c r="AQ4" s="38"/>
      <c r="AR4" s="20"/>
      <c r="AS4" s="20"/>
      <c r="AT4" s="38"/>
      <c r="AU4" s="20"/>
      <c r="AV4" s="20"/>
      <c r="AW4" s="38"/>
      <c r="AX4" s="20"/>
      <c r="AY4" s="20"/>
      <c r="AZ4" s="38"/>
      <c r="BA4" s="20"/>
      <c r="BB4" s="20"/>
      <c r="BC4" s="38"/>
      <c r="BD4" s="20"/>
      <c r="BE4" s="20"/>
      <c r="BF4" s="38"/>
      <c r="BG4" s="20"/>
      <c r="BH4" s="20"/>
      <c r="BI4" s="38"/>
    </row>
    <row r="5" spans="1:61">
      <c r="A5" s="2"/>
      <c r="B5" s="2"/>
      <c r="C5" s="2"/>
      <c r="D5" s="2"/>
      <c r="E5" s="78">
        <v>5051419000</v>
      </c>
      <c r="F5" s="20"/>
      <c r="G5" s="38"/>
      <c r="H5" s="78">
        <v>4534099000</v>
      </c>
      <c r="I5" s="20"/>
      <c r="J5" s="38"/>
      <c r="K5" s="78">
        <v>3329316000</v>
      </c>
      <c r="L5" s="20"/>
      <c r="M5" s="38"/>
      <c r="N5" s="78">
        <v>4540005000</v>
      </c>
      <c r="O5" s="20"/>
      <c r="P5" s="38"/>
      <c r="Q5" s="78">
        <v>2173776000</v>
      </c>
      <c r="R5" s="20"/>
      <c r="S5" s="38"/>
      <c r="T5" s="78">
        <v>156775959</v>
      </c>
      <c r="U5" s="20"/>
      <c r="V5" s="38"/>
      <c r="W5" s="78">
        <v>1652163000</v>
      </c>
      <c r="X5" s="20"/>
      <c r="Y5" s="38"/>
      <c r="Z5" s="78">
        <v>285823064</v>
      </c>
      <c r="AA5" s="20"/>
      <c r="AB5" s="38"/>
      <c r="AC5" s="78">
        <v>1668260480</v>
      </c>
      <c r="AD5" s="20"/>
      <c r="AE5" s="38"/>
      <c r="AF5" s="78">
        <v>2229304139</v>
      </c>
      <c r="AG5" s="20"/>
      <c r="AH5" s="38"/>
      <c r="AI5" s="78">
        <v>1876060000</v>
      </c>
      <c r="AJ5" s="20"/>
      <c r="AK5" s="38"/>
      <c r="AL5" s="78">
        <v>500048141</v>
      </c>
      <c r="AM5" s="20"/>
      <c r="AN5" s="38"/>
      <c r="AO5" s="78">
        <v>1652476832</v>
      </c>
      <c r="AP5" s="20"/>
      <c r="AQ5" s="38"/>
      <c r="AR5" s="78">
        <v>2373289000</v>
      </c>
      <c r="AS5" s="20"/>
      <c r="AT5" s="38"/>
      <c r="AU5" s="78">
        <v>1203261404</v>
      </c>
      <c r="AV5" s="20"/>
      <c r="AW5" s="38"/>
      <c r="AX5" s="78">
        <v>1844360364</v>
      </c>
      <c r="AY5" s="20"/>
      <c r="AZ5" s="38"/>
      <c r="BA5" s="78">
        <v>2783494683</v>
      </c>
      <c r="BB5" s="20" t="s">
        <v>164</v>
      </c>
      <c r="BC5" s="38"/>
      <c r="BD5" s="78">
        <v>961893694</v>
      </c>
      <c r="BE5" s="20"/>
      <c r="BF5" s="38"/>
      <c r="BG5" s="78">
        <v>1102627843</v>
      </c>
      <c r="BH5" s="20"/>
      <c r="BI5" s="38"/>
    </row>
    <row r="6" spans="1:61">
      <c r="E6" s="51"/>
      <c r="F6" s="6"/>
      <c r="G6" s="40"/>
      <c r="H6" s="51"/>
      <c r="I6" s="6"/>
      <c r="J6" s="40"/>
      <c r="K6" s="51"/>
      <c r="L6" s="6"/>
      <c r="M6" s="40"/>
      <c r="N6" s="51"/>
      <c r="O6" s="6"/>
      <c r="P6" s="40"/>
      <c r="Q6" s="51"/>
      <c r="R6" s="6"/>
      <c r="S6" s="40"/>
      <c r="T6" s="51"/>
      <c r="U6" s="6"/>
      <c r="V6" s="40"/>
      <c r="W6" s="51"/>
      <c r="X6" s="6"/>
      <c r="Y6" s="40"/>
      <c r="Z6" s="51"/>
      <c r="AA6" s="6"/>
      <c r="AB6" s="40"/>
      <c r="AC6" s="51"/>
      <c r="AD6" s="6"/>
      <c r="AE6" s="40"/>
      <c r="AF6" s="51"/>
      <c r="AG6" s="6"/>
      <c r="AH6" s="40"/>
      <c r="AI6" s="51"/>
      <c r="AJ6" s="6"/>
      <c r="AK6" s="40"/>
      <c r="AL6" s="51"/>
      <c r="AM6" s="6"/>
      <c r="AN6" s="40"/>
      <c r="AO6" s="51"/>
      <c r="AP6" s="6"/>
      <c r="AQ6" s="40"/>
      <c r="AR6" s="51"/>
      <c r="AS6" s="6"/>
      <c r="AT6" s="40"/>
      <c r="AU6" s="51"/>
      <c r="AV6" s="6"/>
      <c r="AW6" s="40"/>
      <c r="AX6" s="51"/>
      <c r="AY6" s="6" t="s">
        <v>165</v>
      </c>
      <c r="AZ6" s="40"/>
      <c r="BA6" s="51"/>
      <c r="BB6" s="6"/>
      <c r="BC6" s="40"/>
      <c r="BD6" s="51"/>
      <c r="BE6" s="6"/>
      <c r="BF6" s="40"/>
      <c r="BG6" s="51"/>
      <c r="BH6" s="6"/>
      <c r="BI6" s="40"/>
    </row>
    <row r="7" spans="1:61">
      <c r="A7" s="2">
        <v>2</v>
      </c>
      <c r="B7" s="41" t="s">
        <v>166</v>
      </c>
      <c r="C7" s="37" t="s">
        <v>167</v>
      </c>
      <c r="D7" s="2" t="s">
        <v>168</v>
      </c>
      <c r="E7" s="20">
        <v>548</v>
      </c>
      <c r="F7" s="42">
        <f>G3</f>
        <v>24.8865256713638</v>
      </c>
      <c r="G7" s="38">
        <f>E7/F7</f>
        <v>22.0199479524202</v>
      </c>
      <c r="H7" s="20">
        <v>261</v>
      </c>
      <c r="I7" s="42">
        <f>J3</f>
        <v>15.8567983956702</v>
      </c>
      <c r="J7" s="38">
        <f>H7/I7</f>
        <v>16.4598170126996</v>
      </c>
      <c r="K7" s="20">
        <v>700</v>
      </c>
      <c r="L7" s="42">
        <f>M3</f>
        <v>32.3435363042307</v>
      </c>
      <c r="M7" s="38">
        <f>K7/L7</f>
        <v>21.6426550707269</v>
      </c>
      <c r="N7" s="20">
        <v>234</v>
      </c>
      <c r="O7" s="42">
        <f>P3</f>
        <v>17.7324225184189</v>
      </c>
      <c r="P7" s="38">
        <f>N7/O7</f>
        <v>13.1961664999207</v>
      </c>
      <c r="Q7" s="20">
        <v>671</v>
      </c>
      <c r="R7" s="42">
        <f>S3</f>
        <v>28.8541329520694</v>
      </c>
      <c r="S7" s="38">
        <f>Q7/R7</f>
        <v>23.2549008183549</v>
      </c>
      <c r="T7" s="20">
        <v>404</v>
      </c>
      <c r="U7" s="42">
        <f>V3</f>
        <v>1.40091447048915</v>
      </c>
      <c r="V7" s="38">
        <f>T7/U7</f>
        <v>288.383058716594</v>
      </c>
      <c r="W7" s="20">
        <v>244</v>
      </c>
      <c r="X7" s="42">
        <f>Y3</f>
        <v>9.04578560986477</v>
      </c>
      <c r="Y7" s="38">
        <f>W7/X7</f>
        <v>26.9738871252828</v>
      </c>
      <c r="Z7" s="20">
        <v>266</v>
      </c>
      <c r="AA7" s="42">
        <f>AB3</f>
        <v>1.4527726657046</v>
      </c>
      <c r="AB7" s="38">
        <f>Z7/AA7</f>
        <v>183.098158631027</v>
      </c>
      <c r="AC7" s="20">
        <v>388</v>
      </c>
      <c r="AD7" s="42">
        <f>AE3</f>
        <v>15.7827846743375</v>
      </c>
      <c r="AE7" s="38">
        <f>AC7/AD7</f>
        <v>24.5837479257308</v>
      </c>
      <c r="AF7" s="20">
        <v>279</v>
      </c>
      <c r="AG7" s="42">
        <f>AH3</f>
        <v>15.3158140611558</v>
      </c>
      <c r="AH7" s="38">
        <f>AF7/AG7</f>
        <v>18.2164656012379</v>
      </c>
      <c r="AI7" s="20">
        <v>229</v>
      </c>
      <c r="AJ7" s="42">
        <f>AK3</f>
        <v>10.6224446946776</v>
      </c>
      <c r="AK7" s="38">
        <f>AI7/AJ7</f>
        <v>21.5581258911841</v>
      </c>
      <c r="AL7" s="20">
        <v>245</v>
      </c>
      <c r="AM7" s="42">
        <f>AN3</f>
        <v>3.07787783772179</v>
      </c>
      <c r="AN7" s="38">
        <f>AL7/AM7</f>
        <v>79.6003002449721</v>
      </c>
      <c r="AO7" s="20">
        <v>378</v>
      </c>
      <c r="AP7" s="42">
        <f>AQ3</f>
        <v>16.2187350255664</v>
      </c>
      <c r="AQ7" s="38">
        <f>AO7/AP7</f>
        <v>23.3063798997973</v>
      </c>
      <c r="AR7" s="20">
        <v>274</v>
      </c>
      <c r="AS7" s="42">
        <f>AT3</f>
        <v>17.2246141305904</v>
      </c>
      <c r="AT7" s="38">
        <f>AR7/AS7</f>
        <v>15.9074681106141</v>
      </c>
      <c r="AU7" s="20">
        <v>439</v>
      </c>
      <c r="AV7" s="42">
        <f>AW3</f>
        <v>14.7162510308778</v>
      </c>
      <c r="AW7" s="38">
        <f>AU7/AV7</f>
        <v>29.8309670770691</v>
      </c>
      <c r="AX7" s="20">
        <v>336</v>
      </c>
      <c r="AY7" s="42">
        <f>AZ3</f>
        <v>12.7464770049661</v>
      </c>
      <c r="AZ7" s="38">
        <f>AX7/AY7</f>
        <v>26.3602248581387</v>
      </c>
      <c r="BA7" s="20">
        <v>306</v>
      </c>
      <c r="BB7" s="42">
        <f>BC3</f>
        <v>25.251072750397</v>
      </c>
      <c r="BC7" s="38">
        <f>BA7/BB7</f>
        <v>12.1182970333484</v>
      </c>
      <c r="BD7" s="20">
        <v>232</v>
      </c>
      <c r="BE7" s="42">
        <f>BF3</f>
        <v>8.68171964357889</v>
      </c>
      <c r="BF7" s="38">
        <f>BD7/BE7</f>
        <v>26.7228163917491</v>
      </c>
      <c r="BG7" s="20">
        <v>264</v>
      </c>
      <c r="BH7" s="42">
        <f>BI3</f>
        <v>12.6474291205764</v>
      </c>
      <c r="BI7" s="38">
        <f>BG7/BH7</f>
        <v>20.8738074341522</v>
      </c>
    </row>
    <row r="8" spans="1:61">
      <c r="A8" s="2"/>
      <c r="B8" s="41"/>
      <c r="C8" s="2" t="s">
        <v>169</v>
      </c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  <c r="AI8" s="20"/>
      <c r="AJ8" s="42"/>
      <c r="AK8" s="38"/>
      <c r="AL8" s="20"/>
      <c r="AM8" s="42"/>
      <c r="AN8" s="38"/>
      <c r="AO8" s="20"/>
      <c r="AP8" s="42"/>
      <c r="AQ8" s="38"/>
      <c r="AR8" s="20"/>
      <c r="AS8" s="42"/>
      <c r="AT8" s="38"/>
      <c r="AU8" s="20"/>
      <c r="AV8" s="42"/>
      <c r="AW8" s="38"/>
      <c r="AX8" s="20"/>
      <c r="AY8" s="42"/>
      <c r="AZ8" s="38"/>
      <c r="BA8" s="20"/>
      <c r="BB8" s="42"/>
      <c r="BC8" s="38"/>
      <c r="BD8" s="20"/>
      <c r="BE8" s="42"/>
      <c r="BF8" s="38"/>
      <c r="BG8" s="20"/>
      <c r="BH8" s="42"/>
      <c r="BI8" s="38"/>
    </row>
    <row r="9" spans="1:61">
      <c r="A9" s="2"/>
      <c r="B9" s="2"/>
      <c r="C9" s="2"/>
      <c r="D9" s="2"/>
      <c r="E9" s="20"/>
      <c r="F9" s="42"/>
      <c r="G9" s="38"/>
      <c r="H9" s="20"/>
      <c r="I9" s="42"/>
      <c r="J9" s="38"/>
      <c r="K9" s="20"/>
      <c r="L9" s="42"/>
      <c r="M9" s="38"/>
      <c r="N9" s="20"/>
      <c r="O9" s="42"/>
      <c r="P9" s="38"/>
      <c r="Q9" s="20"/>
      <c r="R9" s="42"/>
      <c r="S9" s="38"/>
      <c r="T9" s="20"/>
      <c r="U9" s="42"/>
      <c r="V9" s="38"/>
      <c r="W9" s="20"/>
      <c r="X9" s="42"/>
      <c r="Y9" s="38"/>
      <c r="Z9" s="20"/>
      <c r="AA9" s="42"/>
      <c r="AB9" s="38"/>
      <c r="AC9" s="20"/>
      <c r="AD9" s="42"/>
      <c r="AE9" s="38"/>
      <c r="AF9" s="20"/>
      <c r="AG9" s="42"/>
      <c r="AH9" s="38"/>
      <c r="AI9" s="20"/>
      <c r="AJ9" s="42"/>
      <c r="AK9" s="38"/>
      <c r="AL9" s="20"/>
      <c r="AM9" s="42"/>
      <c r="AN9" s="38"/>
      <c r="AO9" s="20"/>
      <c r="AP9" s="42"/>
      <c r="AQ9" s="38"/>
      <c r="AR9" s="20"/>
      <c r="AS9" s="42"/>
      <c r="AT9" s="38"/>
      <c r="AU9" s="20"/>
      <c r="AV9" s="42"/>
      <c r="AW9" s="38"/>
      <c r="AX9" s="20"/>
      <c r="AY9" s="42"/>
      <c r="AZ9" s="38"/>
      <c r="BA9" s="20"/>
      <c r="BB9" s="42"/>
      <c r="BC9" s="38"/>
      <c r="BD9" s="20"/>
      <c r="BE9" s="42"/>
      <c r="BF9" s="38"/>
      <c r="BG9" s="20"/>
      <c r="BH9" s="42"/>
      <c r="BI9" s="38"/>
    </row>
    <row r="10" spans="1:61">
      <c r="A10" s="2">
        <v>3</v>
      </c>
      <c r="B10" s="2" t="s">
        <v>170</v>
      </c>
      <c r="C10" s="2" t="s">
        <v>171</v>
      </c>
      <c r="D10" s="2" t="s">
        <v>172</v>
      </c>
      <c r="E10" s="82">
        <f>E5</f>
        <v>5051419000</v>
      </c>
      <c r="F10" s="82">
        <v>4668029000</v>
      </c>
      <c r="G10" s="38">
        <f>((E10-F10)/F10)*100</f>
        <v>8.21310236076083</v>
      </c>
      <c r="H10" s="82">
        <f>H5</f>
        <v>4534099000</v>
      </c>
      <c r="I10" s="82">
        <v>3306552000</v>
      </c>
      <c r="J10" s="38">
        <f>((H10-I10)/I10)*100</f>
        <v>37.1246845656745</v>
      </c>
      <c r="K10" s="82">
        <f>K5</f>
        <v>3329316000</v>
      </c>
      <c r="L10" s="82">
        <v>3457636000</v>
      </c>
      <c r="M10" s="38">
        <f>((K10-L10)/L10)*100</f>
        <v>-3.71120615356851</v>
      </c>
      <c r="N10" s="82">
        <f>N5</f>
        <v>4540005000</v>
      </c>
      <c r="O10" s="82">
        <v>3275277000</v>
      </c>
      <c r="P10" s="38">
        <f>((N10-O10)/O10)*100</f>
        <v>38.6143828445655</v>
      </c>
      <c r="Q10" s="82">
        <f>Q5</f>
        <v>2173776000</v>
      </c>
      <c r="R10" s="82">
        <v>2447122000</v>
      </c>
      <c r="S10" s="38">
        <f>((Q10-R10)/R10)*100</f>
        <v>-11.1701010411414</v>
      </c>
      <c r="T10" s="82">
        <f>T5</f>
        <v>156775959</v>
      </c>
      <c r="U10" s="82">
        <v>1914891670</v>
      </c>
      <c r="V10" s="38">
        <f>((T10-U10)/U10)*100</f>
        <v>-91.8128027054397</v>
      </c>
      <c r="W10" s="82">
        <f>W5</f>
        <v>1652163000</v>
      </c>
      <c r="X10" s="82">
        <v>1615903000</v>
      </c>
      <c r="Y10" s="38">
        <f>((W10-X10)/X10)*100</f>
        <v>2.24394657352576</v>
      </c>
      <c r="Z10" s="82">
        <f>Z5</f>
        <v>285823064</v>
      </c>
      <c r="AA10" s="82">
        <v>1052794525</v>
      </c>
      <c r="AB10" s="38">
        <f>((Z10-AA10)/AA10)*100</f>
        <v>-72.8510115494759</v>
      </c>
      <c r="AC10" s="82">
        <f>AC5</f>
        <v>1668260480</v>
      </c>
      <c r="AD10" s="82">
        <v>1684090729</v>
      </c>
      <c r="AE10" s="38">
        <f>((AC10-AD10)/AD10)*100</f>
        <v>-0.939987895390878</v>
      </c>
      <c r="AF10" s="82">
        <f>AF5</f>
        <v>2229304139</v>
      </c>
      <c r="AG10" s="82">
        <v>2878746221</v>
      </c>
      <c r="AH10" s="38">
        <f>((AF10-AG10)/AG10)*100</f>
        <v>-22.5598935141425</v>
      </c>
      <c r="AI10" s="82">
        <f>AI5</f>
        <v>1876060000</v>
      </c>
      <c r="AJ10" s="82">
        <v>1812458000</v>
      </c>
      <c r="AK10" s="38">
        <f>((AI10-AJ10)/AJ10)*100</f>
        <v>3.50915717771115</v>
      </c>
      <c r="AL10" s="82">
        <f>AL5</f>
        <v>500048141</v>
      </c>
      <c r="AM10" s="82">
        <v>1948181222</v>
      </c>
      <c r="AN10" s="38">
        <f>((AL10-AM10)/AM10)*100</f>
        <v>-74.3325654023782</v>
      </c>
      <c r="AO10" s="82">
        <f>AO5</f>
        <v>1652476832</v>
      </c>
      <c r="AP10" s="82">
        <v>1439442806</v>
      </c>
      <c r="AQ10" s="38">
        <f>((AO10-AP10)/AP10)*100</f>
        <v>14.7997562051104</v>
      </c>
      <c r="AR10" s="82">
        <f>AR5</f>
        <v>2373289000</v>
      </c>
      <c r="AS10" s="82">
        <v>2241595000</v>
      </c>
      <c r="AT10" s="38">
        <f>((AR10-AS10)/AS10)*100</f>
        <v>5.87501310450817</v>
      </c>
      <c r="AU10" s="82">
        <f>AU5</f>
        <v>1203261404</v>
      </c>
      <c r="AV10" s="82">
        <v>1164177868</v>
      </c>
      <c r="AW10" s="38">
        <f>((AU10-AV10)/AV10)*100</f>
        <v>3.35717909387365</v>
      </c>
      <c r="AX10" s="82">
        <f>AX5</f>
        <v>1844360364</v>
      </c>
      <c r="AY10" s="82">
        <v>2053166226</v>
      </c>
      <c r="AZ10" s="38">
        <f>((AX10-AY10)/AY10)*100</f>
        <v>-10.1699443209134</v>
      </c>
      <c r="BA10" s="82">
        <f>BA5</f>
        <v>2783494683</v>
      </c>
      <c r="BB10" s="82">
        <v>130509106</v>
      </c>
      <c r="BC10" s="38">
        <f>((BA10-BB10)/BB10)*100</f>
        <v>2032.79729538566</v>
      </c>
      <c r="BD10" s="82">
        <f>BD5</f>
        <v>961893694</v>
      </c>
      <c r="BE10" s="82">
        <v>1211416812</v>
      </c>
      <c r="BF10" s="38">
        <f>((BD10-BE10)/BE10)*100</f>
        <v>-20.5976271361174</v>
      </c>
      <c r="BG10" s="82">
        <f>BG5</f>
        <v>1102627843</v>
      </c>
      <c r="BH10" s="82">
        <v>834411246</v>
      </c>
      <c r="BI10" s="38">
        <f>((BG10-BH10)/BH10)*100</f>
        <v>32.1444129960827</v>
      </c>
    </row>
    <row r="11" spans="1:61">
      <c r="A11" s="2"/>
      <c r="E11" s="45"/>
      <c r="G11" s="40"/>
      <c r="H11" s="45"/>
      <c r="J11" s="40"/>
      <c r="K11" s="45"/>
      <c r="M11" s="40"/>
      <c r="N11" s="45"/>
      <c r="P11" s="40"/>
      <c r="Q11" s="45"/>
      <c r="S11" s="40"/>
      <c r="T11" s="45"/>
      <c r="V11" s="40"/>
      <c r="W11" s="45"/>
      <c r="Y11" s="40"/>
      <c r="Z11" s="45"/>
      <c r="AB11" s="40"/>
      <c r="AC11" s="45"/>
      <c r="AE11" s="40"/>
      <c r="AF11" s="45"/>
      <c r="AH11" s="40"/>
      <c r="AI11" s="45"/>
      <c r="AK11" s="40"/>
      <c r="AL11" s="45"/>
      <c r="AN11" s="40"/>
      <c r="AO11" s="45"/>
      <c r="AQ11" s="40"/>
      <c r="AR11" s="45"/>
      <c r="AT11" s="40"/>
      <c r="AU11" s="45"/>
      <c r="AW11" s="40"/>
      <c r="AX11" s="45"/>
      <c r="AZ11" s="40"/>
      <c r="BA11" s="45"/>
      <c r="BC11" s="40"/>
      <c r="BD11" s="45"/>
      <c r="BE11" s="82"/>
      <c r="BF11" s="40"/>
      <c r="BG11" s="45"/>
      <c r="BH11" s="82"/>
      <c r="BI11" s="40"/>
    </row>
    <row r="12" spans="1:61">
      <c r="A12" s="2">
        <v>4</v>
      </c>
      <c r="B12" s="2" t="s">
        <v>173</v>
      </c>
      <c r="C12" s="41" t="s">
        <v>174</v>
      </c>
      <c r="D12" s="41" t="s">
        <v>172</v>
      </c>
      <c r="E12" s="20">
        <v>61246639000</v>
      </c>
      <c r="F12" s="20">
        <v>58676934000</v>
      </c>
      <c r="G12" s="44">
        <f>(E12-F12)/F12</f>
        <v>0.0437941253031387</v>
      </c>
      <c r="H12" s="20">
        <v>66117947000</v>
      </c>
      <c r="I12" s="20">
        <v>61407148000</v>
      </c>
      <c r="J12" s="44">
        <f>(H12-I12)/I12</f>
        <v>0.0767141799192498</v>
      </c>
      <c r="K12" s="20">
        <v>33517223000</v>
      </c>
      <c r="L12" s="20">
        <v>31939500000</v>
      </c>
      <c r="M12" s="44">
        <f>(K12-L12)/L12</f>
        <v>0.0493972353981747</v>
      </c>
      <c r="N12" s="20">
        <v>64978007000</v>
      </c>
      <c r="O12" s="20">
        <v>60172457000</v>
      </c>
      <c r="P12" s="44">
        <f>(N12-O12)/O12</f>
        <v>0.0798629512502705</v>
      </c>
      <c r="Q12" s="20">
        <v>20931750000</v>
      </c>
      <c r="R12" s="20">
        <v>20518823000</v>
      </c>
      <c r="S12" s="44">
        <f>(Q12-R12)/R12</f>
        <v>0.0201243024514613</v>
      </c>
      <c r="T12" s="20">
        <v>29730663404</v>
      </c>
      <c r="U12" s="20">
        <v>29519508832</v>
      </c>
      <c r="V12" s="44">
        <f>(T12-U12)/U12</f>
        <v>0.0071530516717508</v>
      </c>
      <c r="W12" s="20">
        <v>42888818000</v>
      </c>
      <c r="X12" s="20">
        <v>40501437000</v>
      </c>
      <c r="Y12" s="44">
        <f>(W12-X12)/X12</f>
        <v>0.0589455875355731</v>
      </c>
      <c r="Z12" s="20">
        <v>35256260461</v>
      </c>
      <c r="AA12" s="20">
        <v>34803199422</v>
      </c>
      <c r="AB12" s="44">
        <f>(Z12-AA12)/AA12</f>
        <v>0.0130177985508312</v>
      </c>
      <c r="AC12" s="20">
        <v>29233303500</v>
      </c>
      <c r="AD12" s="20">
        <v>28069293475</v>
      </c>
      <c r="AE12" s="44">
        <f>(AC12-AD12)/AD12</f>
        <v>0.0414691600996915</v>
      </c>
      <c r="AF12" s="20">
        <v>31943279506</v>
      </c>
      <c r="AG12" s="20">
        <v>30652346593</v>
      </c>
      <c r="AH12" s="44">
        <f>(AF12-AG12)/AG12</f>
        <v>0.0421153045847004</v>
      </c>
      <c r="AI12" s="20">
        <v>34674717000</v>
      </c>
      <c r="AJ12" s="20">
        <v>32639713000</v>
      </c>
      <c r="AK12" s="44">
        <f>(AI12-AJ12)/AJ12</f>
        <v>0.0623474844892172</v>
      </c>
      <c r="AL12" s="20">
        <v>37192059696</v>
      </c>
      <c r="AM12" s="20">
        <v>36623080662</v>
      </c>
      <c r="AN12" s="44">
        <f>(AL12-AM12)/AM12</f>
        <v>0.0155360778971926</v>
      </c>
      <c r="AO12" s="20">
        <v>21909734438</v>
      </c>
      <c r="AP12" s="20">
        <v>20923649123</v>
      </c>
      <c r="AQ12" s="44">
        <f>(AO12-AP12)/AP12</f>
        <v>0.0471277887142573</v>
      </c>
      <c r="AR12" s="20">
        <v>31569532000</v>
      </c>
      <c r="AS12" s="20">
        <v>28971511000</v>
      </c>
      <c r="AT12" s="44">
        <f>(AR12-AS12)/AS12</f>
        <v>0.0896750259246057</v>
      </c>
      <c r="AU12" s="20">
        <v>19954488650</v>
      </c>
      <c r="AV12" s="20">
        <v>19455940141</v>
      </c>
      <c r="AW12" s="44">
        <f>(AU12-AV12)/AV12</f>
        <v>0.025624488222463</v>
      </c>
      <c r="AX12" s="20">
        <v>36695551794</v>
      </c>
      <c r="AY12" s="20">
        <v>36139947720</v>
      </c>
      <c r="AZ12" s="44">
        <f>(AX12-AY12)/AY12</f>
        <v>0.0153736822837883</v>
      </c>
      <c r="BA12" s="20">
        <v>38313647327</v>
      </c>
      <c r="BB12" s="20">
        <v>35635691419</v>
      </c>
      <c r="BC12" s="44">
        <f>(BA12-BB12)/BB12</f>
        <v>0.0751481394457296</v>
      </c>
      <c r="BD12" s="20">
        <v>22559014001</v>
      </c>
      <c r="BE12" s="20">
        <v>21574365910</v>
      </c>
      <c r="BF12" s="44">
        <f>(BD12-BE12)/BE12</f>
        <v>0.0456397233229275</v>
      </c>
      <c r="BG12" s="20">
        <v>18156028753</v>
      </c>
      <c r="BH12" s="20">
        <v>17113733764</v>
      </c>
      <c r="BI12" s="44">
        <f>(BG12-BH12)/BH12</f>
        <v>0.0609040086385207</v>
      </c>
    </row>
    <row r="13" spans="1:61">
      <c r="A13" s="2"/>
      <c r="B13" s="2"/>
      <c r="C13" s="41"/>
      <c r="D13" s="41"/>
      <c r="E13" s="20"/>
      <c r="F13" s="20"/>
      <c r="G13" s="44"/>
      <c r="H13" s="20"/>
      <c r="I13" s="20"/>
      <c r="J13" s="44"/>
      <c r="K13" s="20"/>
      <c r="L13" s="20"/>
      <c r="M13" s="44"/>
      <c r="N13" s="20"/>
      <c r="O13" s="20"/>
      <c r="P13" s="44"/>
      <c r="Q13" s="20"/>
      <c r="R13" s="20"/>
      <c r="S13" s="44"/>
      <c r="T13" s="20"/>
      <c r="U13" s="20"/>
      <c r="V13" s="44"/>
      <c r="W13" s="20"/>
      <c r="X13" s="20"/>
      <c r="Y13" s="44"/>
      <c r="Z13" s="20"/>
      <c r="AA13" s="20"/>
      <c r="AB13" s="44"/>
      <c r="AC13" s="20"/>
      <c r="AD13" s="20"/>
      <c r="AE13" s="44"/>
      <c r="AF13" s="20"/>
      <c r="AG13" s="20"/>
      <c r="AH13" s="44"/>
      <c r="AI13" s="20"/>
      <c r="AJ13" s="20"/>
      <c r="AK13" s="44"/>
      <c r="AL13" s="20"/>
      <c r="AM13" s="20"/>
      <c r="AN13" s="44"/>
      <c r="AO13" s="20"/>
      <c r="AP13" s="20"/>
      <c r="AQ13" s="44"/>
      <c r="AR13" s="20"/>
      <c r="AS13" s="20"/>
      <c r="AT13" s="44"/>
      <c r="AU13" s="20"/>
      <c r="AV13" s="20"/>
      <c r="AW13" s="44"/>
      <c r="AX13" s="20"/>
      <c r="AY13" s="20"/>
      <c r="AZ13" s="44"/>
      <c r="BA13" s="20"/>
      <c r="BB13" s="20"/>
      <c r="BC13" s="44"/>
      <c r="BD13" s="20"/>
      <c r="BE13" s="20"/>
      <c r="BF13" s="44"/>
      <c r="BG13" s="20"/>
      <c r="BH13" s="20"/>
      <c r="BI13" s="44"/>
    </row>
    <row r="14" spans="1:61">
      <c r="A14" s="2"/>
      <c r="C14" s="6"/>
      <c r="D14" s="2"/>
      <c r="E14" s="83"/>
      <c r="F14" s="2"/>
      <c r="G14" s="80"/>
      <c r="H14" s="83"/>
      <c r="I14" s="2"/>
      <c r="J14" s="80"/>
      <c r="K14" s="83"/>
      <c r="L14" s="2"/>
      <c r="M14" s="80"/>
      <c r="N14" s="83"/>
      <c r="O14" s="2"/>
      <c r="P14" s="80"/>
      <c r="Q14" s="83"/>
      <c r="R14" s="2"/>
      <c r="S14" s="80"/>
      <c r="T14" s="83"/>
      <c r="U14" s="2"/>
      <c r="V14" s="80"/>
      <c r="W14" s="83"/>
      <c r="X14" s="2"/>
      <c r="Y14" s="80"/>
      <c r="Z14" s="83"/>
      <c r="AA14" s="2"/>
      <c r="AB14" s="80"/>
      <c r="AC14" s="83"/>
      <c r="AD14" s="2"/>
      <c r="AE14" s="80"/>
      <c r="AF14" s="83"/>
      <c r="AG14" s="2"/>
      <c r="AH14" s="80"/>
      <c r="AI14" s="83"/>
      <c r="AJ14" s="2"/>
      <c r="AK14" s="80"/>
      <c r="AL14" s="83"/>
      <c r="AM14" s="2"/>
      <c r="AN14" s="80"/>
      <c r="AO14" s="83"/>
      <c r="AP14" s="2"/>
      <c r="AQ14" s="80"/>
      <c r="AR14" s="83"/>
      <c r="AS14" s="2"/>
      <c r="AT14" s="80"/>
      <c r="AU14" s="83"/>
      <c r="AV14" s="2"/>
      <c r="AW14" s="80"/>
      <c r="AX14" s="83"/>
      <c r="AY14" s="2"/>
      <c r="AZ14" s="80"/>
      <c r="BA14" s="83"/>
      <c r="BB14" s="2"/>
      <c r="BC14" s="80"/>
      <c r="BD14" s="83"/>
      <c r="BE14" s="2"/>
      <c r="BF14" s="80"/>
      <c r="BG14" s="83"/>
      <c r="BH14" s="2"/>
      <c r="BI14" s="80"/>
    </row>
    <row r="15" spans="1:61">
      <c r="A15" s="2">
        <v>5</v>
      </c>
      <c r="B15" s="2" t="s">
        <v>94</v>
      </c>
      <c r="C15" s="37" t="s">
        <v>161</v>
      </c>
      <c r="D15" s="2" t="s">
        <v>175</v>
      </c>
      <c r="E15" s="20">
        <f>E3</f>
        <v>6733541527</v>
      </c>
      <c r="F15" s="20">
        <f>E12</f>
        <v>61246639000</v>
      </c>
      <c r="G15" s="38">
        <f>(E15/F15)*100</f>
        <v>10.9941404735695</v>
      </c>
      <c r="H15" s="20">
        <f>H3</f>
        <v>6043953967</v>
      </c>
      <c r="I15" s="20">
        <f>H12</f>
        <v>66117947000</v>
      </c>
      <c r="J15" s="38">
        <f>(H15/I15)*100</f>
        <v>9.1411700472188</v>
      </c>
      <c r="K15" s="20">
        <f>K3</f>
        <v>4437978228</v>
      </c>
      <c r="L15" s="20">
        <f>K12</f>
        <v>33517223000</v>
      </c>
      <c r="M15" s="38">
        <f>(K15/L15)*100</f>
        <v>13.2408888051376</v>
      </c>
      <c r="N15" s="20">
        <f>N3</f>
        <v>6051826665</v>
      </c>
      <c r="O15" s="20">
        <f>N12</f>
        <v>64978007000</v>
      </c>
      <c r="P15" s="38">
        <f>(N15/O15)*100</f>
        <v>9.31365387214785</v>
      </c>
      <c r="Q15" s="20">
        <f>Q3</f>
        <v>2897643408</v>
      </c>
      <c r="R15" s="20">
        <f>Q12</f>
        <v>20931750000</v>
      </c>
      <c r="S15" s="38">
        <f>(Q15/R15)*100</f>
        <v>13.84329264395</v>
      </c>
      <c r="T15" s="20">
        <f>T3</f>
        <v>208982353.347</v>
      </c>
      <c r="U15" s="20">
        <f>T12</f>
        <v>29730663404</v>
      </c>
      <c r="V15" s="38">
        <f>(T15/U15)*100</f>
        <v>0.702918567632377</v>
      </c>
      <c r="W15" s="20">
        <f>W3</f>
        <v>2202333279</v>
      </c>
      <c r="X15" s="20">
        <f>W12</f>
        <v>42888818000</v>
      </c>
      <c r="Y15" s="38">
        <f>(W15/X15)*100</f>
        <v>5.13498245393473</v>
      </c>
      <c r="Z15" s="20">
        <f>Z3</f>
        <v>381002144.312</v>
      </c>
      <c r="AA15" s="20">
        <f>Z12</f>
        <v>35256260461</v>
      </c>
      <c r="AB15" s="38">
        <f>(Z15/AA15)*100</f>
        <v>1.08066521897142</v>
      </c>
      <c r="AC15" s="20">
        <f>AC3</f>
        <v>2223791219.84</v>
      </c>
      <c r="AD15" s="20">
        <f>AC12</f>
        <v>29233303500</v>
      </c>
      <c r="AE15" s="38">
        <f>(AC15/AD15)*100</f>
        <v>7.60704728372556</v>
      </c>
      <c r="AF15" s="20">
        <f>AF3</f>
        <v>2971662417.287</v>
      </c>
      <c r="AG15" s="20">
        <f>AF12</f>
        <v>31943279506</v>
      </c>
      <c r="AH15" s="38">
        <f>(AF15/AG15)*100</f>
        <v>9.30293464930181</v>
      </c>
      <c r="AI15" s="20">
        <f>AI3</f>
        <v>2500787980</v>
      </c>
      <c r="AJ15" s="20">
        <f>AI12</f>
        <v>34674717000</v>
      </c>
      <c r="AK15" s="38">
        <f>(AI15/AJ15)*100</f>
        <v>7.21213667007001</v>
      </c>
      <c r="AL15" s="20">
        <f>AL3</f>
        <v>666564171.953</v>
      </c>
      <c r="AM15" s="20">
        <f>AL12</f>
        <v>37192059696</v>
      </c>
      <c r="AN15" s="38">
        <f>(AL15/AM15)*100</f>
        <v>1.79222171990837</v>
      </c>
      <c r="AO15" s="20">
        <f>AO3</f>
        <v>2202751617.056</v>
      </c>
      <c r="AP15" s="20">
        <f>AO12</f>
        <v>21909734438</v>
      </c>
      <c r="AQ15" s="38">
        <f>(AO15/AP15)*100</f>
        <v>10.0537577180104</v>
      </c>
      <c r="AR15" s="20">
        <f>AR3</f>
        <v>3163594237</v>
      </c>
      <c r="AS15" s="20">
        <f>AR12</f>
        <v>31569532000</v>
      </c>
      <c r="AT15" s="38">
        <f>(AR15/AS15)*100</f>
        <v>10.0210362225199</v>
      </c>
      <c r="AU15" s="20">
        <f>AU3</f>
        <v>1603947451.532</v>
      </c>
      <c r="AV15" s="20">
        <f>AU12</f>
        <v>19954488650</v>
      </c>
      <c r="AW15" s="38">
        <f>(AU15/AV15)*100</f>
        <v>8.03802833370025</v>
      </c>
      <c r="AX15" s="20">
        <f>AX3</f>
        <v>2458532365.212</v>
      </c>
      <c r="AY15" s="20">
        <f>AX12</f>
        <v>36695551794</v>
      </c>
      <c r="AZ15" s="38">
        <f>(AX15/AY15)*100</f>
        <v>6.69981031764724</v>
      </c>
      <c r="BA15" s="20">
        <f>BA3</f>
        <v>3710398412.439</v>
      </c>
      <c r="BB15" s="20">
        <f>BA12</f>
        <v>38313647327</v>
      </c>
      <c r="BC15" s="38">
        <f>(BA15/BB15)*100</f>
        <v>9.68427354558919</v>
      </c>
      <c r="BD15" s="20">
        <f>BD3</f>
        <v>1282204294.102</v>
      </c>
      <c r="BE15" s="20">
        <f>BD12</f>
        <v>22559014001</v>
      </c>
      <c r="BF15" s="38">
        <f>(BD15/BE15)*100</f>
        <v>5.68377808553673</v>
      </c>
      <c r="BG15" s="20">
        <f>BG3</f>
        <v>1469802914.719</v>
      </c>
      <c r="BH15" s="20">
        <f>BG12</f>
        <v>18156028753</v>
      </c>
      <c r="BI15" s="38">
        <f>(BG15/BH15)*100</f>
        <v>8.09539869491635</v>
      </c>
    </row>
    <row r="16" spans="1:61">
      <c r="A16" s="2"/>
      <c r="B16" s="2"/>
      <c r="C16" s="2" t="s">
        <v>176</v>
      </c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20"/>
      <c r="AM16" s="2"/>
      <c r="AN16" s="38"/>
      <c r="AO16" s="20"/>
      <c r="AP16" s="2"/>
      <c r="AQ16" s="38"/>
      <c r="AR16" s="20"/>
      <c r="AS16" s="2"/>
      <c r="AT16" s="38"/>
      <c r="AU16" s="20"/>
      <c r="AV16" s="2"/>
      <c r="AW16" s="38"/>
      <c r="AX16" s="20"/>
      <c r="AY16" s="2"/>
      <c r="AZ16" s="38"/>
      <c r="BA16" s="20"/>
      <c r="BB16" s="2"/>
      <c r="BC16" s="38"/>
      <c r="BD16" s="20"/>
      <c r="BE16" s="2"/>
      <c r="BF16" s="38"/>
      <c r="BG16" s="20"/>
      <c r="BH16" s="2"/>
      <c r="BI16" s="38"/>
    </row>
    <row r="17" spans="1:61">
      <c r="A17" s="2"/>
      <c r="B17" s="2"/>
      <c r="C17" s="2"/>
      <c r="D17" s="2"/>
      <c r="E17" s="20"/>
      <c r="F17" s="2"/>
      <c r="G17" s="38"/>
      <c r="H17" s="20"/>
      <c r="I17" s="2"/>
      <c r="J17" s="38"/>
      <c r="K17" s="20"/>
      <c r="L17" s="2"/>
      <c r="M17" s="38"/>
      <c r="N17" s="20"/>
      <c r="O17" s="2"/>
      <c r="P17" s="38"/>
      <c r="Q17" s="20"/>
      <c r="R17" s="2"/>
      <c r="S17" s="38"/>
      <c r="T17" s="20"/>
      <c r="U17" s="2"/>
      <c r="V17" s="38"/>
      <c r="W17" s="20"/>
      <c r="X17" s="2"/>
      <c r="Y17" s="38"/>
      <c r="Z17" s="20"/>
      <c r="AA17" s="2"/>
      <c r="AB17" s="38"/>
      <c r="AC17" s="20"/>
      <c r="AD17" s="2"/>
      <c r="AE17" s="38"/>
      <c r="AF17" s="20"/>
      <c r="AG17" s="2"/>
      <c r="AH17" s="38"/>
      <c r="AI17" s="20"/>
      <c r="AJ17" s="2"/>
      <c r="AK17" s="38"/>
      <c r="AL17" s="20"/>
      <c r="AM17" s="2"/>
      <c r="AN17" s="38"/>
      <c r="AO17" s="20"/>
      <c r="AP17" s="2"/>
      <c r="AQ17" s="38"/>
      <c r="AR17" s="20"/>
      <c r="AS17" s="2"/>
      <c r="AT17" s="38"/>
      <c r="AU17" s="20"/>
      <c r="AV17" s="2"/>
      <c r="AW17" s="38"/>
      <c r="AX17" s="20"/>
      <c r="AY17" s="2"/>
      <c r="AZ17" s="38"/>
      <c r="BA17" s="20"/>
      <c r="BB17" s="2"/>
      <c r="BC17" s="38"/>
      <c r="BD17" s="20"/>
      <c r="BE17" s="2"/>
      <c r="BF17" s="38"/>
      <c r="BG17" s="20"/>
      <c r="BH17" s="2"/>
      <c r="BI17" s="38"/>
    </row>
    <row r="18" ht="30" spans="1:61">
      <c r="A18" s="2">
        <v>6</v>
      </c>
      <c r="B18" s="2" t="s">
        <v>177</v>
      </c>
      <c r="C18" s="2" t="s">
        <v>171</v>
      </c>
      <c r="D18" s="41" t="s">
        <v>178</v>
      </c>
      <c r="E18" s="20">
        <v>401162306000</v>
      </c>
      <c r="F18" s="20">
        <v>373574157000</v>
      </c>
      <c r="G18" s="38">
        <f>((E18-F18)/F18)*100</f>
        <v>7.38491902693365</v>
      </c>
      <c r="H18" s="20">
        <v>413286442000</v>
      </c>
      <c r="I18" s="20">
        <v>369424519000</v>
      </c>
      <c r="J18" s="38">
        <f>((H18-I18)/I18)*100</f>
        <v>11.8730405655614</v>
      </c>
      <c r="K18" s="20">
        <v>250870098000</v>
      </c>
      <c r="L18" s="20">
        <v>213438490000</v>
      </c>
      <c r="M18" s="38">
        <f>((K18-L18)/L18)*100</f>
        <v>17.5374216712272</v>
      </c>
      <c r="N18" s="20">
        <v>327823499000</v>
      </c>
      <c r="O18" s="20">
        <v>305494819000</v>
      </c>
      <c r="P18" s="38">
        <f>((N18-O18)/O18)*100</f>
        <v>7.30902084463828</v>
      </c>
      <c r="Q18" s="20">
        <v>77257645000</v>
      </c>
      <c r="R18" s="20">
        <v>81142517000</v>
      </c>
      <c r="S18" s="38">
        <f>((Q18-R18)/R18)*100</f>
        <v>-4.78771443582407</v>
      </c>
      <c r="T18" s="20">
        <v>233434321797</v>
      </c>
      <c r="U18" s="20">
        <v>271253725413</v>
      </c>
      <c r="V18" s="38">
        <f>((T18-U18)/U18)*100</f>
        <v>-13.9424457888708</v>
      </c>
      <c r="W18" s="20">
        <v>276046193000</v>
      </c>
      <c r="X18" s="20">
        <v>247408112000</v>
      </c>
      <c r="Y18" s="38">
        <f>((W18-X18)/X18)*100</f>
        <v>11.5752392953065</v>
      </c>
      <c r="Z18" s="20">
        <v>264426345524</v>
      </c>
      <c r="AA18" s="20">
        <v>268431270470</v>
      </c>
      <c r="AB18" s="38">
        <f>((Z18-AA18)/AA18)*100</f>
        <v>-1.49197406806879</v>
      </c>
      <c r="AC18" s="20">
        <v>207935280392</v>
      </c>
      <c r="AD18" s="20">
        <v>195473382509</v>
      </c>
      <c r="AE18" s="38">
        <f>((AC18-AD18)/AD18)*100</f>
        <v>6.37524031305195</v>
      </c>
      <c r="AF18" s="20">
        <v>205242089777</v>
      </c>
      <c r="AG18" s="20">
        <v>181029569181</v>
      </c>
      <c r="AH18" s="38">
        <f>((AF18-AG18)/AG18)*100</f>
        <v>13.3748982033932</v>
      </c>
      <c r="AI18" s="20">
        <v>223342080000</v>
      </c>
      <c r="AJ18" s="20">
        <v>221045599000</v>
      </c>
      <c r="AK18" s="38">
        <f>((AI18-AJ18)/AJ18)*100</f>
        <v>1.03891731406966</v>
      </c>
      <c r="AL18" s="20">
        <v>233534866447</v>
      </c>
      <c r="AM18" s="20">
        <v>230239742835</v>
      </c>
      <c r="AN18" s="38">
        <f>((AL18-AM18)/AM18)*100</f>
        <v>1.43117064474895</v>
      </c>
      <c r="AO18" s="20">
        <v>173096650445</v>
      </c>
      <c r="AP18" s="20">
        <v>159414737417</v>
      </c>
      <c r="AQ18" s="38">
        <f>((AO18-AP18)/AP18)*100</f>
        <v>8.5825898217996</v>
      </c>
      <c r="AR18" s="20">
        <v>225630657000</v>
      </c>
      <c r="AS18" s="20">
        <v>194304186000</v>
      </c>
      <c r="AT18" s="38">
        <f>((AR18-AS18)/AS18)*100</f>
        <v>16.1223860612041</v>
      </c>
      <c r="AU18" s="20">
        <v>135248575818</v>
      </c>
      <c r="AV18" s="20">
        <v>125979115095</v>
      </c>
      <c r="AW18" s="38">
        <f>((AU18-AV18)/AV18)*100</f>
        <v>7.35793446081119</v>
      </c>
      <c r="AX18" s="20">
        <v>207239517431</v>
      </c>
      <c r="AY18" s="20">
        <v>203617049861</v>
      </c>
      <c r="AZ18" s="38">
        <f>((AX18-AY18)/AY18)*100</f>
        <v>1.77905905840051</v>
      </c>
      <c r="BA18" s="20">
        <v>216009359057</v>
      </c>
      <c r="BB18" s="20">
        <v>194667770477</v>
      </c>
      <c r="BC18" s="38">
        <f>((BA18-BB18)/BB18)*100</f>
        <v>10.9630826549799</v>
      </c>
      <c r="BD18" s="20">
        <v>167764275407</v>
      </c>
      <c r="BE18" s="20">
        <v>153343650160</v>
      </c>
      <c r="BF18" s="38">
        <f>((BD18-BE18)/BE18)*100</f>
        <v>9.40412285213858</v>
      </c>
      <c r="BG18" s="20">
        <v>140615040523</v>
      </c>
      <c r="BH18" s="20">
        <v>126754174782</v>
      </c>
      <c r="BI18" s="38">
        <f>((BG18-BH18)/BH18)*100</f>
        <v>10.9352340976846</v>
      </c>
    </row>
    <row r="19" spans="1:61">
      <c r="A19" s="2"/>
      <c r="B19" s="2"/>
      <c r="C19" s="2"/>
      <c r="D19" s="2"/>
      <c r="E19" s="20"/>
      <c r="F19" s="2"/>
      <c r="G19" s="38"/>
      <c r="H19" s="20"/>
      <c r="I19" s="2"/>
      <c r="J19" s="38"/>
      <c r="K19" s="20"/>
      <c r="L19" s="2"/>
      <c r="M19" s="38"/>
      <c r="N19" s="20"/>
      <c r="O19" s="2"/>
      <c r="P19" s="38"/>
      <c r="Q19" s="20"/>
      <c r="R19" s="2"/>
      <c r="S19" s="38"/>
      <c r="T19" s="20"/>
      <c r="U19" s="2"/>
      <c r="V19" s="38"/>
      <c r="W19" s="20"/>
      <c r="X19" s="2"/>
      <c r="Y19" s="38"/>
      <c r="Z19" s="20"/>
      <c r="AA19" s="2"/>
      <c r="AB19" s="38"/>
      <c r="AC19" s="20"/>
      <c r="AD19" s="2"/>
      <c r="AE19" s="38"/>
      <c r="AF19" s="20"/>
      <c r="AG19" s="2"/>
      <c r="AH19" s="38"/>
      <c r="AI19" s="20"/>
      <c r="AJ19" s="2"/>
      <c r="AK19" s="38"/>
      <c r="AL19" s="20"/>
      <c r="AM19" s="2"/>
      <c r="AN19" s="38"/>
      <c r="AO19" s="20"/>
      <c r="AP19" s="2"/>
      <c r="AQ19" s="38"/>
      <c r="AR19" s="20"/>
      <c r="AS19" s="2"/>
      <c r="AT19" s="38"/>
      <c r="AU19" s="20"/>
      <c r="AV19" s="2"/>
      <c r="AW19" s="38"/>
      <c r="AX19" s="20"/>
      <c r="AY19" s="2"/>
      <c r="AZ19" s="38"/>
      <c r="BA19" s="20"/>
      <c r="BB19" s="2"/>
      <c r="BC19" s="38"/>
      <c r="BD19" s="20"/>
      <c r="BE19" s="2"/>
      <c r="BF19" s="38"/>
      <c r="BG19" s="20"/>
      <c r="BH19" s="2"/>
      <c r="BI19" s="38"/>
    </row>
    <row r="20" spans="1:61">
      <c r="A20" s="2">
        <v>7</v>
      </c>
      <c r="B20" s="6" t="s">
        <v>179</v>
      </c>
      <c r="C20" s="2" t="s">
        <v>171</v>
      </c>
      <c r="D20" s="2" t="s">
        <v>172</v>
      </c>
      <c r="E20" s="20">
        <v>502106195000</v>
      </c>
      <c r="F20" s="20">
        <v>462097419000</v>
      </c>
      <c r="G20" s="38">
        <f>((E20-F20)/F20)*100</f>
        <v>8.65808255033772</v>
      </c>
      <c r="H20" s="20">
        <v>517668834000</v>
      </c>
      <c r="I20" s="20">
        <v>487455855000</v>
      </c>
      <c r="J20" s="38">
        <f>((H20-I20)/I20)*100</f>
        <v>6.19809541522483</v>
      </c>
      <c r="K20" s="20">
        <v>302433448000</v>
      </c>
      <c r="L20" s="20">
        <v>298818400000</v>
      </c>
      <c r="M20" s="38">
        <f>((K20-L20)/L20)*100</f>
        <v>1.20978092379853</v>
      </c>
      <c r="N20" s="20">
        <v>455890952000</v>
      </c>
      <c r="O20" s="20">
        <v>403416956000</v>
      </c>
      <c r="P20" s="38">
        <f>((N20-O20)/O20)*100</f>
        <v>13.0073848457674</v>
      </c>
      <c r="Q20" s="20">
        <v>122603744000</v>
      </c>
      <c r="R20" s="20">
        <v>112483887000</v>
      </c>
      <c r="S20" s="38">
        <f>((Q20-R20)/R20)*100</f>
        <v>8.99671701423334</v>
      </c>
      <c r="T20" s="20">
        <v>294060129588</v>
      </c>
      <c r="U20" s="20">
        <v>354096864840</v>
      </c>
      <c r="V20" s="38">
        <f>((T20-U20)/U20)*100</f>
        <v>-16.9548903741714</v>
      </c>
      <c r="W20" s="20">
        <v>344203067000</v>
      </c>
      <c r="X20" s="20">
        <v>328931512000</v>
      </c>
      <c r="Y20" s="38">
        <f>((W20-X20)/X20)*100</f>
        <v>4.64277651817075</v>
      </c>
      <c r="Z20" s="20">
        <v>350079224200</v>
      </c>
      <c r="AA20" s="20">
        <v>333111322485</v>
      </c>
      <c r="AB20" s="38">
        <f>((Z20-AA20)/AA20)*100</f>
        <v>5.09376312651878</v>
      </c>
      <c r="AC20" s="20">
        <v>247642460803</v>
      </c>
      <c r="AD20" s="20">
        <v>241329082024</v>
      </c>
      <c r="AE20" s="38">
        <f>((AC20-AD20)/AD20)*100</f>
        <v>2.61608701531137</v>
      </c>
      <c r="AF20" s="20">
        <v>244802427740</v>
      </c>
      <c r="AG20" s="20">
        <v>211160276034</v>
      </c>
      <c r="AH20" s="38">
        <f>((AF20-AG20)/AG20)*100</f>
        <v>15.9320457132681</v>
      </c>
      <c r="AI20" s="20">
        <v>320520512000</v>
      </c>
      <c r="AJ20" s="20">
        <v>305012852000</v>
      </c>
      <c r="AK20" s="38">
        <f>((AI20-AJ20)/AJ20)*100</f>
        <v>5.0842644492895</v>
      </c>
      <c r="AL20" s="20">
        <v>301137978380</v>
      </c>
      <c r="AM20" s="20">
        <v>293899590309</v>
      </c>
      <c r="AN20" s="38">
        <f>((AL20-AM20)/AM20)*100</f>
        <v>2.46287790445359</v>
      </c>
      <c r="AO20" s="20">
        <v>213778953694</v>
      </c>
      <c r="AP20" s="20">
        <v>197197071124</v>
      </c>
      <c r="AQ20" s="38">
        <f>((AO20-AP20)/AP20)*100</f>
        <v>8.40878745078983</v>
      </c>
      <c r="AR20" s="20">
        <v>269094636000</v>
      </c>
      <c r="AS20" s="20">
        <v>223942592000</v>
      </c>
      <c r="AT20" s="38">
        <f>((AR20-AS20)/AS20)*100</f>
        <v>20.1623298170988</v>
      </c>
      <c r="AU20" s="20">
        <v>185831403472</v>
      </c>
      <c r="AV20" s="20">
        <v>175514855972</v>
      </c>
      <c r="AW20" s="38">
        <f>((AU20-AV20)/AV20)*100</f>
        <v>5.87787708502909</v>
      </c>
      <c r="AX20" s="20">
        <v>254716079304</v>
      </c>
      <c r="AY20" s="20">
        <v>243628658005</v>
      </c>
      <c r="AZ20" s="38">
        <f>((AX20-AY20)/AY20)*100</f>
        <v>4.5509511852142</v>
      </c>
      <c r="BA20" s="20">
        <v>313721579342</v>
      </c>
      <c r="BB20" s="20">
        <v>283083745209</v>
      </c>
      <c r="BC20" s="38">
        <f>((BA20-BB20)/BB20)*100</f>
        <v>10.8228870966718</v>
      </c>
      <c r="BD20" s="20">
        <v>198946016927</v>
      </c>
      <c r="BE20" s="20">
        <v>189236668435</v>
      </c>
      <c r="BF20" s="38">
        <f>((BD20-BE20)/BE20)*100</f>
        <v>5.13079656934196</v>
      </c>
      <c r="BG20" s="20">
        <v>169659048689</v>
      </c>
      <c r="BH20" s="20">
        <v>158646909170</v>
      </c>
      <c r="BI20" s="38">
        <f>((BG20-BH20)/BH20)*100</f>
        <v>6.94128840997451</v>
      </c>
    </row>
    <row r="21" spans="1:61">
      <c r="A21" s="2"/>
      <c r="D21" s="2"/>
      <c r="E21" s="20"/>
      <c r="F21" s="20"/>
      <c r="G21" s="80"/>
      <c r="H21" s="20"/>
      <c r="I21" s="20"/>
      <c r="J21" s="80"/>
      <c r="K21" s="20"/>
      <c r="L21" s="20"/>
      <c r="M21" s="80"/>
      <c r="N21" s="20"/>
      <c r="O21" s="20"/>
      <c r="P21" s="80"/>
      <c r="Q21" s="20"/>
      <c r="R21" s="20"/>
      <c r="S21" s="80"/>
      <c r="T21" s="20"/>
      <c r="U21" s="20"/>
      <c r="V21" s="80"/>
      <c r="W21" s="20"/>
      <c r="X21" s="20"/>
      <c r="Y21" s="80"/>
      <c r="Z21" s="20"/>
      <c r="AA21" s="20"/>
      <c r="AB21" s="80"/>
      <c r="AC21" s="20"/>
      <c r="AD21" s="20"/>
      <c r="AE21" s="80"/>
      <c r="AF21" s="20"/>
      <c r="AG21" s="20"/>
      <c r="AH21" s="80"/>
      <c r="AI21" s="20"/>
      <c r="AJ21" s="20"/>
      <c r="AK21" s="80"/>
      <c r="AL21" s="20"/>
      <c r="AM21" s="20"/>
      <c r="AN21" s="80"/>
      <c r="AO21" s="20"/>
      <c r="AP21" s="20"/>
      <c r="AQ21" s="80"/>
      <c r="AR21" s="20"/>
      <c r="AS21" s="20"/>
      <c r="AT21" s="80"/>
      <c r="AU21" s="20"/>
      <c r="AV21" s="20"/>
      <c r="AW21" s="80"/>
      <c r="AX21" s="20"/>
      <c r="AY21" s="20"/>
      <c r="AZ21" s="80"/>
      <c r="BA21" s="20"/>
      <c r="BB21" s="20"/>
      <c r="BC21" s="80"/>
      <c r="BD21" s="20"/>
      <c r="BE21" s="20"/>
      <c r="BF21" s="80"/>
      <c r="BG21" s="20"/>
      <c r="BH21" s="20"/>
      <c r="BI21" s="80"/>
    </row>
    <row r="22" spans="1:61">
      <c r="A22" s="2">
        <v>8</v>
      </c>
      <c r="B22" s="2" t="s">
        <v>180</v>
      </c>
      <c r="C22" s="37" t="s">
        <v>176</v>
      </c>
      <c r="D22" s="2" t="s">
        <v>181</v>
      </c>
      <c r="E22" s="20">
        <f>E12</f>
        <v>61246639000</v>
      </c>
      <c r="F22" s="20">
        <f>F3</f>
        <v>270569770</v>
      </c>
      <c r="G22" s="38">
        <f>E22/F22</f>
        <v>226.361721784366</v>
      </c>
      <c r="H22" s="20">
        <f>H12</f>
        <v>66117947000</v>
      </c>
      <c r="I22" s="20">
        <f>I3</f>
        <v>381158530</v>
      </c>
      <c r="J22" s="38">
        <f>H22/I22</f>
        <v>173.465741406863</v>
      </c>
      <c r="K22" s="20">
        <f>K12</f>
        <v>33517223000</v>
      </c>
      <c r="L22" s="20">
        <f>L3</f>
        <v>137213760</v>
      </c>
      <c r="M22" s="38">
        <f>K22/L22</f>
        <v>244.270130051097</v>
      </c>
      <c r="N22" s="20">
        <f>N12</f>
        <v>64978007000</v>
      </c>
      <c r="O22" s="20">
        <f>O3</f>
        <v>341285950</v>
      </c>
      <c r="P22" s="38">
        <f>N22/O22</f>
        <v>190.391684744127</v>
      </c>
      <c r="Q22" s="20">
        <f>Q12</f>
        <v>20931750000</v>
      </c>
      <c r="R22" s="20">
        <f>R3</f>
        <v>100423860</v>
      </c>
      <c r="S22" s="38">
        <f>Q22/R22</f>
        <v>208.434031514025</v>
      </c>
      <c r="T22" s="20">
        <f>T12</f>
        <v>29730663404</v>
      </c>
      <c r="U22" s="20">
        <f>U3</f>
        <v>149175669</v>
      </c>
      <c r="V22" s="38">
        <f>T22/U22</f>
        <v>199.299682068126</v>
      </c>
      <c r="W22" s="20">
        <f>W12</f>
        <v>42888818000</v>
      </c>
      <c r="X22" s="20">
        <f>X3</f>
        <v>243465120</v>
      </c>
      <c r="Y22" s="38">
        <f>W22/X22</f>
        <v>176.160010107403</v>
      </c>
      <c r="Z22" s="20">
        <f>Z12</f>
        <v>35256260461</v>
      </c>
      <c r="AA22" s="20">
        <f>AA3</f>
        <v>262258613</v>
      </c>
      <c r="AB22" s="38">
        <f>Z22/AA22</f>
        <v>134.433184320242</v>
      </c>
      <c r="AC22" s="20">
        <f>AC12</f>
        <v>29233303500</v>
      </c>
      <c r="AD22" s="20">
        <f>AD3</f>
        <v>140899801</v>
      </c>
      <c r="AE22" s="38">
        <f>AC22/AD22</f>
        <v>207.475832417961</v>
      </c>
      <c r="AF22" s="20">
        <f>AF12</f>
        <v>31943279506</v>
      </c>
      <c r="AG22" s="20">
        <f>AG3</f>
        <v>194025757</v>
      </c>
      <c r="AH22" s="38">
        <f>AF22/AG22</f>
        <v>164.634221764691</v>
      </c>
      <c r="AI22" s="20">
        <f>AI12</f>
        <v>34674717000</v>
      </c>
      <c r="AJ22" s="20">
        <f>AJ3</f>
        <v>235424900</v>
      </c>
      <c r="AK22" s="38">
        <f>AI22/AJ22</f>
        <v>147.285682185699</v>
      </c>
      <c r="AL22" s="20">
        <f>AL12</f>
        <v>37192059696</v>
      </c>
      <c r="AM22" s="20">
        <f>AM3</f>
        <v>216566156</v>
      </c>
      <c r="AN22" s="38">
        <f>AL22/AM22</f>
        <v>171.735327361123</v>
      </c>
      <c r="AO22" s="20">
        <f>AO12</f>
        <v>21909734438</v>
      </c>
      <c r="AP22" s="20">
        <f>AP3</f>
        <v>135815254</v>
      </c>
      <c r="AQ22" s="38">
        <f>AO22/AP22</f>
        <v>161.320130049604</v>
      </c>
      <c r="AR22" s="20">
        <f>AR12</f>
        <v>31569532000</v>
      </c>
      <c r="AS22" s="20">
        <f>AS3</f>
        <v>183667060</v>
      </c>
      <c r="AT22" s="38">
        <f>AR22/AS22</f>
        <v>171.884561118363</v>
      </c>
      <c r="AU22" s="20">
        <f>AU12</f>
        <v>19954488650</v>
      </c>
      <c r="AV22" s="20">
        <f>AV3</f>
        <v>108991580</v>
      </c>
      <c r="AW22" s="38">
        <f>AU22/AV22</f>
        <v>183.082845940943</v>
      </c>
      <c r="AX22" s="20">
        <f>AX12</f>
        <v>36695551794</v>
      </c>
      <c r="AY22" s="20">
        <f>AY3</f>
        <v>192879363</v>
      </c>
      <c r="AZ22" s="38">
        <f>AX22/AY22</f>
        <v>190.251311613882</v>
      </c>
      <c r="BA22" s="20">
        <f>BA12</f>
        <v>38313647327</v>
      </c>
      <c r="BB22" s="20">
        <f>BB3</f>
        <v>146940229</v>
      </c>
      <c r="BC22" s="38">
        <f>BA22/BB22</f>
        <v>260.743076200051</v>
      </c>
      <c r="BD22" s="20">
        <f>BD12</f>
        <v>22559014001</v>
      </c>
      <c r="BE22" s="20">
        <f>BE3</f>
        <v>147690129</v>
      </c>
      <c r="BF22" s="38">
        <f>BD22/BE22</f>
        <v>152.745577201033</v>
      </c>
      <c r="BG22" s="20">
        <f>BG12</f>
        <v>18156028753</v>
      </c>
      <c r="BH22" s="20">
        <f>BH3</f>
        <v>116213572</v>
      </c>
      <c r="BI22" s="38">
        <f>BG22/BH22</f>
        <v>156.229848549875</v>
      </c>
    </row>
    <row r="23" spans="1:61">
      <c r="A23" s="2"/>
      <c r="B23" s="2"/>
      <c r="C23" s="6" t="s">
        <v>163</v>
      </c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0"/>
      <c r="AM23" s="20"/>
      <c r="AN23" s="38"/>
      <c r="AO23" s="20"/>
      <c r="AP23" s="20"/>
      <c r="AQ23" s="38"/>
      <c r="AR23" s="20"/>
      <c r="AS23" s="20"/>
      <c r="AT23" s="38"/>
      <c r="AU23" s="20"/>
      <c r="AV23" s="20"/>
      <c r="AW23" s="38"/>
      <c r="AX23" s="20"/>
      <c r="AY23" s="20"/>
      <c r="AZ23" s="38"/>
      <c r="BA23" s="20"/>
      <c r="BB23" s="20"/>
      <c r="BC23" s="38"/>
      <c r="BD23" s="20"/>
      <c r="BE23" s="20"/>
      <c r="BF23" s="38"/>
      <c r="BG23" s="20"/>
      <c r="BH23" s="20"/>
      <c r="BI23" s="38"/>
    </row>
    <row r="24" spans="1:61">
      <c r="A24" s="2"/>
      <c r="B24" s="2"/>
      <c r="C24" s="6"/>
      <c r="D24" s="2"/>
      <c r="E24" s="20"/>
      <c r="F24" s="20"/>
      <c r="G24" s="38"/>
      <c r="H24" s="20"/>
      <c r="I24" s="20"/>
      <c r="J24" s="38"/>
      <c r="K24" s="20"/>
      <c r="L24" s="20"/>
      <c r="M24" s="38"/>
      <c r="N24" s="20"/>
      <c r="O24" s="20"/>
      <c r="P24" s="38"/>
      <c r="Q24" s="20"/>
      <c r="R24" s="20"/>
      <c r="S24" s="38"/>
      <c r="T24" s="20"/>
      <c r="U24" s="20"/>
      <c r="V24" s="38"/>
      <c r="W24" s="20"/>
      <c r="X24" s="20"/>
      <c r="Y24" s="38"/>
      <c r="Z24" s="20"/>
      <c r="AA24" s="20"/>
      <c r="AB24" s="38"/>
      <c r="AC24" s="20"/>
      <c r="AD24" s="20"/>
      <c r="AE24" s="38"/>
      <c r="AF24" s="20"/>
      <c r="AG24" s="20"/>
      <c r="AH24" s="38"/>
      <c r="AI24" s="20"/>
      <c r="AJ24" s="20"/>
      <c r="AK24" s="38"/>
      <c r="AL24" s="20"/>
      <c r="AM24" s="20"/>
      <c r="AN24" s="38"/>
      <c r="AO24" s="20"/>
      <c r="AP24" s="20"/>
      <c r="AQ24" s="38"/>
      <c r="AR24" s="20"/>
      <c r="AS24" s="20"/>
      <c r="AT24" s="38"/>
      <c r="AU24" s="20"/>
      <c r="AV24" s="20"/>
      <c r="AW24" s="38"/>
      <c r="AX24" s="20"/>
      <c r="AY24" s="20"/>
      <c r="AZ24" s="38"/>
      <c r="BA24" s="20"/>
      <c r="BB24" s="20"/>
      <c r="BC24" s="38"/>
      <c r="BD24" s="20"/>
      <c r="BE24" s="20"/>
      <c r="BF24" s="38"/>
      <c r="BG24" s="20"/>
      <c r="BH24" s="20"/>
      <c r="BI24" s="38"/>
    </row>
    <row r="25" spans="1:61">
      <c r="A25" s="2">
        <v>9</v>
      </c>
      <c r="B25" s="2" t="s">
        <v>182</v>
      </c>
      <c r="C25" s="37" t="s">
        <v>183</v>
      </c>
      <c r="D25" s="50" t="s">
        <v>184</v>
      </c>
      <c r="E25" s="20">
        <f>E7</f>
        <v>548</v>
      </c>
      <c r="F25" s="42">
        <f>G22</f>
        <v>226.361721784366</v>
      </c>
      <c r="G25" s="38">
        <f>E25/F25</f>
        <v>2.42090401009597</v>
      </c>
      <c r="H25" s="20">
        <f>H7</f>
        <v>261</v>
      </c>
      <c r="I25" s="42">
        <f>J22</f>
        <v>173.465741406863</v>
      </c>
      <c r="J25" s="38">
        <f>H25/I25</f>
        <v>1.50461986259192</v>
      </c>
      <c r="K25" s="20">
        <f>K7</f>
        <v>700</v>
      </c>
      <c r="L25" s="42">
        <f>M22</f>
        <v>244.270130051097</v>
      </c>
      <c r="M25" s="38">
        <f>K25/L25</f>
        <v>2.86567989239443</v>
      </c>
      <c r="N25" s="20">
        <f>N7</f>
        <v>234</v>
      </c>
      <c r="O25" s="42">
        <f>P22</f>
        <v>190.391684744127</v>
      </c>
      <c r="P25" s="38">
        <f>N25/O25</f>
        <v>1.22904527219494</v>
      </c>
      <c r="Q25" s="20">
        <f>Q7</f>
        <v>671</v>
      </c>
      <c r="R25" s="42">
        <f>S22</f>
        <v>208.434031514025</v>
      </c>
      <c r="S25" s="38">
        <f>Q25/R25</f>
        <v>3.21924397434519</v>
      </c>
      <c r="T25" s="20">
        <f>T7</f>
        <v>404</v>
      </c>
      <c r="U25" s="42">
        <f>V22</f>
        <v>199.299682068126</v>
      </c>
      <c r="V25" s="38">
        <f>T25/U25</f>
        <v>2.02709806562512</v>
      </c>
      <c r="W25" s="20">
        <f>W7</f>
        <v>244</v>
      </c>
      <c r="X25" s="42">
        <f>Y22</f>
        <v>176.160010107403</v>
      </c>
      <c r="Y25" s="38">
        <f>W25/X25</f>
        <v>1.38510437102743</v>
      </c>
      <c r="Z25" s="20">
        <f>Z7</f>
        <v>266</v>
      </c>
      <c r="AA25" s="42">
        <f>AB22</f>
        <v>134.433184320242</v>
      </c>
      <c r="AB25" s="38">
        <f>Z25/AA25</f>
        <v>1.97867811690263</v>
      </c>
      <c r="AC25" s="20">
        <f>AC7</f>
        <v>388</v>
      </c>
      <c r="AD25" s="42">
        <f>AE22</f>
        <v>207.475832417961</v>
      </c>
      <c r="AE25" s="38">
        <f>AC25/AD25</f>
        <v>1.87009732882225</v>
      </c>
      <c r="AF25" s="20">
        <f>AF7</f>
        <v>279</v>
      </c>
      <c r="AG25" s="42">
        <f>AH22</f>
        <v>164.634221764691</v>
      </c>
      <c r="AH25" s="38">
        <f>AF25/AG25</f>
        <v>1.6946658902957</v>
      </c>
      <c r="AI25" s="20">
        <f>AI7</f>
        <v>229</v>
      </c>
      <c r="AJ25" s="42">
        <f>AK22</f>
        <v>147.285682185699</v>
      </c>
      <c r="AK25" s="38">
        <f>AI25/AJ25</f>
        <v>1.55480150277795</v>
      </c>
      <c r="AL25" s="20">
        <f>AL7</f>
        <v>245</v>
      </c>
      <c r="AM25" s="42">
        <f>AN22</f>
        <v>171.735327361123</v>
      </c>
      <c r="AN25" s="38">
        <f>AL25/AM25</f>
        <v>1.42661387010267</v>
      </c>
      <c r="AO25" s="20">
        <f>AO7</f>
        <v>378</v>
      </c>
      <c r="AP25" s="42">
        <f>AQ22</f>
        <v>161.320130049604</v>
      </c>
      <c r="AQ25" s="38">
        <f>AO25/AP25</f>
        <v>2.34316696796469</v>
      </c>
      <c r="AR25" s="20">
        <f>AR7</f>
        <v>274</v>
      </c>
      <c r="AS25" s="42">
        <f>AT22</f>
        <v>171.884561118363</v>
      </c>
      <c r="AT25" s="38">
        <f>AR25/AS25</f>
        <v>1.59409314145043</v>
      </c>
      <c r="AU25" s="20">
        <f>AU7</f>
        <v>439</v>
      </c>
      <c r="AV25" s="42">
        <f>AW22</f>
        <v>183.082845940943</v>
      </c>
      <c r="AW25" s="38">
        <f>AU25/AV25</f>
        <v>2.39782158587161</v>
      </c>
      <c r="AX25" s="20">
        <f>AX7</f>
        <v>336</v>
      </c>
      <c r="AY25" s="42">
        <f>AZ22</f>
        <v>190.251311613882</v>
      </c>
      <c r="AZ25" s="38">
        <f>AX25/AY25</f>
        <v>1.76608506480059</v>
      </c>
      <c r="BA25" s="20">
        <f>BA7</f>
        <v>306</v>
      </c>
      <c r="BB25" s="42">
        <f>BC22</f>
        <v>260.743076200051</v>
      </c>
      <c r="BC25" s="38">
        <f>BA25/BB25</f>
        <v>1.17356903377647</v>
      </c>
      <c r="BD25" s="20">
        <f>BD7</f>
        <v>232</v>
      </c>
      <c r="BE25" s="42">
        <f>BF22</f>
        <v>152.745577201033</v>
      </c>
      <c r="BF25" s="38">
        <f>BD25/BE25</f>
        <v>1.51886558191245</v>
      </c>
      <c r="BG25" s="20">
        <f>BG7</f>
        <v>264</v>
      </c>
      <c r="BH25" s="42">
        <f>BI22</f>
        <v>156.229848549875</v>
      </c>
      <c r="BI25" s="38">
        <f>BG25/BH25</f>
        <v>1.68981793460371</v>
      </c>
    </row>
    <row r="26" spans="1:61">
      <c r="A26" s="2"/>
      <c r="B26" s="2"/>
      <c r="C26" s="2" t="s">
        <v>185</v>
      </c>
      <c r="D26" s="2"/>
      <c r="E26" s="20"/>
      <c r="F26" s="42"/>
      <c r="G26" s="38"/>
      <c r="H26" s="20"/>
      <c r="I26" s="42"/>
      <c r="J26" s="38"/>
      <c r="K26" s="20"/>
      <c r="L26" s="42"/>
      <c r="M26" s="38"/>
      <c r="N26" s="20"/>
      <c r="O26" s="42"/>
      <c r="P26" s="38"/>
      <c r="Q26" s="20"/>
      <c r="R26" s="42"/>
      <c r="S26" s="38"/>
      <c r="T26" s="20"/>
      <c r="U26" s="42"/>
      <c r="V26" s="38"/>
      <c r="W26" s="20"/>
      <c r="X26" s="42"/>
      <c r="Y26" s="38"/>
      <c r="Z26" s="20"/>
      <c r="AA26" s="42"/>
      <c r="AB26" s="38"/>
      <c r="AC26" s="20"/>
      <c r="AD26" s="42"/>
      <c r="AE26" s="38"/>
      <c r="AF26" s="20"/>
      <c r="AG26" s="42"/>
      <c r="AH26" s="38"/>
      <c r="AI26" s="20"/>
      <c r="AJ26" s="42"/>
      <c r="AK26" s="38"/>
      <c r="AL26" s="20"/>
      <c r="AM26" s="42"/>
      <c r="AN26" s="38"/>
      <c r="AO26" s="20"/>
      <c r="AP26" s="42"/>
      <c r="AQ26" s="38"/>
      <c r="AR26" s="20"/>
      <c r="AS26" s="42"/>
      <c r="AT26" s="38"/>
      <c r="AU26" s="20"/>
      <c r="AV26" s="42"/>
      <c r="AW26" s="38"/>
      <c r="AX26" s="20"/>
      <c r="AY26" s="42"/>
      <c r="AZ26" s="38"/>
      <c r="BA26" s="20"/>
      <c r="BB26" s="42"/>
      <c r="BC26" s="38"/>
      <c r="BD26" s="20"/>
      <c r="BE26" s="42"/>
      <c r="BF26" s="38"/>
      <c r="BG26" s="20"/>
      <c r="BH26" s="42"/>
      <c r="BI26" s="38"/>
    </row>
    <row r="27" spans="1:61">
      <c r="A27" s="2"/>
      <c r="B27" s="2"/>
      <c r="C27" s="2"/>
      <c r="D27" s="2"/>
      <c r="E27" s="20"/>
      <c r="F27" s="2"/>
      <c r="G27" s="85"/>
      <c r="H27" s="20"/>
      <c r="I27" s="2"/>
      <c r="J27" s="85"/>
      <c r="K27" s="20"/>
      <c r="L27" s="2"/>
      <c r="M27" s="85"/>
      <c r="N27" s="20"/>
      <c r="O27" s="2"/>
      <c r="P27" s="85"/>
      <c r="Q27" s="20"/>
      <c r="R27" s="2"/>
      <c r="S27" s="85"/>
      <c r="T27" s="20"/>
      <c r="U27" s="2"/>
      <c r="V27" s="85"/>
      <c r="W27" s="20"/>
      <c r="X27" s="2"/>
      <c r="Y27" s="85"/>
      <c r="Z27" s="20"/>
      <c r="AA27" s="2"/>
      <c r="AB27" s="85"/>
      <c r="AC27" s="20"/>
      <c r="AD27" s="2"/>
      <c r="AE27" s="85"/>
      <c r="AF27" s="20"/>
      <c r="AG27" s="2"/>
      <c r="AH27" s="85"/>
      <c r="AI27" s="20"/>
      <c r="AJ27" s="2"/>
      <c r="AK27" s="85"/>
      <c r="AL27" s="20"/>
      <c r="AM27" s="2"/>
      <c r="AN27" s="85"/>
      <c r="AO27" s="20"/>
      <c r="AP27" s="2"/>
      <c r="AQ27" s="85"/>
      <c r="AS27" s="2"/>
      <c r="AT27" s="85"/>
      <c r="AV27" s="2"/>
      <c r="AW27" s="85"/>
      <c r="AY27" s="2"/>
      <c r="AZ27" s="85"/>
      <c r="BB27" s="2"/>
      <c r="BC27" s="85"/>
      <c r="BE27" s="2"/>
      <c r="BF27" s="85"/>
      <c r="BH27" s="2"/>
      <c r="BI27" s="85"/>
    </row>
    <row r="28" spans="1:61">
      <c r="A28" s="2">
        <v>10</v>
      </c>
      <c r="B28" s="2" t="s">
        <v>186</v>
      </c>
      <c r="C28" s="37" t="s">
        <v>187</v>
      </c>
      <c r="D28" s="41" t="s">
        <v>188</v>
      </c>
      <c r="E28" s="42">
        <v>10</v>
      </c>
      <c r="F28" s="20">
        <f>E7</f>
        <v>548</v>
      </c>
      <c r="G28" s="38">
        <f>(E28/F28)*100</f>
        <v>1.82481751824817</v>
      </c>
      <c r="H28" s="42">
        <v>5.5</v>
      </c>
      <c r="I28" s="20">
        <f>H7</f>
        <v>261</v>
      </c>
      <c r="J28" s="38">
        <f>(H28/I28)*100</f>
        <v>2.10727969348659</v>
      </c>
      <c r="K28" s="42">
        <v>0</v>
      </c>
      <c r="L28" s="20">
        <f>K7</f>
        <v>700</v>
      </c>
      <c r="M28" s="38">
        <f>(K28/L28)*100</f>
        <v>0</v>
      </c>
      <c r="N28" s="42">
        <v>0</v>
      </c>
      <c r="O28" s="20">
        <f>N7</f>
        <v>234</v>
      </c>
      <c r="P28" s="38">
        <f>(N28/O28)*100</f>
        <v>0</v>
      </c>
      <c r="Q28" s="42">
        <v>25.5</v>
      </c>
      <c r="R28" s="20">
        <f>Q7</f>
        <v>671</v>
      </c>
      <c r="S28" s="38">
        <f>(Q28/R28)*100</f>
        <v>3.80029806259314</v>
      </c>
      <c r="T28" s="42">
        <v>0</v>
      </c>
      <c r="U28" s="20">
        <f>T7</f>
        <v>404</v>
      </c>
      <c r="V28" s="38">
        <f>(T28/U28)*100</f>
        <v>0</v>
      </c>
      <c r="W28" s="42">
        <v>5.26</v>
      </c>
      <c r="X28" s="20">
        <f>W7</f>
        <v>244</v>
      </c>
      <c r="Y28" s="38">
        <f>(W28/X28)*100</f>
        <v>2.15573770491803</v>
      </c>
      <c r="Z28" s="42">
        <v>0</v>
      </c>
      <c r="AA28" s="20">
        <f>Z7</f>
        <v>266</v>
      </c>
      <c r="AB28" s="38">
        <f>(Z28/AA28)*100</f>
        <v>0</v>
      </c>
      <c r="AC28" s="42">
        <v>4</v>
      </c>
      <c r="AD28" s="20">
        <f>AC7</f>
        <v>388</v>
      </c>
      <c r="AE28" s="38">
        <f>(AC28/AD28)*100</f>
        <v>1.03092783505155</v>
      </c>
      <c r="AF28" s="42">
        <v>5</v>
      </c>
      <c r="AG28" s="20">
        <f>AF7</f>
        <v>279</v>
      </c>
      <c r="AH28" s="38">
        <f>(AF28/AG28)*100</f>
        <v>1.7921146953405</v>
      </c>
      <c r="AI28" s="42">
        <v>0</v>
      </c>
      <c r="AJ28" s="20">
        <f>AI7</f>
        <v>229</v>
      </c>
      <c r="AK28" s="38">
        <f>(AI28/AJ28)*100</f>
        <v>0</v>
      </c>
      <c r="AL28" s="42">
        <v>0</v>
      </c>
      <c r="AM28" s="20">
        <f>AL7</f>
        <v>245</v>
      </c>
      <c r="AN28" s="38">
        <f>(AL28/AM28)*100</f>
        <v>0</v>
      </c>
      <c r="AO28" s="42">
        <v>5.26</v>
      </c>
      <c r="AP28" s="20">
        <f>AO7</f>
        <v>378</v>
      </c>
      <c r="AQ28" s="38">
        <f>(AO28/AP28)*100</f>
        <v>1.39153439153439</v>
      </c>
      <c r="AR28" s="42">
        <v>0</v>
      </c>
      <c r="AS28" s="20">
        <f>AR7</f>
        <v>274</v>
      </c>
      <c r="AT28" s="38">
        <f>(AR28/AS28)*100</f>
        <v>0</v>
      </c>
      <c r="AU28" s="42">
        <v>10.64</v>
      </c>
      <c r="AV28" s="20">
        <f>AU7</f>
        <v>439</v>
      </c>
      <c r="AW28" s="38">
        <f>(AU28/AV28)*100</f>
        <v>2.42369020501139</v>
      </c>
      <c r="AX28" s="42">
        <v>10.53</v>
      </c>
      <c r="AY28" s="20">
        <f>AX7</f>
        <v>336</v>
      </c>
      <c r="AZ28" s="38">
        <f>(AX28/AY28)*100</f>
        <v>3.13392857142857</v>
      </c>
      <c r="BA28" s="42">
        <v>0</v>
      </c>
      <c r="BB28" s="20">
        <f>BA7</f>
        <v>306</v>
      </c>
      <c r="BC28" s="38">
        <f>(BA28/BB28)*100</f>
        <v>0</v>
      </c>
      <c r="BD28" s="42">
        <v>4.21</v>
      </c>
      <c r="BE28" s="20">
        <f>BD7</f>
        <v>232</v>
      </c>
      <c r="BF28" s="38">
        <f>(BD28/BE28)*100</f>
        <v>1.81465517241379</v>
      </c>
      <c r="BG28" s="42">
        <v>0</v>
      </c>
      <c r="BH28" s="20">
        <f>BG7</f>
        <v>264</v>
      </c>
      <c r="BI28" s="38">
        <f>(BG28/BH28)*100</f>
        <v>0</v>
      </c>
    </row>
    <row r="29" spans="1:61">
      <c r="A29" s="2"/>
      <c r="B29" s="2"/>
      <c r="C29" s="2" t="s">
        <v>189</v>
      </c>
      <c r="D29" s="41"/>
      <c r="E29" s="42"/>
      <c r="F29" s="20"/>
      <c r="G29" s="38"/>
      <c r="H29" s="42"/>
      <c r="I29" s="20"/>
      <c r="J29" s="38"/>
      <c r="K29" s="42"/>
      <c r="L29" s="20"/>
      <c r="M29" s="38"/>
      <c r="N29" s="42"/>
      <c r="O29" s="20"/>
      <c r="P29" s="38"/>
      <c r="Q29" s="42"/>
      <c r="R29" s="20"/>
      <c r="S29" s="38"/>
      <c r="T29" s="42"/>
      <c r="U29" s="20"/>
      <c r="V29" s="38"/>
      <c r="W29" s="42"/>
      <c r="X29" s="20"/>
      <c r="Y29" s="38"/>
      <c r="Z29" s="42"/>
      <c r="AA29" s="20"/>
      <c r="AB29" s="38"/>
      <c r="AC29" s="42"/>
      <c r="AD29" s="20"/>
      <c r="AE29" s="38"/>
      <c r="AF29" s="42"/>
      <c r="AG29" s="20"/>
      <c r="AH29" s="38"/>
      <c r="AI29" s="42"/>
      <c r="AJ29" s="20"/>
      <c r="AK29" s="38"/>
      <c r="AL29" s="42"/>
      <c r="AM29" s="20"/>
      <c r="AN29" s="38"/>
      <c r="AO29" s="42"/>
      <c r="AP29" s="20"/>
      <c r="AQ29" s="38"/>
      <c r="AR29" s="42"/>
      <c r="AS29" s="20"/>
      <c r="AT29" s="38"/>
      <c r="AU29" s="42"/>
      <c r="AV29" s="20"/>
      <c r="AW29" s="38"/>
      <c r="AX29" s="42"/>
      <c r="AY29" s="20"/>
      <c r="AZ29" s="38"/>
      <c r="BA29" s="42"/>
      <c r="BB29" s="20"/>
      <c r="BC29" s="38"/>
      <c r="BD29" s="42"/>
      <c r="BE29" s="20"/>
      <c r="BF29" s="38"/>
      <c r="BG29" s="42"/>
      <c r="BH29" s="20"/>
      <c r="BI29" s="38"/>
    </row>
    <row r="30" spans="1:61">
      <c r="A30" s="2"/>
      <c r="B30" s="2"/>
      <c r="C30" s="2"/>
      <c r="D30" s="41"/>
      <c r="E30" s="42"/>
      <c r="F30" s="20"/>
      <c r="G30" s="38"/>
      <c r="H30" s="42"/>
      <c r="I30" s="20"/>
      <c r="J30" s="38"/>
      <c r="K30" s="42"/>
      <c r="L30" s="20"/>
      <c r="M30" s="38"/>
      <c r="N30" s="86" t="s">
        <v>190</v>
      </c>
      <c r="O30" s="20"/>
      <c r="P30" s="38"/>
      <c r="Q30" s="86"/>
      <c r="R30" s="20"/>
      <c r="S30" s="38"/>
      <c r="T30" s="86" t="s">
        <v>191</v>
      </c>
      <c r="U30" s="20"/>
      <c r="V30" s="38"/>
      <c r="W30" s="86"/>
      <c r="X30" s="20"/>
      <c r="Y30" s="38"/>
      <c r="Z30" s="86" t="s">
        <v>191</v>
      </c>
      <c r="AA30" s="20"/>
      <c r="AB30" s="38"/>
      <c r="AC30" s="86"/>
      <c r="AD30" s="20"/>
      <c r="AE30" s="38"/>
      <c r="AF30" s="86"/>
      <c r="AG30" s="20"/>
      <c r="AH30" s="38"/>
      <c r="AI30" s="86" t="s">
        <v>191</v>
      </c>
      <c r="AJ30" s="20"/>
      <c r="AK30" s="38"/>
      <c r="AL30" s="86" t="s">
        <v>191</v>
      </c>
      <c r="AM30" s="20"/>
      <c r="AN30" s="38"/>
      <c r="AO30" s="86"/>
      <c r="AP30" s="20"/>
      <c r="AQ30" s="38"/>
      <c r="AR30" s="52" t="s">
        <v>191</v>
      </c>
      <c r="AS30" s="20"/>
      <c r="AT30" s="38"/>
      <c r="AU30" s="52"/>
      <c r="AV30" s="20"/>
      <c r="AW30" s="38"/>
      <c r="AX30" s="52"/>
      <c r="AY30" s="20"/>
      <c r="AZ30" s="38"/>
      <c r="BA30" s="52" t="s">
        <v>191</v>
      </c>
      <c r="BB30" s="20"/>
      <c r="BC30" s="38"/>
      <c r="BD30" s="52"/>
      <c r="BE30" s="20"/>
      <c r="BF30" s="38"/>
      <c r="BG30" s="52" t="s">
        <v>191</v>
      </c>
      <c r="BH30" s="20"/>
      <c r="BI30" s="38"/>
    </row>
    <row r="31" ht="30" spans="1:61">
      <c r="A31" s="2">
        <v>11</v>
      </c>
      <c r="B31" s="2" t="s">
        <v>192</v>
      </c>
      <c r="C31" s="41" t="s">
        <v>193</v>
      </c>
      <c r="D31" s="2" t="s">
        <v>194</v>
      </c>
      <c r="E31" s="2">
        <v>11.72</v>
      </c>
      <c r="F31" s="42">
        <v>12.01</v>
      </c>
      <c r="G31" s="232">
        <f>E31</f>
        <v>11.72</v>
      </c>
      <c r="H31" s="2">
        <v>12.36</v>
      </c>
      <c r="I31" s="42">
        <v>12.01</v>
      </c>
      <c r="J31" s="232">
        <f>H31</f>
        <v>12.36</v>
      </c>
      <c r="K31" s="2">
        <v>12.18</v>
      </c>
      <c r="L31" s="42">
        <v>12.67</v>
      </c>
      <c r="M31" s="232">
        <f>K31</f>
        <v>12.18</v>
      </c>
      <c r="N31" s="2">
        <v>13.33</v>
      </c>
      <c r="O31" s="42">
        <v>13.27</v>
      </c>
      <c r="P31" s="232">
        <f>N31</f>
        <v>13.33</v>
      </c>
      <c r="Q31" s="2">
        <v>17.44</v>
      </c>
      <c r="R31" s="42">
        <v>16.76</v>
      </c>
      <c r="S31" s="232">
        <f>Q31</f>
        <v>17.44</v>
      </c>
      <c r="T31" s="2">
        <v>13.42</v>
      </c>
      <c r="U31" s="42">
        <v>11.29</v>
      </c>
      <c r="V31" s="232">
        <f>T31</f>
        <v>13.42</v>
      </c>
      <c r="W31" s="2">
        <v>11.76</v>
      </c>
      <c r="X31" s="42">
        <v>12.47</v>
      </c>
      <c r="Y31" s="232">
        <f>W31</f>
        <v>11.76</v>
      </c>
      <c r="Z31" s="2">
        <v>11.82</v>
      </c>
      <c r="AA31" s="42">
        <v>11.72</v>
      </c>
      <c r="AB31" s="232">
        <f>Z31</f>
        <v>11.82</v>
      </c>
      <c r="AC31" s="2">
        <v>11.18</v>
      </c>
      <c r="AD31" s="42">
        <v>11.73</v>
      </c>
      <c r="AE31" s="232">
        <f>AC31</f>
        <v>11.18</v>
      </c>
      <c r="AF31" s="2">
        <v>11.39</v>
      </c>
      <c r="AG31" s="42">
        <v>11.67</v>
      </c>
      <c r="AH31" s="232">
        <f>AF31</f>
        <v>11.39</v>
      </c>
      <c r="AI31" s="2">
        <v>12.84</v>
      </c>
      <c r="AJ31" s="42">
        <v>12.54</v>
      </c>
      <c r="AK31" s="232">
        <f>AI31</f>
        <v>12.84</v>
      </c>
      <c r="AL31" s="2">
        <v>10.84</v>
      </c>
      <c r="AM31" s="42">
        <v>11.86</v>
      </c>
      <c r="AN31" s="232">
        <f>AL31</f>
        <v>10.84</v>
      </c>
      <c r="AO31" s="2">
        <v>12.93</v>
      </c>
      <c r="AP31" s="42">
        <v>13.51</v>
      </c>
      <c r="AQ31" s="232">
        <f>AO31</f>
        <v>12.93</v>
      </c>
      <c r="AR31" s="2">
        <v>12.18</v>
      </c>
      <c r="AS31" s="42">
        <v>12.83</v>
      </c>
      <c r="AT31" s="232">
        <f>AR31</f>
        <v>12.18</v>
      </c>
      <c r="AU31" s="2">
        <v>12.44</v>
      </c>
      <c r="AV31" s="42">
        <v>13.22</v>
      </c>
      <c r="AW31" s="232">
        <f>AU31</f>
        <v>12.44</v>
      </c>
      <c r="AX31" s="2">
        <v>13.12</v>
      </c>
      <c r="AY31" s="42" t="s">
        <v>195</v>
      </c>
      <c r="AZ31" s="232">
        <f>AX31</f>
        <v>13.12</v>
      </c>
      <c r="BA31" s="2">
        <v>12.97</v>
      </c>
      <c r="BB31" s="42">
        <v>13.09</v>
      </c>
      <c r="BC31" s="232">
        <f>BA31</f>
        <v>12.97</v>
      </c>
      <c r="BD31" s="2">
        <v>12.34</v>
      </c>
      <c r="BE31" s="42">
        <v>13.04</v>
      </c>
      <c r="BF31" s="232">
        <f>BD31</f>
        <v>12.34</v>
      </c>
      <c r="BG31" s="2">
        <v>12.68</v>
      </c>
      <c r="BH31" s="42">
        <v>13.28</v>
      </c>
      <c r="BI31" s="232">
        <f>BG31</f>
        <v>12.68</v>
      </c>
    </row>
    <row r="32" spans="1:61">
      <c r="A32" s="2"/>
      <c r="B32" s="2"/>
      <c r="D32" s="41"/>
      <c r="E32" s="42"/>
      <c r="F32" s="20"/>
      <c r="G32" s="38"/>
      <c r="H32" s="42"/>
      <c r="I32" s="20"/>
      <c r="J32" s="38"/>
      <c r="K32" s="42"/>
      <c r="L32" s="20"/>
      <c r="M32" s="38"/>
      <c r="N32" s="42"/>
      <c r="O32" s="20"/>
      <c r="P32" s="38"/>
      <c r="Q32" s="42"/>
      <c r="R32" s="20"/>
      <c r="S32" s="38"/>
      <c r="T32" s="42"/>
      <c r="U32" s="20"/>
      <c r="V32" s="38"/>
      <c r="W32" s="42"/>
      <c r="X32" s="20"/>
      <c r="Y32" s="38"/>
      <c r="Z32" s="42"/>
      <c r="AA32" s="20"/>
      <c r="AB32" s="38"/>
      <c r="AC32" s="42"/>
      <c r="AD32" s="20"/>
      <c r="AE32" s="38"/>
      <c r="AF32" s="42"/>
      <c r="AG32" s="20"/>
      <c r="AH32" s="38"/>
      <c r="AI32" s="42"/>
      <c r="AJ32" s="20"/>
      <c r="AK32" s="38"/>
      <c r="AL32" s="42"/>
      <c r="AM32" s="20"/>
      <c r="AN32" s="38"/>
      <c r="AO32" s="42"/>
      <c r="AP32" s="20"/>
      <c r="AQ32" s="38"/>
      <c r="AR32" s="42"/>
      <c r="AS32" s="20"/>
      <c r="AT32" s="38"/>
      <c r="AU32" s="42"/>
      <c r="AV32" s="20"/>
      <c r="AW32" s="38"/>
      <c r="AX32" s="42"/>
      <c r="AY32" s="20"/>
      <c r="AZ32" s="38"/>
      <c r="BA32" s="42"/>
      <c r="BB32" s="20"/>
      <c r="BC32" s="38"/>
      <c r="BD32" s="42"/>
      <c r="BE32" s="20"/>
      <c r="BF32" s="38"/>
      <c r="BG32" s="42"/>
      <c r="BH32" s="20"/>
      <c r="BI32" s="38"/>
    </row>
    <row r="33" ht="30" spans="1:61">
      <c r="A33" s="2">
        <v>12</v>
      </c>
      <c r="B33" s="23" t="s">
        <v>196</v>
      </c>
      <c r="C33" s="2" t="s">
        <v>197</v>
      </c>
      <c r="D33" s="2" t="s">
        <v>198</v>
      </c>
      <c r="E33" s="42">
        <v>4.96</v>
      </c>
      <c r="F33" s="42">
        <v>4.04</v>
      </c>
      <c r="G33" s="38">
        <f>E33</f>
        <v>4.96</v>
      </c>
      <c r="H33" s="42">
        <v>4.98</v>
      </c>
      <c r="I33" s="42">
        <v>4.74</v>
      </c>
      <c r="J33" s="38">
        <f>H33</f>
        <v>4.98</v>
      </c>
      <c r="K33" s="42">
        <v>0.61</v>
      </c>
      <c r="L33" s="42">
        <v>0.64</v>
      </c>
      <c r="M33" s="38">
        <f>K33</f>
        <v>0.61</v>
      </c>
      <c r="N33" s="42">
        <v>6.06</v>
      </c>
      <c r="O33" s="42">
        <v>4.66</v>
      </c>
      <c r="P33" s="38">
        <f>N33</f>
        <v>6.06</v>
      </c>
      <c r="Q33" s="42">
        <v>1.44</v>
      </c>
      <c r="R33" s="42">
        <v>2.14</v>
      </c>
      <c r="S33" s="38">
        <f>Q33</f>
        <v>1.44</v>
      </c>
      <c r="T33" s="42">
        <v>5.75</v>
      </c>
      <c r="U33" s="42">
        <v>3.08</v>
      </c>
      <c r="V33" s="38">
        <f>T33</f>
        <v>5.75</v>
      </c>
      <c r="W33" s="42">
        <v>5.86</v>
      </c>
      <c r="X33" s="42">
        <v>5.49</v>
      </c>
      <c r="Y33" s="38">
        <f>W33</f>
        <v>5.86</v>
      </c>
      <c r="Z33" s="42">
        <v>6.98</v>
      </c>
      <c r="AA33" s="42">
        <v>4.95</v>
      </c>
      <c r="AB33" s="38">
        <f>Z33</f>
        <v>6.98</v>
      </c>
      <c r="AC33" s="42">
        <v>4.04</v>
      </c>
      <c r="AD33" s="42">
        <v>2.52</v>
      </c>
      <c r="AE33" s="38">
        <f>AC33</f>
        <v>4.04</v>
      </c>
      <c r="AF33" s="42">
        <v>5.65</v>
      </c>
      <c r="AG33" s="42">
        <v>4.29</v>
      </c>
      <c r="AH33" s="38">
        <f>AF33</f>
        <v>5.65</v>
      </c>
      <c r="AI33" s="42">
        <v>5.09</v>
      </c>
      <c r="AJ33" s="42">
        <v>4.81</v>
      </c>
      <c r="AK33" s="38">
        <f>AI33</f>
        <v>5.09</v>
      </c>
      <c r="AL33" s="42">
        <v>7.68</v>
      </c>
      <c r="AM33" s="42">
        <v>4.96</v>
      </c>
      <c r="AN33" s="38">
        <f>AL33</f>
        <v>7.68</v>
      </c>
      <c r="AO33" s="42">
        <v>3.42</v>
      </c>
      <c r="AP33" s="42">
        <v>1.89</v>
      </c>
      <c r="AQ33" s="38">
        <f>AO33</f>
        <v>3.42</v>
      </c>
      <c r="AR33" s="42">
        <v>4.47</v>
      </c>
      <c r="AS33" s="42">
        <v>2.86</v>
      </c>
      <c r="AT33" s="38">
        <f>AR33</f>
        <v>4.47</v>
      </c>
      <c r="AU33" s="42">
        <v>4.06</v>
      </c>
      <c r="AV33" s="42">
        <v>1.98</v>
      </c>
      <c r="AW33" s="38">
        <f>AU33</f>
        <v>4.06</v>
      </c>
      <c r="AX33" s="42">
        <v>4.98</v>
      </c>
      <c r="AY33" s="42">
        <v>3.3</v>
      </c>
      <c r="AZ33" s="38">
        <f>AX33</f>
        <v>4.98</v>
      </c>
      <c r="BA33" s="42">
        <v>5.45</v>
      </c>
      <c r="BB33" s="42">
        <v>4.85</v>
      </c>
      <c r="BC33" s="38">
        <f>BA33</f>
        <v>5.45</v>
      </c>
      <c r="BD33" s="42">
        <v>5.71</v>
      </c>
      <c r="BE33" s="42">
        <v>3.76</v>
      </c>
      <c r="BF33" s="38">
        <f>BD33</f>
        <v>5.71</v>
      </c>
      <c r="BG33" s="42">
        <v>4.59</v>
      </c>
      <c r="BH33" s="42">
        <v>3.68</v>
      </c>
      <c r="BI33" s="38">
        <f>BG33</f>
        <v>4.59</v>
      </c>
    </row>
    <row r="34" spans="1:61">
      <c r="A34" s="2"/>
      <c r="B34" s="23"/>
      <c r="C34" s="2"/>
      <c r="D34" s="2"/>
      <c r="E34" s="82"/>
      <c r="F34" s="82"/>
      <c r="G34" s="38"/>
      <c r="H34" s="82"/>
      <c r="I34" s="82"/>
      <c r="J34" s="38"/>
      <c r="K34" s="82"/>
      <c r="L34" s="82"/>
      <c r="M34" s="38"/>
      <c r="N34" s="82"/>
      <c r="O34" s="82"/>
      <c r="P34" s="38"/>
      <c r="Q34" s="82"/>
      <c r="R34" s="82"/>
      <c r="S34" s="38"/>
      <c r="T34" s="82"/>
      <c r="U34" s="82"/>
      <c r="V34" s="38"/>
      <c r="W34" s="82"/>
      <c r="X34" s="82"/>
      <c r="Y34" s="38"/>
      <c r="Z34" s="82"/>
      <c r="AA34" s="82"/>
      <c r="AB34" s="38"/>
      <c r="AC34" s="82"/>
      <c r="AD34" s="82"/>
      <c r="AE34" s="38"/>
      <c r="AF34" s="82"/>
      <c r="AG34" s="82"/>
      <c r="AH34" s="38"/>
      <c r="AI34" s="82"/>
      <c r="AJ34" s="82"/>
      <c r="AK34" s="38"/>
      <c r="AL34" s="82"/>
      <c r="AM34" s="82"/>
      <c r="AN34" s="38"/>
      <c r="AO34" s="82"/>
      <c r="AP34" s="82"/>
      <c r="AQ34" s="38"/>
      <c r="AR34" s="82"/>
      <c r="AS34" s="82"/>
      <c r="AT34" s="38"/>
      <c r="AU34" s="82"/>
      <c r="AV34" s="82"/>
      <c r="AW34" s="38"/>
      <c r="AX34" s="82"/>
      <c r="AY34" s="82"/>
      <c r="AZ34" s="38"/>
      <c r="BA34" s="82"/>
      <c r="BB34" s="82"/>
      <c r="BC34" s="38"/>
      <c r="BD34" s="82"/>
      <c r="BE34" s="82"/>
      <c r="BF34" s="38"/>
      <c r="BG34" s="82"/>
      <c r="BH34" s="82"/>
      <c r="BI34" s="38"/>
    </row>
    <row r="35" ht="30" spans="1:61">
      <c r="A35" s="2">
        <v>13</v>
      </c>
      <c r="B35" s="23" t="s">
        <v>199</v>
      </c>
      <c r="C35" s="41" t="s">
        <v>200</v>
      </c>
      <c r="D35" s="2" t="s">
        <v>201</v>
      </c>
      <c r="E35" s="42">
        <v>82.31</v>
      </c>
      <c r="F35" s="42">
        <v>83.97</v>
      </c>
      <c r="G35" s="38">
        <f>E35</f>
        <v>82.31</v>
      </c>
      <c r="H35" s="42">
        <v>78.04</v>
      </c>
      <c r="I35" s="42">
        <v>79.4</v>
      </c>
      <c r="J35" s="38">
        <f>H35</f>
        <v>78.04</v>
      </c>
      <c r="K35" s="42">
        <v>85.88</v>
      </c>
      <c r="L35" s="42">
        <v>84.07</v>
      </c>
      <c r="M35" s="38">
        <f>K35</f>
        <v>85.88</v>
      </c>
      <c r="N35" s="42">
        <v>76.76</v>
      </c>
      <c r="O35" s="42">
        <v>79.74</v>
      </c>
      <c r="P35" s="38">
        <f>N35</f>
        <v>76.76</v>
      </c>
      <c r="Q35" s="42">
        <v>72.94</v>
      </c>
      <c r="R35" s="42">
        <v>78.05</v>
      </c>
      <c r="S35" s="38">
        <f>Q35</f>
        <v>72.94</v>
      </c>
      <c r="T35" s="42">
        <v>83.47</v>
      </c>
      <c r="U35" s="42">
        <v>85.81</v>
      </c>
      <c r="V35" s="38">
        <f>T35</f>
        <v>83.47</v>
      </c>
      <c r="W35" s="42">
        <v>82.48</v>
      </c>
      <c r="X35" s="42">
        <v>79.48</v>
      </c>
      <c r="Y35" s="38">
        <f>W35</f>
        <v>82.48</v>
      </c>
      <c r="Z35" s="42">
        <v>79.84</v>
      </c>
      <c r="AA35" s="42">
        <v>85.36</v>
      </c>
      <c r="AB35" s="38">
        <f>Z35</f>
        <v>79.84</v>
      </c>
      <c r="AC35" s="42">
        <v>83.96</v>
      </c>
      <c r="AD35" s="42">
        <v>82</v>
      </c>
      <c r="AE35" s="38">
        <f>AC35</f>
        <v>83.96</v>
      </c>
      <c r="AF35" s="42">
        <v>84.8</v>
      </c>
      <c r="AG35" s="42">
        <v>85.1</v>
      </c>
      <c r="AH35" s="38">
        <f>AF35</f>
        <v>84.8</v>
      </c>
      <c r="AI35" s="42">
        <v>73.33</v>
      </c>
      <c r="AJ35" s="42">
        <v>83.7</v>
      </c>
      <c r="AK35" s="38">
        <f>AI35</f>
        <v>73.33</v>
      </c>
      <c r="AL35" s="42">
        <v>79.38</v>
      </c>
      <c r="AM35" s="42">
        <v>79.4</v>
      </c>
      <c r="AN35" s="38">
        <f>AL35</f>
        <v>79.38</v>
      </c>
      <c r="AO35" s="42">
        <v>81.04</v>
      </c>
      <c r="AP35" s="42">
        <v>80.07</v>
      </c>
      <c r="AQ35" s="38">
        <f>AO35</f>
        <v>81.04</v>
      </c>
      <c r="AR35" s="42">
        <v>83.97</v>
      </c>
      <c r="AS35" s="42">
        <v>79.73</v>
      </c>
      <c r="AT35" s="38">
        <f>AR35</f>
        <v>83.97</v>
      </c>
      <c r="AU35" s="42">
        <v>75.49</v>
      </c>
      <c r="AV35" s="42">
        <v>72.49</v>
      </c>
      <c r="AW35" s="38">
        <f>AU35</f>
        <v>75.49</v>
      </c>
      <c r="AX35" s="42">
        <v>76.33</v>
      </c>
      <c r="AY35" s="42">
        <v>79.57</v>
      </c>
      <c r="AZ35" s="38">
        <f>AX35</f>
        <v>76.33</v>
      </c>
      <c r="BA35" s="42">
        <v>72.71</v>
      </c>
      <c r="BB35" s="42">
        <v>74.89</v>
      </c>
      <c r="BC35" s="38">
        <f>BA35</f>
        <v>72.71</v>
      </c>
      <c r="BD35" s="42">
        <v>85.9</v>
      </c>
      <c r="BE35" s="42">
        <v>84.21</v>
      </c>
      <c r="BF35" s="38">
        <f>BD35</f>
        <v>85.9</v>
      </c>
      <c r="BG35" s="42">
        <v>84.76</v>
      </c>
      <c r="BH35" s="42">
        <v>83.3</v>
      </c>
      <c r="BI35" s="38">
        <f>BG35</f>
        <v>84.76</v>
      </c>
    </row>
    <row r="36" spans="1:61">
      <c r="A36" s="2"/>
      <c r="B36" s="2"/>
      <c r="C36" s="2"/>
      <c r="D36" s="41"/>
      <c r="E36" s="42"/>
      <c r="F36" s="20"/>
      <c r="G36" s="38"/>
      <c r="H36" s="42"/>
      <c r="I36" s="20"/>
      <c r="J36" s="38"/>
      <c r="K36" s="42"/>
      <c r="L36" s="20"/>
      <c r="M36" s="38"/>
      <c r="N36" s="42"/>
      <c r="O36" s="20"/>
      <c r="P36" s="38"/>
      <c r="Q36" s="42"/>
      <c r="R36" s="20"/>
      <c r="S36" s="38"/>
      <c r="T36" s="42"/>
      <c r="U36" s="20"/>
      <c r="V36" s="38"/>
      <c r="W36" s="42"/>
      <c r="X36" s="20"/>
      <c r="Y36" s="38"/>
      <c r="Z36" s="42"/>
      <c r="AA36" s="20"/>
      <c r="AB36" s="38"/>
      <c r="AC36" s="42"/>
      <c r="AD36" s="20"/>
      <c r="AE36" s="38"/>
      <c r="AF36" s="42"/>
      <c r="AG36" s="20"/>
      <c r="AH36" s="38"/>
      <c r="AI36" s="42"/>
      <c r="AJ36" s="20"/>
      <c r="AK36" s="38"/>
      <c r="AL36" s="42"/>
      <c r="AM36" s="20"/>
      <c r="AN36" s="38"/>
      <c r="AO36" s="42"/>
      <c r="AP36" s="20"/>
      <c r="AQ36" s="38"/>
      <c r="AR36" s="42"/>
      <c r="AS36" s="20"/>
      <c r="AT36" s="38"/>
      <c r="AU36" s="42"/>
      <c r="AV36" s="20"/>
      <c r="AW36" s="38"/>
      <c r="AX36" s="42"/>
      <c r="AY36" s="20"/>
      <c r="AZ36" s="38"/>
      <c r="BA36" s="42"/>
      <c r="BB36" s="20"/>
      <c r="BC36" s="38"/>
      <c r="BD36" s="42"/>
      <c r="BE36" s="20"/>
      <c r="BF36" s="38"/>
      <c r="BG36" s="42"/>
      <c r="BH36" s="20"/>
      <c r="BI36" s="38"/>
    </row>
    <row r="37" spans="1:61">
      <c r="A37" s="2">
        <v>14</v>
      </c>
      <c r="B37" s="2" t="s">
        <v>202</v>
      </c>
      <c r="C37" s="37" t="s">
        <v>203</v>
      </c>
      <c r="D37" s="2" t="s">
        <v>172</v>
      </c>
      <c r="E37" s="20">
        <v>611861882000</v>
      </c>
      <c r="F37" s="20">
        <f>F3</f>
        <v>270569770</v>
      </c>
      <c r="G37" s="85">
        <f>E37/F37</f>
        <v>2261.38301407434</v>
      </c>
      <c r="H37" s="20">
        <v>651477866000</v>
      </c>
      <c r="I37" s="20">
        <f>I3</f>
        <v>381158530</v>
      </c>
      <c r="J37" s="85">
        <f>H37/I37</f>
        <v>1709.2044772027</v>
      </c>
      <c r="K37" s="20">
        <v>378693502000</v>
      </c>
      <c r="L37" s="20">
        <f>L3</f>
        <v>137213760</v>
      </c>
      <c r="M37" s="85">
        <f>K37/L37</f>
        <v>2759.87992749415</v>
      </c>
      <c r="N37" s="20">
        <v>549625805000</v>
      </c>
      <c r="O37" s="20">
        <f>O3</f>
        <v>341285950</v>
      </c>
      <c r="P37" s="85">
        <f>N37/O37</f>
        <v>1610.45541136399</v>
      </c>
      <c r="Q37" s="20">
        <v>150606466000</v>
      </c>
      <c r="R37" s="20">
        <f>R3</f>
        <v>100423860</v>
      </c>
      <c r="S37" s="85">
        <f>Q37/R37</f>
        <v>1499.70799768103</v>
      </c>
      <c r="T37" s="20">
        <v>354314718724</v>
      </c>
      <c r="U37" s="20">
        <f>U3</f>
        <v>149175669</v>
      </c>
      <c r="V37" s="85">
        <f>T37/U37</f>
        <v>2375.15086139148</v>
      </c>
      <c r="W37" s="20">
        <v>417949336000</v>
      </c>
      <c r="X37" s="20">
        <f>X3</f>
        <v>243465120</v>
      </c>
      <c r="Y37" s="85">
        <f>W37/X37</f>
        <v>1716.67028114746</v>
      </c>
      <c r="Z37" s="20">
        <v>427245350050</v>
      </c>
      <c r="AA37" s="20">
        <f>AA3</f>
        <v>262258613</v>
      </c>
      <c r="AB37" s="85">
        <f>Z37/AA37</f>
        <v>1629.0994036867</v>
      </c>
      <c r="AC37" s="20">
        <v>313084093950</v>
      </c>
      <c r="AD37" s="20">
        <f>AD3</f>
        <v>140899801</v>
      </c>
      <c r="AE37" s="85">
        <f>AC37/AD37</f>
        <v>2222.03361344705</v>
      </c>
      <c r="AF37" s="20">
        <v>299614784269</v>
      </c>
      <c r="AG37" s="20">
        <f>AG3</f>
        <v>194025757</v>
      </c>
      <c r="AH37" s="85">
        <f>AF37/AG37</f>
        <v>1544.20108392619</v>
      </c>
      <c r="AI37" s="20">
        <v>384322878000</v>
      </c>
      <c r="AJ37" s="20">
        <f>AJ3</f>
        <v>235424900</v>
      </c>
      <c r="AK37" s="85">
        <f>AI37/AJ37</f>
        <v>1632.46486671546</v>
      </c>
      <c r="AL37" s="20">
        <v>368405115344</v>
      </c>
      <c r="AM37" s="20">
        <f>AM3</f>
        <v>216566156</v>
      </c>
      <c r="AN37" s="85">
        <f>AL37/AM37</f>
        <v>1701.12044351011</v>
      </c>
      <c r="AO37" s="20">
        <v>252671241294</v>
      </c>
      <c r="AP37" s="20">
        <f>AP3</f>
        <v>135815254</v>
      </c>
      <c r="AQ37" s="85">
        <f>AO37/AP37</f>
        <v>1860.40399625509</v>
      </c>
      <c r="AR37" s="20">
        <v>346326725000</v>
      </c>
      <c r="AS37" s="20">
        <f>AS3</f>
        <v>183667060</v>
      </c>
      <c r="AT37" s="85">
        <f>AR37/AS37</f>
        <v>1885.62241373058</v>
      </c>
      <c r="AU37" s="20">
        <v>220637312425</v>
      </c>
      <c r="AV37" s="20">
        <f>AV3</f>
        <v>108991580</v>
      </c>
      <c r="AW37" s="85">
        <f>AU37/AV37</f>
        <v>2024.35190337639</v>
      </c>
      <c r="AX37" s="20">
        <v>335081735035</v>
      </c>
      <c r="AY37" s="20">
        <f>AY3</f>
        <v>192879363</v>
      </c>
      <c r="AZ37" s="85">
        <f>AX37/AY37</f>
        <v>1737.26068887422</v>
      </c>
      <c r="BA37" s="20">
        <v>373394654947</v>
      </c>
      <c r="BB37" s="20">
        <f>BB3</f>
        <v>146940229</v>
      </c>
      <c r="BC37" s="85">
        <f>BA37/BB37</f>
        <v>2541.13293199645</v>
      </c>
      <c r="BD37" s="20">
        <v>235912345739</v>
      </c>
      <c r="BE37" s="20">
        <f>BE3</f>
        <v>147690129</v>
      </c>
      <c r="BF37" s="85">
        <f>BD37/BE37</f>
        <v>1597.34673763471</v>
      </c>
      <c r="BG37" s="20">
        <v>208115078225</v>
      </c>
      <c r="BH37" s="20">
        <f>BH3</f>
        <v>116213572</v>
      </c>
      <c r="BI37" s="85">
        <f>BG37/BH37</f>
        <v>1790.79839508762</v>
      </c>
    </row>
    <row r="38" spans="1:61">
      <c r="A38" s="2"/>
      <c r="B38" s="2"/>
      <c r="C38" s="6" t="s">
        <v>163</v>
      </c>
      <c r="D38" s="2"/>
      <c r="E38" s="20"/>
      <c r="F38" s="2"/>
      <c r="G38" s="85"/>
      <c r="H38" s="20"/>
      <c r="I38" s="2"/>
      <c r="J38" s="85"/>
      <c r="K38" s="20"/>
      <c r="L38" s="2"/>
      <c r="M38" s="85"/>
      <c r="N38" s="20"/>
      <c r="O38" s="2"/>
      <c r="P38" s="85"/>
      <c r="Q38" s="20"/>
      <c r="R38" s="2"/>
      <c r="S38" s="85"/>
      <c r="T38" s="20"/>
      <c r="U38" s="2"/>
      <c r="V38" s="85"/>
      <c r="W38" s="20"/>
      <c r="X38" s="2"/>
      <c r="Y38" s="85"/>
      <c r="Z38" s="20"/>
      <c r="AA38" s="2"/>
      <c r="AB38" s="85"/>
      <c r="AC38" s="20"/>
      <c r="AD38" s="2"/>
      <c r="AE38" s="85"/>
      <c r="AF38" s="20"/>
      <c r="AG38" s="2"/>
      <c r="AH38" s="85"/>
      <c r="AI38" s="20"/>
      <c r="AJ38" s="2"/>
      <c r="AK38" s="85"/>
      <c r="AL38" s="20"/>
      <c r="AM38" s="2"/>
      <c r="AN38" s="85"/>
      <c r="AO38" s="20"/>
      <c r="AP38" s="2"/>
      <c r="AQ38" s="85"/>
      <c r="AR38" s="20"/>
      <c r="AS38" s="2"/>
      <c r="AT38" s="85"/>
      <c r="AU38" s="20"/>
      <c r="AV38" s="2"/>
      <c r="AW38" s="85"/>
      <c r="AX38" s="20"/>
      <c r="AY38" s="2"/>
      <c r="AZ38" s="85"/>
      <c r="BA38" s="20"/>
      <c r="BB38" s="2"/>
      <c r="BC38" s="85"/>
      <c r="BD38" s="20"/>
      <c r="BE38" s="2"/>
      <c r="BF38" s="85"/>
      <c r="BG38" s="20"/>
      <c r="BH38" s="2"/>
      <c r="BI38" s="85"/>
    </row>
    <row r="43" spans="1:61">
      <c r="A43" s="280" t="s">
        <v>0</v>
      </c>
      <c r="B43" s="319" t="s">
        <v>204</v>
      </c>
      <c r="C43" s="319"/>
      <c r="D43" s="329" t="s">
        <v>205</v>
      </c>
      <c r="E43" s="329"/>
      <c r="F43" s="329"/>
      <c r="G43" s="329"/>
      <c r="H43" s="329"/>
      <c r="I43" s="329"/>
      <c r="J43" s="329"/>
      <c r="K43" s="329"/>
      <c r="L43" s="329"/>
      <c r="M43" s="329"/>
      <c r="P43"/>
      <c r="S43"/>
      <c r="V43"/>
      <c r="Y43"/>
      <c r="AB43"/>
      <c r="AE43"/>
      <c r="AH43"/>
      <c r="AK43"/>
      <c r="AN43"/>
      <c r="AQ43"/>
      <c r="AT43"/>
      <c r="AW43"/>
      <c r="AZ43"/>
      <c r="BC43"/>
      <c r="BF43"/>
      <c r="BI43"/>
    </row>
    <row r="44" spans="1:61">
      <c r="A44" s="6">
        <v>1</v>
      </c>
      <c r="B44" s="320" t="s">
        <v>192</v>
      </c>
      <c r="C44" s="320"/>
      <c r="D44" s="3" t="s">
        <v>206</v>
      </c>
      <c r="E44" s="3"/>
      <c r="F44" s="3"/>
      <c r="G44" s="3"/>
      <c r="H44" s="3"/>
      <c r="I44" s="3"/>
      <c r="J44" s="3"/>
      <c r="K44" s="3"/>
      <c r="L44" s="3"/>
      <c r="M44" s="3"/>
      <c r="N44" s="3"/>
      <c r="P44"/>
      <c r="S44"/>
      <c r="V44"/>
      <c r="Y44"/>
      <c r="AB44"/>
      <c r="AE44"/>
      <c r="AH44"/>
      <c r="AK44"/>
      <c r="AN44"/>
      <c r="AQ44"/>
      <c r="AT44"/>
      <c r="AW44"/>
      <c r="AZ44"/>
      <c r="BC44"/>
      <c r="BF44"/>
      <c r="BI44"/>
    </row>
    <row r="45" spans="1:61">
      <c r="A45" s="6">
        <v>2</v>
      </c>
      <c r="B45" s="3" t="s">
        <v>207</v>
      </c>
      <c r="C45" s="3"/>
      <c r="D45" s="3" t="s">
        <v>208</v>
      </c>
      <c r="E45" s="3"/>
      <c r="F45" s="3"/>
      <c r="G45" s="3"/>
      <c r="H45" s="3"/>
      <c r="I45" s="3"/>
      <c r="J45" s="3"/>
      <c r="K45" s="3"/>
      <c r="L45" s="3"/>
      <c r="M45" s="3"/>
      <c r="N45" s="3"/>
    </row>
    <row r="46" spans="1:61">
      <c r="A46" s="6">
        <v>3</v>
      </c>
      <c r="B46" s="3" t="s">
        <v>209</v>
      </c>
      <c r="C46" s="3"/>
      <c r="D46" s="3" t="s">
        <v>210</v>
      </c>
      <c r="E46" s="3"/>
      <c r="F46" s="3"/>
      <c r="G46" s="3"/>
      <c r="H46" s="3"/>
      <c r="I46" s="3"/>
      <c r="J46" s="3"/>
      <c r="K46" s="3"/>
      <c r="L46" s="3"/>
      <c r="M46" s="3"/>
      <c r="N46" s="3"/>
    </row>
    <row r="47" spans="1:61">
      <c r="A47" s="6">
        <v>4</v>
      </c>
      <c r="B47" s="321" t="s">
        <v>211</v>
      </c>
      <c r="D47" s="3" t="s">
        <v>212</v>
      </c>
      <c r="E47" s="3"/>
      <c r="F47" s="3"/>
      <c r="G47" s="3"/>
      <c r="H47" s="3"/>
      <c r="I47" s="3"/>
      <c r="J47" s="3"/>
      <c r="K47" s="3"/>
      <c r="L47" s="3"/>
      <c r="M47" s="3"/>
    </row>
    <row r="48" spans="1:61">
      <c r="A48" s="6">
        <v>5</v>
      </c>
      <c r="B48" s="3" t="s">
        <v>213</v>
      </c>
      <c r="C48" s="3"/>
      <c r="D48" s="3" t="s">
        <v>214</v>
      </c>
      <c r="E48" s="3"/>
      <c r="F48" s="3"/>
      <c r="G48" s="3"/>
      <c r="H48" s="3"/>
      <c r="I48" s="3"/>
      <c r="J48" s="3"/>
      <c r="K48" s="3"/>
      <c r="L48" s="3"/>
      <c r="M48" s="3"/>
    </row>
    <row r="49" spans="1:13">
      <c r="A49" s="6">
        <v>6</v>
      </c>
      <c r="B49" s="3" t="s">
        <v>215</v>
      </c>
      <c r="C49" s="3"/>
      <c r="D49" s="3" t="s">
        <v>216</v>
      </c>
      <c r="E49" s="3"/>
      <c r="F49" s="3"/>
      <c r="G49" s="3"/>
      <c r="H49" s="3"/>
      <c r="I49" s="3"/>
      <c r="J49" s="3"/>
      <c r="K49" s="3"/>
      <c r="L49" s="3"/>
      <c r="M49" s="3"/>
    </row>
    <row r="50" spans="1:13">
      <c r="A50" s="6">
        <v>7</v>
      </c>
      <c r="B50" s="3" t="s">
        <v>217</v>
      </c>
      <c r="C50" s="3"/>
      <c r="D50" s="3" t="s">
        <v>218</v>
      </c>
      <c r="E50" s="3"/>
      <c r="F50" s="3"/>
      <c r="G50" s="3"/>
      <c r="H50" s="3"/>
      <c r="I50" s="3"/>
      <c r="J50" s="3"/>
      <c r="K50" s="3"/>
      <c r="L50" s="3"/>
      <c r="M50" s="3"/>
    </row>
    <row r="51" spans="1:13">
      <c r="A51" s="6">
        <v>8</v>
      </c>
      <c r="B51" s="322" t="s">
        <v>199</v>
      </c>
      <c r="C51" s="322"/>
      <c r="D51" s="3" t="s">
        <v>219</v>
      </c>
      <c r="E51" s="3"/>
      <c r="F51" s="3"/>
      <c r="G51" s="3"/>
      <c r="H51" s="3"/>
      <c r="I51" s="3"/>
      <c r="J51" s="3"/>
      <c r="K51" s="3"/>
      <c r="L51" s="3"/>
      <c r="M51" s="3"/>
    </row>
    <row r="52" spans="1:13">
      <c r="A52" s="6">
        <v>9</v>
      </c>
      <c r="B52" s="3" t="s">
        <v>220</v>
      </c>
      <c r="C52" s="3"/>
      <c r="D52" s="3" t="s">
        <v>221</v>
      </c>
      <c r="E52" s="3"/>
      <c r="F52" s="3"/>
      <c r="G52" s="3"/>
      <c r="H52" s="3"/>
      <c r="I52" s="3"/>
      <c r="J52" s="3"/>
      <c r="K52" s="3"/>
      <c r="L52" s="3"/>
      <c r="M52" s="3"/>
    </row>
    <row r="53" spans="1:13">
      <c r="A53" s="6">
        <v>10</v>
      </c>
      <c r="B53" s="3" t="s">
        <v>222</v>
      </c>
      <c r="C53" s="3"/>
      <c r="D53" s="3" t="s">
        <v>223</v>
      </c>
      <c r="E53" s="3"/>
      <c r="F53" s="3"/>
      <c r="G53" s="3"/>
      <c r="H53" s="3"/>
      <c r="I53" s="3"/>
      <c r="J53" s="3"/>
      <c r="K53" s="3"/>
      <c r="L53" s="3"/>
      <c r="M53" s="3"/>
    </row>
    <row r="54" spans="1:13">
      <c r="A54" s="6">
        <v>11</v>
      </c>
      <c r="B54" s="3" t="s">
        <v>224</v>
      </c>
      <c r="C54" s="3"/>
      <c r="D54" s="3" t="s">
        <v>225</v>
      </c>
      <c r="E54" s="3"/>
      <c r="F54" s="3"/>
      <c r="G54" s="3"/>
      <c r="H54" s="3"/>
      <c r="I54" s="3"/>
      <c r="J54" s="3"/>
      <c r="K54" s="3"/>
      <c r="L54" s="3"/>
      <c r="M54" s="3"/>
    </row>
    <row r="55" spans="1:13">
      <c r="A55" s="6">
        <v>12</v>
      </c>
      <c r="B55" s="3" t="s">
        <v>226</v>
      </c>
      <c r="C55" s="3"/>
      <c r="D55" s="3" t="s">
        <v>227</v>
      </c>
      <c r="E55" s="3"/>
      <c r="F55" s="3"/>
      <c r="G55" s="3"/>
      <c r="H55" s="3"/>
      <c r="I55" s="3"/>
      <c r="J55" s="3"/>
      <c r="K55" s="3"/>
      <c r="L55" s="3"/>
      <c r="M55" s="3"/>
    </row>
    <row r="56" spans="1:13">
      <c r="B56" s="57" t="s">
        <v>228</v>
      </c>
      <c r="C56" s="57"/>
      <c r="D56" s="57" t="s">
        <v>229</v>
      </c>
      <c r="E56" s="57"/>
      <c r="F56" s="57"/>
      <c r="G56" s="57"/>
      <c r="J56"/>
      <c r="M56"/>
    </row>
    <row r="57" spans="1:13"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</sheetData>
  <mergeCells count="530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43:C43"/>
    <mergeCell ref="D43:M43"/>
    <mergeCell ref="B44:C44"/>
    <mergeCell ref="D44:N44"/>
    <mergeCell ref="B45:C45"/>
    <mergeCell ref="D45:N45"/>
    <mergeCell ref="B46:C46"/>
    <mergeCell ref="D46:N46"/>
    <mergeCell ref="D47:M47"/>
    <mergeCell ref="B48:C48"/>
    <mergeCell ref="D48:M48"/>
    <mergeCell ref="B49:C49"/>
    <mergeCell ref="D49:M49"/>
    <mergeCell ref="B50:C50"/>
    <mergeCell ref="D50:M50"/>
    <mergeCell ref="B51:C51"/>
    <mergeCell ref="D51:M51"/>
    <mergeCell ref="B52:C52"/>
    <mergeCell ref="D52:M52"/>
    <mergeCell ref="B53:C53"/>
    <mergeCell ref="D53:M53"/>
    <mergeCell ref="B54:C54"/>
    <mergeCell ref="D54:M54"/>
    <mergeCell ref="B55:C55"/>
    <mergeCell ref="D55:M55"/>
    <mergeCell ref="B56:C56"/>
    <mergeCell ref="D56:G56"/>
    <mergeCell ref="C57:M57"/>
    <mergeCell ref="C58:M58"/>
    <mergeCell ref="A3:A4"/>
    <mergeCell ref="A7:A8"/>
    <mergeCell ref="A12:A13"/>
    <mergeCell ref="A15:A16"/>
    <mergeCell ref="A22:A23"/>
    <mergeCell ref="A25:A26"/>
    <mergeCell ref="A28:A29"/>
    <mergeCell ref="A37:A38"/>
    <mergeCell ref="B3:B4"/>
    <mergeCell ref="B7:B8"/>
    <mergeCell ref="B12:B13"/>
    <mergeCell ref="B15:B16"/>
    <mergeCell ref="B22:B23"/>
    <mergeCell ref="B25:B26"/>
    <mergeCell ref="B28:B29"/>
    <mergeCell ref="B37:B38"/>
    <mergeCell ref="C12:C13"/>
    <mergeCell ref="D3:D4"/>
    <mergeCell ref="D7:D8"/>
    <mergeCell ref="D12:D13"/>
    <mergeCell ref="D15:D16"/>
    <mergeCell ref="D22:D23"/>
    <mergeCell ref="D25:D26"/>
    <mergeCell ref="D28:D29"/>
    <mergeCell ref="D37:D38"/>
    <mergeCell ref="E3:E4"/>
    <mergeCell ref="E7:E8"/>
    <mergeCell ref="E12:E13"/>
    <mergeCell ref="E15:E16"/>
    <mergeCell ref="E22:E23"/>
    <mergeCell ref="E25:E26"/>
    <mergeCell ref="E28:E29"/>
    <mergeCell ref="E37:E38"/>
    <mergeCell ref="F3:F4"/>
    <mergeCell ref="F7:F8"/>
    <mergeCell ref="F12:F13"/>
    <mergeCell ref="F15:F16"/>
    <mergeCell ref="F22:F23"/>
    <mergeCell ref="F25:F26"/>
    <mergeCell ref="F28:F29"/>
    <mergeCell ref="F37:F38"/>
    <mergeCell ref="G3:G4"/>
    <mergeCell ref="G7:G8"/>
    <mergeCell ref="G12:G13"/>
    <mergeCell ref="G15:G16"/>
    <mergeCell ref="G22:G23"/>
    <mergeCell ref="G25:G26"/>
    <mergeCell ref="G28:G29"/>
    <mergeCell ref="G37:G38"/>
    <mergeCell ref="H3:H4"/>
    <mergeCell ref="H7:H8"/>
    <mergeCell ref="H12:H13"/>
    <mergeCell ref="H15:H16"/>
    <mergeCell ref="H22:H23"/>
    <mergeCell ref="H25:H26"/>
    <mergeCell ref="H28:H29"/>
    <mergeCell ref="H37:H38"/>
    <mergeCell ref="I3:I4"/>
    <mergeCell ref="I7:I8"/>
    <mergeCell ref="I12:I13"/>
    <mergeCell ref="I15:I16"/>
    <mergeCell ref="I22:I23"/>
    <mergeCell ref="I25:I26"/>
    <mergeCell ref="I28:I29"/>
    <mergeCell ref="I37:I38"/>
    <mergeCell ref="J3:J4"/>
    <mergeCell ref="J7:J8"/>
    <mergeCell ref="J12:J13"/>
    <mergeCell ref="J15:J16"/>
    <mergeCell ref="J22:J23"/>
    <mergeCell ref="J25:J26"/>
    <mergeCell ref="J28:J29"/>
    <mergeCell ref="J37:J38"/>
    <mergeCell ref="K3:K4"/>
    <mergeCell ref="K7:K8"/>
    <mergeCell ref="K12:K13"/>
    <mergeCell ref="K15:K16"/>
    <mergeCell ref="K22:K23"/>
    <mergeCell ref="K25:K26"/>
    <mergeCell ref="K28:K29"/>
    <mergeCell ref="K37:K38"/>
    <mergeCell ref="L3:L4"/>
    <mergeCell ref="L7:L8"/>
    <mergeCell ref="L12:L13"/>
    <mergeCell ref="L15:L16"/>
    <mergeCell ref="L22:L23"/>
    <mergeCell ref="L25:L26"/>
    <mergeCell ref="L28:L29"/>
    <mergeCell ref="L37:L38"/>
    <mergeCell ref="M3:M4"/>
    <mergeCell ref="M7:M8"/>
    <mergeCell ref="M12:M13"/>
    <mergeCell ref="M15:M16"/>
    <mergeCell ref="M22:M23"/>
    <mergeCell ref="M25:M26"/>
    <mergeCell ref="M28:M29"/>
    <mergeCell ref="M37:M38"/>
    <mergeCell ref="N3:N4"/>
    <mergeCell ref="N7:N8"/>
    <mergeCell ref="N12:N13"/>
    <mergeCell ref="N15:N16"/>
    <mergeCell ref="N22:N23"/>
    <mergeCell ref="N25:N26"/>
    <mergeCell ref="N28:N29"/>
    <mergeCell ref="N37:N38"/>
    <mergeCell ref="O3:O4"/>
    <mergeCell ref="O7:O8"/>
    <mergeCell ref="O12:O13"/>
    <mergeCell ref="O15:O16"/>
    <mergeCell ref="O22:O23"/>
    <mergeCell ref="O25:O26"/>
    <mergeCell ref="O28:O29"/>
    <mergeCell ref="O37:O38"/>
    <mergeCell ref="P3:P4"/>
    <mergeCell ref="P7:P8"/>
    <mergeCell ref="P12:P13"/>
    <mergeCell ref="P15:P16"/>
    <mergeCell ref="P22:P23"/>
    <mergeCell ref="P25:P26"/>
    <mergeCell ref="P28:P29"/>
    <mergeCell ref="P37:P38"/>
    <mergeCell ref="Q3:Q4"/>
    <mergeCell ref="Q7:Q8"/>
    <mergeCell ref="Q12:Q13"/>
    <mergeCell ref="Q15:Q16"/>
    <mergeCell ref="Q22:Q23"/>
    <mergeCell ref="Q25:Q26"/>
    <mergeCell ref="Q28:Q29"/>
    <mergeCell ref="Q37:Q38"/>
    <mergeCell ref="R3:R4"/>
    <mergeCell ref="R7:R8"/>
    <mergeCell ref="R12:R13"/>
    <mergeCell ref="R15:R16"/>
    <mergeCell ref="R22:R23"/>
    <mergeCell ref="R25:R26"/>
    <mergeCell ref="R28:R29"/>
    <mergeCell ref="R37:R38"/>
    <mergeCell ref="S3:S4"/>
    <mergeCell ref="S7:S8"/>
    <mergeCell ref="S12:S13"/>
    <mergeCell ref="S15:S16"/>
    <mergeCell ref="S22:S23"/>
    <mergeCell ref="S25:S26"/>
    <mergeCell ref="S28:S29"/>
    <mergeCell ref="S37:S38"/>
    <mergeCell ref="T3:T4"/>
    <mergeCell ref="T7:T8"/>
    <mergeCell ref="T12:T13"/>
    <mergeCell ref="T15:T16"/>
    <mergeCell ref="T22:T23"/>
    <mergeCell ref="T25:T26"/>
    <mergeCell ref="T28:T29"/>
    <mergeCell ref="T37:T38"/>
    <mergeCell ref="U3:U4"/>
    <mergeCell ref="U7:U8"/>
    <mergeCell ref="U12:U13"/>
    <mergeCell ref="U15:U16"/>
    <mergeCell ref="U22:U23"/>
    <mergeCell ref="U25:U26"/>
    <mergeCell ref="U28:U29"/>
    <mergeCell ref="U37:U38"/>
    <mergeCell ref="V3:V4"/>
    <mergeCell ref="V7:V8"/>
    <mergeCell ref="V12:V13"/>
    <mergeCell ref="V15:V16"/>
    <mergeCell ref="V22:V23"/>
    <mergeCell ref="V25:V26"/>
    <mergeCell ref="V28:V29"/>
    <mergeCell ref="V37:V38"/>
    <mergeCell ref="W3:W4"/>
    <mergeCell ref="W7:W8"/>
    <mergeCell ref="W12:W13"/>
    <mergeCell ref="W15:W16"/>
    <mergeCell ref="W22:W23"/>
    <mergeCell ref="W25:W26"/>
    <mergeCell ref="W28:W29"/>
    <mergeCell ref="W37:W38"/>
    <mergeCell ref="X3:X4"/>
    <mergeCell ref="X7:X8"/>
    <mergeCell ref="X12:X13"/>
    <mergeCell ref="X15:X16"/>
    <mergeCell ref="X22:X23"/>
    <mergeCell ref="X25:X26"/>
    <mergeCell ref="X28:X29"/>
    <mergeCell ref="X37:X38"/>
    <mergeCell ref="Y3:Y4"/>
    <mergeCell ref="Y7:Y8"/>
    <mergeCell ref="Y12:Y13"/>
    <mergeCell ref="Y15:Y16"/>
    <mergeCell ref="Y22:Y23"/>
    <mergeCell ref="Y25:Y26"/>
    <mergeCell ref="Y28:Y29"/>
    <mergeCell ref="Y37:Y38"/>
    <mergeCell ref="Z3:Z4"/>
    <mergeCell ref="Z7:Z8"/>
    <mergeCell ref="Z12:Z13"/>
    <mergeCell ref="Z15:Z16"/>
    <mergeCell ref="Z22:Z23"/>
    <mergeCell ref="Z25:Z26"/>
    <mergeCell ref="Z28:Z29"/>
    <mergeCell ref="Z37:Z38"/>
    <mergeCell ref="AA3:AA4"/>
    <mergeCell ref="AA7:AA8"/>
    <mergeCell ref="AA12:AA13"/>
    <mergeCell ref="AA15:AA16"/>
    <mergeCell ref="AA22:AA23"/>
    <mergeCell ref="AA25:AA26"/>
    <mergeCell ref="AA28:AA29"/>
    <mergeCell ref="AA37:AA38"/>
    <mergeCell ref="AB3:AB4"/>
    <mergeCell ref="AB7:AB8"/>
    <mergeCell ref="AB12:AB13"/>
    <mergeCell ref="AB15:AB16"/>
    <mergeCell ref="AB22:AB23"/>
    <mergeCell ref="AB25:AB26"/>
    <mergeCell ref="AB28:AB29"/>
    <mergeCell ref="AB37:AB38"/>
    <mergeCell ref="AC3:AC4"/>
    <mergeCell ref="AC7:AC8"/>
    <mergeCell ref="AC12:AC13"/>
    <mergeCell ref="AC15:AC16"/>
    <mergeCell ref="AC22:AC23"/>
    <mergeCell ref="AC25:AC26"/>
    <mergeCell ref="AC28:AC29"/>
    <mergeCell ref="AC37:AC38"/>
    <mergeCell ref="AD3:AD4"/>
    <mergeCell ref="AD7:AD8"/>
    <mergeCell ref="AD12:AD13"/>
    <mergeCell ref="AD15:AD16"/>
    <mergeCell ref="AD22:AD23"/>
    <mergeCell ref="AD25:AD26"/>
    <mergeCell ref="AD28:AD29"/>
    <mergeCell ref="AD37:AD38"/>
    <mergeCell ref="AE3:AE4"/>
    <mergeCell ref="AE7:AE8"/>
    <mergeCell ref="AE12:AE13"/>
    <mergeCell ref="AE15:AE16"/>
    <mergeCell ref="AE22:AE23"/>
    <mergeCell ref="AE25:AE26"/>
    <mergeCell ref="AE28:AE29"/>
    <mergeCell ref="AE37:AE38"/>
    <mergeCell ref="AF3:AF4"/>
    <mergeCell ref="AF7:AF8"/>
    <mergeCell ref="AF12:AF13"/>
    <mergeCell ref="AF15:AF16"/>
    <mergeCell ref="AF22:AF23"/>
    <mergeCell ref="AF25:AF26"/>
    <mergeCell ref="AF28:AF29"/>
    <mergeCell ref="AF37:AF38"/>
    <mergeCell ref="AG3:AG4"/>
    <mergeCell ref="AG7:AG8"/>
    <mergeCell ref="AG12:AG13"/>
    <mergeCell ref="AG15:AG16"/>
    <mergeCell ref="AG22:AG23"/>
    <mergeCell ref="AG25:AG26"/>
    <mergeCell ref="AG28:AG29"/>
    <mergeCell ref="AG37:AG38"/>
    <mergeCell ref="AH3:AH4"/>
    <mergeCell ref="AH7:AH8"/>
    <mergeCell ref="AH12:AH13"/>
    <mergeCell ref="AH15:AH16"/>
    <mergeCell ref="AH22:AH23"/>
    <mergeCell ref="AH25:AH26"/>
    <mergeCell ref="AH28:AH29"/>
    <mergeCell ref="AH37:AH38"/>
    <mergeCell ref="AI3:AI4"/>
    <mergeCell ref="AI7:AI8"/>
    <mergeCell ref="AI12:AI13"/>
    <mergeCell ref="AI15:AI16"/>
    <mergeCell ref="AI22:AI23"/>
    <mergeCell ref="AI25:AI26"/>
    <mergeCell ref="AI28:AI29"/>
    <mergeCell ref="AI37:AI38"/>
    <mergeCell ref="AJ3:AJ4"/>
    <mergeCell ref="AJ7:AJ8"/>
    <mergeCell ref="AJ12:AJ13"/>
    <mergeCell ref="AJ15:AJ16"/>
    <mergeCell ref="AJ22:AJ23"/>
    <mergeCell ref="AJ25:AJ26"/>
    <mergeCell ref="AJ28:AJ29"/>
    <mergeCell ref="AJ37:AJ38"/>
    <mergeCell ref="AK3:AK4"/>
    <mergeCell ref="AK7:AK8"/>
    <mergeCell ref="AK12:AK13"/>
    <mergeCell ref="AK15:AK16"/>
    <mergeCell ref="AK22:AK23"/>
    <mergeCell ref="AK25:AK26"/>
    <mergeCell ref="AK28:AK29"/>
    <mergeCell ref="AK37:AK38"/>
    <mergeCell ref="AL3:AL4"/>
    <mergeCell ref="AL7:AL8"/>
    <mergeCell ref="AL12:AL13"/>
    <mergeCell ref="AL15:AL16"/>
    <mergeCell ref="AL22:AL23"/>
    <mergeCell ref="AL25:AL26"/>
    <mergeCell ref="AL28:AL29"/>
    <mergeCell ref="AL37:AL38"/>
    <mergeCell ref="AM3:AM4"/>
    <mergeCell ref="AM7:AM8"/>
    <mergeCell ref="AM12:AM13"/>
    <mergeCell ref="AM15:AM16"/>
    <mergeCell ref="AM22:AM23"/>
    <mergeCell ref="AM25:AM26"/>
    <mergeCell ref="AM28:AM29"/>
    <mergeCell ref="AM37:AM38"/>
    <mergeCell ref="AN3:AN4"/>
    <mergeCell ref="AN7:AN8"/>
    <mergeCell ref="AN12:AN13"/>
    <mergeCell ref="AN15:AN16"/>
    <mergeCell ref="AN22:AN23"/>
    <mergeCell ref="AN25:AN26"/>
    <mergeCell ref="AN28:AN29"/>
    <mergeCell ref="AN37:AN38"/>
    <mergeCell ref="AO3:AO4"/>
    <mergeCell ref="AO7:AO8"/>
    <mergeCell ref="AO12:AO13"/>
    <mergeCell ref="AO15:AO16"/>
    <mergeCell ref="AO22:AO23"/>
    <mergeCell ref="AO25:AO26"/>
    <mergeCell ref="AO28:AO29"/>
    <mergeCell ref="AO37:AO38"/>
    <mergeCell ref="AP3:AP4"/>
    <mergeCell ref="AP7:AP8"/>
    <mergeCell ref="AP12:AP13"/>
    <mergeCell ref="AP15:AP16"/>
    <mergeCell ref="AP22:AP23"/>
    <mergeCell ref="AP25:AP26"/>
    <mergeCell ref="AP28:AP29"/>
    <mergeCell ref="AP37:AP38"/>
    <mergeCell ref="AQ3:AQ4"/>
    <mergeCell ref="AQ7:AQ8"/>
    <mergeCell ref="AQ12:AQ13"/>
    <mergeCell ref="AQ15:AQ16"/>
    <mergeCell ref="AQ22:AQ23"/>
    <mergeCell ref="AQ25:AQ26"/>
    <mergeCell ref="AQ28:AQ29"/>
    <mergeCell ref="AQ37:AQ38"/>
    <mergeCell ref="AR3:AR4"/>
    <mergeCell ref="AR7:AR8"/>
    <mergeCell ref="AR12:AR13"/>
    <mergeCell ref="AR15:AR16"/>
    <mergeCell ref="AR22:AR23"/>
    <mergeCell ref="AR25:AR26"/>
    <mergeCell ref="AR28:AR29"/>
    <mergeCell ref="AR37:AR38"/>
    <mergeCell ref="AS3:AS4"/>
    <mergeCell ref="AS7:AS8"/>
    <mergeCell ref="AS12:AS13"/>
    <mergeCell ref="AS15:AS16"/>
    <mergeCell ref="AS22:AS23"/>
    <mergeCell ref="AS25:AS26"/>
    <mergeCell ref="AS28:AS29"/>
    <mergeCell ref="AS37:AS38"/>
    <mergeCell ref="AT3:AT4"/>
    <mergeCell ref="AT7:AT8"/>
    <mergeCell ref="AT12:AT13"/>
    <mergeCell ref="AT15:AT16"/>
    <mergeCell ref="AT22:AT23"/>
    <mergeCell ref="AT25:AT26"/>
    <mergeCell ref="AT28:AT29"/>
    <mergeCell ref="AT37:AT38"/>
    <mergeCell ref="AU3:AU4"/>
    <mergeCell ref="AU7:AU8"/>
    <mergeCell ref="AU12:AU13"/>
    <mergeCell ref="AU15:AU16"/>
    <mergeCell ref="AU22:AU23"/>
    <mergeCell ref="AU25:AU26"/>
    <mergeCell ref="AU28:AU29"/>
    <mergeCell ref="AU37:AU38"/>
    <mergeCell ref="AV3:AV4"/>
    <mergeCell ref="AV7:AV8"/>
    <mergeCell ref="AV12:AV13"/>
    <mergeCell ref="AV15:AV16"/>
    <mergeCell ref="AV22:AV23"/>
    <mergeCell ref="AV25:AV26"/>
    <mergeCell ref="AV28:AV29"/>
    <mergeCell ref="AV37:AV38"/>
    <mergeCell ref="AW3:AW4"/>
    <mergeCell ref="AW7:AW8"/>
    <mergeCell ref="AW12:AW13"/>
    <mergeCell ref="AW15:AW16"/>
    <mergeCell ref="AW22:AW23"/>
    <mergeCell ref="AW25:AW26"/>
    <mergeCell ref="AW28:AW29"/>
    <mergeCell ref="AW37:AW38"/>
    <mergeCell ref="AX3:AX4"/>
    <mergeCell ref="AX7:AX8"/>
    <mergeCell ref="AX12:AX13"/>
    <mergeCell ref="AX15:AX16"/>
    <mergeCell ref="AX22:AX23"/>
    <mergeCell ref="AX25:AX26"/>
    <mergeCell ref="AX28:AX29"/>
    <mergeCell ref="AX37:AX38"/>
    <mergeCell ref="AY3:AY4"/>
    <mergeCell ref="AY7:AY8"/>
    <mergeCell ref="AY12:AY13"/>
    <mergeCell ref="AY15:AY16"/>
    <mergeCell ref="AY22:AY23"/>
    <mergeCell ref="AY25:AY26"/>
    <mergeCell ref="AY28:AY29"/>
    <mergeCell ref="AY37:AY38"/>
    <mergeCell ref="AZ3:AZ4"/>
    <mergeCell ref="AZ7:AZ8"/>
    <mergeCell ref="AZ12:AZ13"/>
    <mergeCell ref="AZ15:AZ16"/>
    <mergeCell ref="AZ22:AZ23"/>
    <mergeCell ref="AZ25:AZ26"/>
    <mergeCell ref="AZ28:AZ29"/>
    <mergeCell ref="AZ37:AZ38"/>
    <mergeCell ref="BA3:BA4"/>
    <mergeCell ref="BA7:BA8"/>
    <mergeCell ref="BA12:BA13"/>
    <mergeCell ref="BA15:BA16"/>
    <mergeCell ref="BA22:BA23"/>
    <mergeCell ref="BA25:BA26"/>
    <mergeCell ref="BA28:BA29"/>
    <mergeCell ref="BA37:BA38"/>
    <mergeCell ref="BB3:BB4"/>
    <mergeCell ref="BB7:BB8"/>
    <mergeCell ref="BB12:BB13"/>
    <mergeCell ref="BB15:BB16"/>
    <mergeCell ref="BB22:BB23"/>
    <mergeCell ref="BB25:BB26"/>
    <mergeCell ref="BB28:BB29"/>
    <mergeCell ref="BB37:BB38"/>
    <mergeCell ref="BC3:BC4"/>
    <mergeCell ref="BC7:BC8"/>
    <mergeCell ref="BC12:BC13"/>
    <mergeCell ref="BC15:BC16"/>
    <mergeCell ref="BC22:BC23"/>
    <mergeCell ref="BC25:BC26"/>
    <mergeCell ref="BC28:BC29"/>
    <mergeCell ref="BC37:BC38"/>
    <mergeCell ref="BD3:BD4"/>
    <mergeCell ref="BD7:BD8"/>
    <mergeCell ref="BD12:BD13"/>
    <mergeCell ref="BD15:BD16"/>
    <mergeCell ref="BD22:BD23"/>
    <mergeCell ref="BD25:BD26"/>
    <mergeCell ref="BD28:BD29"/>
    <mergeCell ref="BD37:BD38"/>
    <mergeCell ref="BE3:BE4"/>
    <mergeCell ref="BE7:BE8"/>
    <mergeCell ref="BE12:BE13"/>
    <mergeCell ref="BE15:BE16"/>
    <mergeCell ref="BE22:BE23"/>
    <mergeCell ref="BE25:BE26"/>
    <mergeCell ref="BE28:BE29"/>
    <mergeCell ref="BE37:BE38"/>
    <mergeCell ref="BF3:BF4"/>
    <mergeCell ref="BF7:BF8"/>
    <mergeCell ref="BF12:BF13"/>
    <mergeCell ref="BF15:BF16"/>
    <mergeCell ref="BF22:BF23"/>
    <mergeCell ref="BF25:BF26"/>
    <mergeCell ref="BF28:BF29"/>
    <mergeCell ref="BF37:BF38"/>
    <mergeCell ref="BG3:BG4"/>
    <mergeCell ref="BG7:BG8"/>
    <mergeCell ref="BG12:BG13"/>
    <mergeCell ref="BG15:BG16"/>
    <mergeCell ref="BG22:BG23"/>
    <mergeCell ref="BG25:BG26"/>
    <mergeCell ref="BG28:BG29"/>
    <mergeCell ref="BG37:BG38"/>
    <mergeCell ref="BH3:BH4"/>
    <mergeCell ref="BH7:BH8"/>
    <mergeCell ref="BH12:BH13"/>
    <mergeCell ref="BH15:BH16"/>
    <mergeCell ref="BH22:BH23"/>
    <mergeCell ref="BH25:BH26"/>
    <mergeCell ref="BH28:BH29"/>
    <mergeCell ref="BH37:BH38"/>
    <mergeCell ref="BI3:BI4"/>
    <mergeCell ref="BI7:BI8"/>
    <mergeCell ref="BI12:BI13"/>
    <mergeCell ref="BI15:BI16"/>
    <mergeCell ref="BI22:BI23"/>
    <mergeCell ref="BI25:BI26"/>
    <mergeCell ref="BI28:BI29"/>
    <mergeCell ref="BI37:BI38"/>
  </mergeCells>
  <pageMargins left="0.7" right="0.7" top="0.75" bottom="0.75" header="0.3" footer="0.3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39"/>
  <sheetViews>
    <sheetView zoomScale="110" zoomScaleNormal="110" topLeftCell="B1" workbookViewId="0">
      <selection activeCell="P43" sqref="P43"/>
    </sheetView>
  </sheetViews>
  <sheetFormatPr defaultColWidth="9" defaultRowHeight="15"/>
  <cols>
    <col min="1" max="1" width="4.26666666666667" hidden="1" customWidth="1"/>
    <col min="2" max="2" width="24.6285714285714" customWidth="1"/>
    <col min="3" max="3" width="21" hidden="1" customWidth="1"/>
    <col min="4" max="4" width="7.45714285714286" customWidth="1"/>
    <col min="5" max="5" width="14.2666666666667" hidden="1" customWidth="1"/>
    <col min="6" max="6" width="14.1809523809524" hidden="1" customWidth="1"/>
    <col min="7" max="7" width="7.81904761904762" style="6" customWidth="1"/>
    <col min="8" max="8" width="14.2666666666667" hidden="1" customWidth="1"/>
    <col min="9" max="9" width="14.1809523809524" hidden="1" customWidth="1"/>
    <col min="10" max="10" width="7.72380952380952" style="6" customWidth="1"/>
    <col min="11" max="11" width="14.2666666666667" hidden="1" customWidth="1"/>
    <col min="12" max="12" width="14.1809523809524" hidden="1" customWidth="1"/>
    <col min="13" max="13" width="6.45714285714286" style="6" customWidth="1"/>
    <col min="14" max="14" width="14.2666666666667" hidden="1" customWidth="1"/>
    <col min="15" max="15" width="0.457142857142857" hidden="1" customWidth="1"/>
    <col min="16" max="16" width="7.72380952380952" style="6" customWidth="1"/>
    <col min="17" max="17" width="14.2666666666667" hidden="1" customWidth="1"/>
    <col min="18" max="18" width="14.1809523809524" hidden="1" customWidth="1"/>
    <col min="19" max="19" width="6.62857142857143" style="6" customWidth="1"/>
    <col min="20" max="20" width="14.2666666666667" hidden="1" customWidth="1"/>
    <col min="21" max="21" width="14.1809523809524" hidden="1" customWidth="1"/>
    <col min="22" max="22" width="6.45714285714286" style="6" customWidth="1"/>
    <col min="23" max="23" width="14.2666666666667" hidden="1" customWidth="1"/>
    <col min="24" max="24" width="14.1809523809524" hidden="1" customWidth="1"/>
    <col min="25" max="25" width="6.08571428571429" style="6" customWidth="1"/>
    <col min="26" max="26" width="14.2666666666667" hidden="1" customWidth="1"/>
    <col min="27" max="27" width="0.628571428571429" hidden="1" customWidth="1"/>
    <col min="28" max="28" width="6.90476190476191" style="6" customWidth="1"/>
    <col min="29" max="29" width="14.2666666666667" hidden="1" customWidth="1"/>
    <col min="30" max="30" width="14.1809523809524" hidden="1" customWidth="1"/>
    <col min="31" max="31" width="7.45714285714286" style="6" customWidth="1"/>
    <col min="32" max="32" width="14.2666666666667" hidden="1" customWidth="1"/>
    <col min="33" max="33" width="14.1809523809524" hidden="1" customWidth="1"/>
    <col min="34" max="34" width="7" style="6" customWidth="1"/>
    <col min="35" max="35" width="14.2666666666667" hidden="1" customWidth="1"/>
    <col min="36" max="36" width="14.1809523809524" hidden="1" customWidth="1"/>
    <col min="37" max="37" width="7.26666666666667" style="6" customWidth="1"/>
    <col min="38" max="38" width="14.2666666666667" hidden="1" customWidth="1"/>
    <col min="39" max="39" width="0.457142857142857" hidden="1" customWidth="1"/>
    <col min="40" max="40" width="7.36190476190476" style="6" customWidth="1"/>
    <col min="41" max="41" width="14.2666666666667" hidden="1" customWidth="1"/>
    <col min="42" max="42" width="14.1809523809524" hidden="1" customWidth="1"/>
    <col min="43" max="43" width="7.81904761904762" style="6" customWidth="1"/>
    <col min="44" max="44" width="14.2666666666667" hidden="1" customWidth="1"/>
    <col min="45" max="45" width="14.1809523809524" hidden="1" customWidth="1"/>
    <col min="46" max="46" width="8.62857142857143" style="6" customWidth="1"/>
    <col min="47" max="47" width="14.2666666666667" hidden="1" customWidth="1"/>
    <col min="48" max="48" width="14.1809523809524" hidden="1" customWidth="1"/>
    <col min="49" max="49" width="8.54285714285714" style="6" customWidth="1"/>
    <col min="50" max="50" width="14.2666666666667" hidden="1" customWidth="1"/>
    <col min="51" max="51" width="14.1809523809524" hidden="1" customWidth="1"/>
    <col min="52" max="52" width="7.26666666666667" style="6" customWidth="1"/>
    <col min="53" max="53" width="14.2666666666667" hidden="1" customWidth="1"/>
    <col min="54" max="54" width="14.1809523809524" hidden="1" customWidth="1"/>
    <col min="55" max="55" width="8.90476190476191" style="6" customWidth="1"/>
    <col min="56" max="56" width="14.2666666666667" hidden="1" customWidth="1"/>
    <col min="57" max="57" width="14.1809523809524" hidden="1" customWidth="1"/>
    <col min="58" max="58" width="8.08571428571429" style="6" customWidth="1"/>
    <col min="59" max="59" width="14.2666666666667" hidden="1" customWidth="1"/>
    <col min="60" max="60" width="14.1809523809524" hidden="1" customWidth="1"/>
    <col min="61" max="61" width="8.72380952380952" style="6" customWidth="1"/>
  </cols>
  <sheetData>
    <row r="1" s="27" customFormat="1" ht="88.5" customHeight="1" spans="1:61">
      <c r="A1" s="323" t="s">
        <v>135</v>
      </c>
      <c r="B1" s="75" t="s">
        <v>230</v>
      </c>
      <c r="C1" s="75"/>
      <c r="D1" s="76"/>
      <c r="F1" s="324"/>
      <c r="G1" s="325" t="s">
        <v>136</v>
      </c>
      <c r="I1" s="326"/>
      <c r="J1" s="325" t="s">
        <v>137</v>
      </c>
      <c r="L1" s="324"/>
      <c r="M1" s="325" t="s">
        <v>138</v>
      </c>
      <c r="O1" s="324"/>
      <c r="P1" s="325" t="s">
        <v>139</v>
      </c>
      <c r="R1" s="324"/>
      <c r="S1" s="325" t="s">
        <v>140</v>
      </c>
      <c r="U1" s="324"/>
      <c r="V1" s="325" t="s">
        <v>141</v>
      </c>
      <c r="X1" s="324"/>
      <c r="Y1" s="325" t="s">
        <v>142</v>
      </c>
      <c r="AA1" s="324"/>
      <c r="AB1" s="325" t="s">
        <v>143</v>
      </c>
      <c r="AD1" s="324"/>
      <c r="AE1" s="325" t="s">
        <v>144</v>
      </c>
      <c r="AG1" s="324"/>
      <c r="AH1" s="325" t="s">
        <v>145</v>
      </c>
      <c r="AJ1" s="324"/>
      <c r="AK1" s="325" t="s">
        <v>146</v>
      </c>
      <c r="AM1" s="324"/>
      <c r="AN1" s="325" t="s">
        <v>147</v>
      </c>
      <c r="AP1" s="324"/>
      <c r="AQ1" s="325" t="s">
        <v>148</v>
      </c>
      <c r="AS1" s="324"/>
      <c r="AT1" s="325" t="s">
        <v>149</v>
      </c>
      <c r="AV1" s="324"/>
      <c r="AW1" s="325" t="s">
        <v>150</v>
      </c>
      <c r="AY1" s="324"/>
      <c r="AZ1" s="325" t="s">
        <v>151</v>
      </c>
      <c r="BB1" s="324"/>
      <c r="BC1" s="325" t="s">
        <v>152</v>
      </c>
      <c r="BE1" s="324"/>
      <c r="BF1" s="325" t="s">
        <v>153</v>
      </c>
      <c r="BH1" s="324"/>
      <c r="BI1" s="325" t="s">
        <v>154</v>
      </c>
    </row>
    <row r="2" ht="15.75" spans="1:61">
      <c r="A2" s="77"/>
      <c r="B2" s="77" t="s">
        <v>231</v>
      </c>
      <c r="C2" s="77"/>
      <c r="D2" s="77"/>
      <c r="E2" s="35"/>
      <c r="F2" s="35"/>
      <c r="G2" s="36">
        <v>2</v>
      </c>
      <c r="H2" s="36"/>
      <c r="I2" s="36"/>
      <c r="J2" s="36"/>
      <c r="K2" s="36"/>
      <c r="L2" s="36"/>
      <c r="M2" s="36">
        <v>1</v>
      </c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>
        <v>3</v>
      </c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</row>
    <row r="3" spans="1:61">
      <c r="A3" s="2">
        <v>1</v>
      </c>
      <c r="B3" s="2" t="s">
        <v>65</v>
      </c>
      <c r="C3" s="37" t="s">
        <v>161</v>
      </c>
      <c r="D3" s="2" t="s">
        <v>232</v>
      </c>
      <c r="E3" s="20">
        <f>E5*1.333</f>
        <v>6733541527</v>
      </c>
      <c r="F3" s="20">
        <v>270569770</v>
      </c>
      <c r="G3" s="96">
        <f>E3/F3</f>
        <v>24.8865256713638</v>
      </c>
      <c r="H3" s="20">
        <f>H5*1.333</f>
        <v>6043953967</v>
      </c>
      <c r="I3" s="20">
        <v>381158530</v>
      </c>
      <c r="J3" s="38">
        <f>H3/I3</f>
        <v>15.8567983956702</v>
      </c>
      <c r="K3" s="20">
        <f>K5*1.333</f>
        <v>4609028788</v>
      </c>
      <c r="L3" s="20">
        <v>129446940</v>
      </c>
      <c r="M3" s="96">
        <f>K3/L3</f>
        <v>35.605544542034</v>
      </c>
      <c r="N3" s="20">
        <f>N5*1.333</f>
        <v>6051826665</v>
      </c>
      <c r="O3" s="20">
        <v>341285950</v>
      </c>
      <c r="P3" s="38">
        <f>N3/O3</f>
        <v>17.7324225184189</v>
      </c>
      <c r="Q3" s="20">
        <f>Q5*1.333</f>
        <v>2897643408</v>
      </c>
      <c r="R3" s="20">
        <v>100423860</v>
      </c>
      <c r="S3" s="96">
        <f>Q3/R3</f>
        <v>28.8541329520694</v>
      </c>
      <c r="T3" s="20">
        <f>T5*1.333</f>
        <v>208982353.347</v>
      </c>
      <c r="U3" s="20">
        <v>149175669</v>
      </c>
      <c r="V3" s="38">
        <f>T3/U3</f>
        <v>1.40091447048915</v>
      </c>
      <c r="W3" s="20">
        <f>W5*1.333</f>
        <v>2202333279</v>
      </c>
      <c r="X3" s="20">
        <v>243465120</v>
      </c>
      <c r="Y3" s="38">
        <f>W3/X3</f>
        <v>9.04578560986477</v>
      </c>
      <c r="Z3" s="20">
        <f>Z5*1.333</f>
        <v>381002144.312</v>
      </c>
      <c r="AA3" s="20">
        <v>262258613</v>
      </c>
      <c r="AB3" s="38">
        <f>Z3/AA3</f>
        <v>1.4527726657046</v>
      </c>
      <c r="AC3" s="20">
        <f>AC5*1.333</f>
        <v>2223791219.84</v>
      </c>
      <c r="AD3" s="20">
        <v>140899801</v>
      </c>
      <c r="AE3" s="38">
        <f>AC3/AD3</f>
        <v>15.7827846743375</v>
      </c>
      <c r="AF3" s="20">
        <f>AF5*1.333</f>
        <v>2971662417.287</v>
      </c>
      <c r="AG3" s="20">
        <v>194025757</v>
      </c>
      <c r="AH3" s="38">
        <f>AF3/AG3</f>
        <v>15.3158140611558</v>
      </c>
      <c r="AI3" s="20">
        <f>AI5*1.333</f>
        <v>2500787980</v>
      </c>
      <c r="AJ3" s="20">
        <v>235424900</v>
      </c>
      <c r="AK3" s="38">
        <f>AI3/AJ3</f>
        <v>10.6224446946776</v>
      </c>
      <c r="AL3" s="20">
        <f>AL5*1.333</f>
        <v>666564171.953</v>
      </c>
      <c r="AM3" s="20">
        <v>216566156</v>
      </c>
      <c r="AN3" s="38">
        <f>AL3/AM3</f>
        <v>3.07787783772179</v>
      </c>
      <c r="AO3" s="20">
        <f>AO5*1.333</f>
        <v>2202751617.056</v>
      </c>
      <c r="AP3" s="20">
        <v>135815254</v>
      </c>
      <c r="AQ3" s="38">
        <f>AO3/AP3</f>
        <v>16.2187350255664</v>
      </c>
      <c r="AR3" s="20">
        <f>AR5*1.333</f>
        <v>3163594237</v>
      </c>
      <c r="AS3" s="20">
        <v>183667060</v>
      </c>
      <c r="AT3" s="38">
        <f>AR3/AS3</f>
        <v>17.2246141305904</v>
      </c>
      <c r="AU3" s="20">
        <f>AU5*1.333</f>
        <v>1603947451.532</v>
      </c>
      <c r="AV3" s="20">
        <v>108991580</v>
      </c>
      <c r="AW3" s="38">
        <f>AU3/AV3</f>
        <v>14.7162510308778</v>
      </c>
      <c r="AX3" s="20">
        <f>AX5*1.333</f>
        <v>2458532365.212</v>
      </c>
      <c r="AY3" s="20">
        <v>192879363</v>
      </c>
      <c r="AZ3" s="38">
        <f>AX3/AY3</f>
        <v>12.7464770049661</v>
      </c>
      <c r="BA3" s="20">
        <f>BA5*1.333</f>
        <v>3710398412.439</v>
      </c>
      <c r="BB3" s="20">
        <v>146940229</v>
      </c>
      <c r="BC3" s="96">
        <f>BA3/BB3</f>
        <v>25.251072750397</v>
      </c>
      <c r="BD3" s="20">
        <f>BD5*1.333</f>
        <v>1282204294.102</v>
      </c>
      <c r="BE3" s="20">
        <v>147690129</v>
      </c>
      <c r="BF3" s="38">
        <f>BD3/BE3</f>
        <v>8.68171964357889</v>
      </c>
      <c r="BG3" s="20">
        <f>BG5*1.333</f>
        <v>1469802914.719</v>
      </c>
      <c r="BH3" s="20">
        <v>116213572</v>
      </c>
      <c r="BI3" s="38">
        <f>BG3/BH3</f>
        <v>12.6474291205764</v>
      </c>
    </row>
    <row r="4" ht="4.5" customHeight="1" spans="1:61">
      <c r="A4" s="2"/>
      <c r="B4" s="2"/>
      <c r="C4" s="2" t="s">
        <v>163</v>
      </c>
      <c r="D4" s="2"/>
      <c r="E4" s="20"/>
      <c r="F4" s="20"/>
      <c r="G4" s="96"/>
      <c r="H4" s="20"/>
      <c r="I4" s="20"/>
      <c r="J4" s="38"/>
      <c r="K4" s="20"/>
      <c r="L4" s="20"/>
      <c r="M4" s="96"/>
      <c r="N4" s="20"/>
      <c r="O4" s="20"/>
      <c r="P4" s="38"/>
      <c r="Q4" s="20"/>
      <c r="R4" s="20"/>
      <c r="S4" s="96"/>
      <c r="T4" s="20"/>
      <c r="U4" s="20"/>
      <c r="V4" s="38"/>
      <c r="W4" s="20"/>
      <c r="X4" s="20"/>
      <c r="Y4" s="38"/>
      <c r="Z4" s="20"/>
      <c r="AA4" s="20"/>
      <c r="AB4" s="38"/>
      <c r="AC4" s="20"/>
      <c r="AD4" s="20"/>
      <c r="AE4" s="38"/>
      <c r="AF4" s="20"/>
      <c r="AG4" s="20"/>
      <c r="AH4" s="38"/>
      <c r="AI4" s="20"/>
      <c r="AJ4" s="20"/>
      <c r="AK4" s="38"/>
      <c r="AL4" s="20"/>
      <c r="AM4" s="20"/>
      <c r="AN4" s="38"/>
      <c r="AO4" s="20"/>
      <c r="AP4" s="20"/>
      <c r="AQ4" s="38"/>
      <c r="AR4" s="20"/>
      <c r="AS4" s="20"/>
      <c r="AT4" s="38"/>
      <c r="AU4" s="20"/>
      <c r="AV4" s="20"/>
      <c r="AW4" s="38"/>
      <c r="AX4" s="20"/>
      <c r="AY4" s="20"/>
      <c r="AZ4" s="38"/>
      <c r="BA4" s="20"/>
      <c r="BB4" s="20"/>
      <c r="BC4" s="96"/>
      <c r="BD4" s="20"/>
      <c r="BE4" s="20"/>
      <c r="BF4" s="38"/>
      <c r="BG4" s="20"/>
      <c r="BH4" s="20"/>
      <c r="BI4" s="38"/>
    </row>
    <row r="5" hidden="1" spans="1:61">
      <c r="A5" s="2"/>
      <c r="B5" s="2"/>
      <c r="C5" s="2"/>
      <c r="D5" s="2"/>
      <c r="E5" s="78">
        <v>5051419000</v>
      </c>
      <c r="F5" s="20"/>
      <c r="G5" s="38"/>
      <c r="H5" s="78">
        <v>4534099000</v>
      </c>
      <c r="I5" s="20"/>
      <c r="J5" s="38"/>
      <c r="K5" s="78">
        <v>3457636000</v>
      </c>
      <c r="L5" s="20"/>
      <c r="M5" s="38"/>
      <c r="N5" s="78">
        <v>4540005000</v>
      </c>
      <c r="O5" s="20"/>
      <c r="P5" s="38"/>
      <c r="Q5" s="78">
        <v>2173776000</v>
      </c>
      <c r="R5" s="20"/>
      <c r="S5" s="38"/>
      <c r="T5" s="78">
        <v>156775959</v>
      </c>
      <c r="U5" s="20"/>
      <c r="V5" s="38"/>
      <c r="W5" s="78">
        <v>1652163000</v>
      </c>
      <c r="X5" s="20"/>
      <c r="Y5" s="38"/>
      <c r="Z5" s="78">
        <v>285823064</v>
      </c>
      <c r="AA5" s="20"/>
      <c r="AB5" s="38"/>
      <c r="AC5" s="78">
        <v>1668260480</v>
      </c>
      <c r="AD5" s="20"/>
      <c r="AE5" s="38"/>
      <c r="AF5" s="78">
        <v>2229304139</v>
      </c>
      <c r="AG5" s="20"/>
      <c r="AH5" s="38"/>
      <c r="AI5" s="78">
        <v>1876060000</v>
      </c>
      <c r="AJ5" s="20"/>
      <c r="AK5" s="38"/>
      <c r="AL5" s="78">
        <v>500048141</v>
      </c>
      <c r="AM5" s="20"/>
      <c r="AN5" s="38"/>
      <c r="AO5" s="78">
        <v>1652476832</v>
      </c>
      <c r="AP5" s="20"/>
      <c r="AQ5" s="38"/>
      <c r="AR5" s="78">
        <v>2373289000</v>
      </c>
      <c r="AS5" s="20"/>
      <c r="AT5" s="38"/>
      <c r="AU5" s="78">
        <v>1203261404</v>
      </c>
      <c r="AV5" s="20"/>
      <c r="AW5" s="38"/>
      <c r="AX5" s="78">
        <v>1844360364</v>
      </c>
      <c r="AY5" s="20"/>
      <c r="AZ5" s="38"/>
      <c r="BA5" s="78">
        <v>2783494683</v>
      </c>
      <c r="BB5" s="20" t="s">
        <v>164</v>
      </c>
      <c r="BC5" s="38"/>
      <c r="BD5" s="78">
        <v>961893694</v>
      </c>
      <c r="BE5" s="20"/>
      <c r="BF5" s="38"/>
      <c r="BG5" s="78">
        <v>1102627843</v>
      </c>
      <c r="BH5" s="20"/>
      <c r="BI5" s="38"/>
    </row>
    <row r="6" hidden="1" spans="1:61">
      <c r="E6" s="51"/>
      <c r="F6" s="6"/>
      <c r="G6" s="40"/>
      <c r="H6" s="51"/>
      <c r="I6" s="6"/>
      <c r="J6" s="40"/>
      <c r="K6" s="51"/>
      <c r="L6" s="6"/>
      <c r="M6" s="40"/>
      <c r="N6" s="51"/>
      <c r="O6" s="6"/>
      <c r="P6" s="40"/>
      <c r="Q6" s="51"/>
      <c r="R6" s="6"/>
      <c r="S6" s="40"/>
      <c r="T6" s="51"/>
      <c r="U6" s="6"/>
      <c r="V6" s="40"/>
      <c r="W6" s="51"/>
      <c r="X6" s="6"/>
      <c r="Y6" s="40"/>
      <c r="Z6" s="51"/>
      <c r="AA6" s="6"/>
      <c r="AB6" s="40"/>
      <c r="AC6" s="51"/>
      <c r="AD6" s="6"/>
      <c r="AE6" s="40"/>
      <c r="AF6" s="51"/>
      <c r="AG6" s="6"/>
      <c r="AH6" s="40"/>
      <c r="AI6" s="51"/>
      <c r="AJ6" s="6"/>
      <c r="AK6" s="40"/>
      <c r="AL6" s="51"/>
      <c r="AM6" s="6"/>
      <c r="AN6" s="40"/>
      <c r="AO6" s="51"/>
      <c r="AP6" s="6"/>
      <c r="AQ6" s="40"/>
      <c r="AR6" s="51"/>
      <c r="AS6" s="6"/>
      <c r="AT6" s="40"/>
      <c r="AU6" s="51"/>
      <c r="AV6" s="6"/>
      <c r="AW6" s="40"/>
      <c r="AX6" s="51"/>
      <c r="AY6" s="6" t="s">
        <v>165</v>
      </c>
      <c r="AZ6" s="40"/>
      <c r="BA6" s="51"/>
      <c r="BB6" s="6"/>
      <c r="BC6" s="40"/>
      <c r="BD6" s="51"/>
      <c r="BE6" s="6"/>
      <c r="BF6" s="40"/>
      <c r="BG6" s="51"/>
      <c r="BH6" s="6"/>
      <c r="BI6" s="40"/>
    </row>
    <row r="7" spans="1:61">
      <c r="A7" s="2">
        <v>2</v>
      </c>
      <c r="B7" s="41" t="s">
        <v>166</v>
      </c>
      <c r="C7" s="37" t="s">
        <v>167</v>
      </c>
      <c r="D7" s="2" t="s">
        <v>233</v>
      </c>
      <c r="E7" s="20">
        <v>548</v>
      </c>
      <c r="F7" s="42">
        <f>G3</f>
        <v>24.8865256713638</v>
      </c>
      <c r="G7" s="96">
        <f>E7/F7</f>
        <v>22.0199479524202</v>
      </c>
      <c r="H7" s="20">
        <v>261</v>
      </c>
      <c r="I7" s="42">
        <f>J3</f>
        <v>15.8567983956702</v>
      </c>
      <c r="J7" s="96">
        <f>H7/I7</f>
        <v>16.4598170126996</v>
      </c>
      <c r="K7" s="20">
        <v>756</v>
      </c>
      <c r="L7" s="42">
        <f>M3</f>
        <v>35.605544542034</v>
      </c>
      <c r="M7" s="96">
        <f>K7/L7</f>
        <v>21.2326481654425</v>
      </c>
      <c r="N7" s="20">
        <v>234</v>
      </c>
      <c r="O7" s="42">
        <f>P3</f>
        <v>17.7324225184189</v>
      </c>
      <c r="P7" s="96">
        <f>N7/O7</f>
        <v>13.1961664999207</v>
      </c>
      <c r="Q7" s="20">
        <v>671</v>
      </c>
      <c r="R7" s="42">
        <f>S3</f>
        <v>28.8541329520694</v>
      </c>
      <c r="S7" s="96">
        <f>Q7/R7</f>
        <v>23.2549008183549</v>
      </c>
      <c r="T7" s="20">
        <v>404</v>
      </c>
      <c r="U7" s="42">
        <f>V3</f>
        <v>1.40091447048915</v>
      </c>
      <c r="V7" s="38">
        <f>T7/U7</f>
        <v>288.383058716594</v>
      </c>
      <c r="W7" s="20">
        <v>244</v>
      </c>
      <c r="X7" s="42">
        <f>Y3</f>
        <v>9.04578560986477</v>
      </c>
      <c r="Y7" s="38">
        <f>W7/X7</f>
        <v>26.9738871252828</v>
      </c>
      <c r="Z7" s="20">
        <v>266</v>
      </c>
      <c r="AA7" s="42">
        <f>AB3</f>
        <v>1.4527726657046</v>
      </c>
      <c r="AB7" s="38">
        <f>Z7/AA7</f>
        <v>183.098158631027</v>
      </c>
      <c r="AC7" s="20">
        <v>388</v>
      </c>
      <c r="AD7" s="42">
        <f>AE3</f>
        <v>15.7827846743375</v>
      </c>
      <c r="AE7" s="96">
        <f>AC7/AD7</f>
        <v>24.5837479257308</v>
      </c>
      <c r="AF7" s="20">
        <v>279</v>
      </c>
      <c r="AG7" s="42">
        <f>AH3</f>
        <v>15.3158140611558</v>
      </c>
      <c r="AH7" s="96">
        <f>AF7/AG7</f>
        <v>18.2164656012379</v>
      </c>
      <c r="AI7" s="20">
        <v>229</v>
      </c>
      <c r="AJ7" s="42">
        <f>AK3</f>
        <v>10.6224446946776</v>
      </c>
      <c r="AK7" s="96">
        <f>AI7/AJ7</f>
        <v>21.5581258911841</v>
      </c>
      <c r="AL7" s="20">
        <v>245</v>
      </c>
      <c r="AM7" s="42">
        <f>AN3</f>
        <v>3.07787783772179</v>
      </c>
      <c r="AN7" s="38">
        <f>AL7/AM7</f>
        <v>79.6003002449721</v>
      </c>
      <c r="AO7" s="20">
        <v>378</v>
      </c>
      <c r="AP7" s="42">
        <f>AQ3</f>
        <v>16.2187350255664</v>
      </c>
      <c r="AQ7" s="96">
        <f>AO7/AP7</f>
        <v>23.3063798997973</v>
      </c>
      <c r="AR7" s="20">
        <v>274</v>
      </c>
      <c r="AS7" s="42">
        <f>AT3</f>
        <v>17.2246141305904</v>
      </c>
      <c r="AT7" s="96">
        <f>AR7/AS7</f>
        <v>15.9074681106141</v>
      </c>
      <c r="AU7" s="20">
        <v>439</v>
      </c>
      <c r="AV7" s="42">
        <f>AW3</f>
        <v>14.7162510308778</v>
      </c>
      <c r="AW7" s="38">
        <f>AU7/AV7</f>
        <v>29.8309670770691</v>
      </c>
      <c r="AX7" s="20">
        <v>336</v>
      </c>
      <c r="AY7" s="42">
        <f>AZ3</f>
        <v>12.7464770049661</v>
      </c>
      <c r="AZ7" s="38">
        <f>AX7/AY7</f>
        <v>26.3602248581387</v>
      </c>
      <c r="BA7" s="20">
        <v>306</v>
      </c>
      <c r="BB7" s="42">
        <f>BC3</f>
        <v>25.251072750397</v>
      </c>
      <c r="BC7" s="96">
        <f>BA7/BB7</f>
        <v>12.1182970333484</v>
      </c>
      <c r="BD7" s="20">
        <v>232</v>
      </c>
      <c r="BE7" s="42">
        <f>BF3</f>
        <v>8.68171964357889</v>
      </c>
      <c r="BF7" s="38">
        <f>BD7/BE7</f>
        <v>26.7228163917491</v>
      </c>
      <c r="BG7" s="20">
        <v>264</v>
      </c>
      <c r="BH7" s="42">
        <f>BI3</f>
        <v>12.6474291205764</v>
      </c>
      <c r="BI7" s="96">
        <f>BG7/BH7</f>
        <v>20.8738074341522</v>
      </c>
    </row>
    <row r="8" ht="7" customHeight="1" spans="1:61">
      <c r="A8" s="2"/>
      <c r="B8" s="41"/>
      <c r="C8" s="2" t="s">
        <v>169</v>
      </c>
      <c r="D8" s="2"/>
      <c r="E8" s="20"/>
      <c r="F8" s="42"/>
      <c r="G8" s="96"/>
      <c r="H8" s="20"/>
      <c r="I8" s="42"/>
      <c r="J8" s="96"/>
      <c r="K8" s="20"/>
      <c r="L8" s="42"/>
      <c r="M8" s="96"/>
      <c r="N8" s="20"/>
      <c r="O8" s="42"/>
      <c r="P8" s="96"/>
      <c r="Q8" s="20"/>
      <c r="R8" s="42"/>
      <c r="S8" s="96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96"/>
      <c r="AF8" s="20"/>
      <c r="AG8" s="42"/>
      <c r="AH8" s="96"/>
      <c r="AI8" s="20"/>
      <c r="AJ8" s="42"/>
      <c r="AK8" s="96"/>
      <c r="AL8" s="20"/>
      <c r="AM8" s="42"/>
      <c r="AN8" s="38"/>
      <c r="AO8" s="20"/>
      <c r="AP8" s="42"/>
      <c r="AQ8" s="96"/>
      <c r="AR8" s="20"/>
      <c r="AS8" s="42"/>
      <c r="AT8" s="96"/>
      <c r="AU8" s="20"/>
      <c r="AV8" s="42"/>
      <c r="AW8" s="38"/>
      <c r="AX8" s="20"/>
      <c r="AY8" s="42"/>
      <c r="AZ8" s="38"/>
      <c r="BA8" s="20"/>
      <c r="BB8" s="42"/>
      <c r="BC8" s="96"/>
      <c r="BD8" s="20"/>
      <c r="BE8" s="42"/>
      <c r="BF8" s="38"/>
      <c r="BG8" s="20"/>
      <c r="BH8" s="42"/>
      <c r="BI8" s="96"/>
    </row>
    <row r="9" hidden="1" spans="1:61">
      <c r="A9" s="2"/>
      <c r="B9" s="2"/>
      <c r="C9" s="2"/>
      <c r="D9" s="2"/>
      <c r="E9" s="20"/>
      <c r="F9" s="42"/>
      <c r="G9" s="38"/>
      <c r="H9" s="20"/>
      <c r="I9" s="42"/>
      <c r="J9" s="38"/>
      <c r="K9" s="20"/>
      <c r="L9" s="42"/>
      <c r="M9" s="38"/>
      <c r="N9" s="20"/>
      <c r="O9" s="42"/>
      <c r="P9" s="38"/>
      <c r="Q9" s="20"/>
      <c r="R9" s="42"/>
      <c r="S9" s="38"/>
      <c r="T9" s="20"/>
      <c r="U9" s="42"/>
      <c r="V9" s="38"/>
      <c r="W9" s="20"/>
      <c r="X9" s="42"/>
      <c r="Y9" s="38"/>
      <c r="Z9" s="20"/>
      <c r="AA9" s="42"/>
      <c r="AB9" s="38"/>
      <c r="AC9" s="20"/>
      <c r="AD9" s="42"/>
      <c r="AE9" s="38"/>
      <c r="AF9" s="20"/>
      <c r="AG9" s="42"/>
      <c r="AH9" s="38"/>
      <c r="AI9" s="20"/>
      <c r="AJ9" s="42"/>
      <c r="AK9" s="38"/>
      <c r="AL9" s="20"/>
      <c r="AM9" s="42"/>
      <c r="AN9" s="38"/>
      <c r="AO9" s="20"/>
      <c r="AP9" s="42"/>
      <c r="AQ9" s="38"/>
      <c r="AR9" s="20"/>
      <c r="AS9" s="42"/>
      <c r="AT9" s="38"/>
      <c r="AU9" s="20"/>
      <c r="AV9" s="42"/>
      <c r="AW9" s="38"/>
      <c r="AX9" s="20"/>
      <c r="AY9" s="42"/>
      <c r="AZ9" s="38"/>
      <c r="BA9" s="20"/>
      <c r="BB9" s="42"/>
      <c r="BC9" s="38"/>
      <c r="BD9" s="20"/>
      <c r="BE9" s="42"/>
      <c r="BF9" s="38"/>
      <c r="BG9" s="20"/>
      <c r="BH9" s="42"/>
      <c r="BI9" s="38"/>
    </row>
    <row r="10" spans="1:61">
      <c r="A10" s="2">
        <v>3</v>
      </c>
      <c r="B10" s="2" t="s">
        <v>170</v>
      </c>
      <c r="C10" s="2" t="s">
        <v>171</v>
      </c>
      <c r="D10" s="2" t="s">
        <v>234</v>
      </c>
      <c r="E10" s="82">
        <f>E5</f>
        <v>5051419000</v>
      </c>
      <c r="F10" s="82">
        <v>4668029000</v>
      </c>
      <c r="G10" s="38">
        <f>((E10-F10)/F10)*100</f>
        <v>8.21310236076083</v>
      </c>
      <c r="H10" s="82">
        <f>H5</f>
        <v>4534099000</v>
      </c>
      <c r="I10" s="82">
        <v>3306552000</v>
      </c>
      <c r="J10" s="96">
        <f>((H10-I10)/I10)*100</f>
        <v>37.1246845656745</v>
      </c>
      <c r="K10" s="82">
        <f>K5</f>
        <v>3457636000</v>
      </c>
      <c r="L10" s="82">
        <v>2608464000</v>
      </c>
      <c r="M10" s="96">
        <f>((K10-L10)/L10)*100</f>
        <v>32.5544841715278</v>
      </c>
      <c r="N10" s="82">
        <f>N5</f>
        <v>4540005000</v>
      </c>
      <c r="O10" s="82">
        <v>3275277000</v>
      </c>
      <c r="P10" s="96">
        <f>((N10-O10)/O10)*100</f>
        <v>38.6143828445655</v>
      </c>
      <c r="Q10" s="82">
        <f>Q5</f>
        <v>2173776000</v>
      </c>
      <c r="R10" s="82">
        <v>2447122000</v>
      </c>
      <c r="S10" s="151">
        <f>((Q10-R10)/R10)*100</f>
        <v>-11.1701010411414</v>
      </c>
      <c r="T10" s="327">
        <f>T5</f>
        <v>156775959</v>
      </c>
      <c r="U10" s="327">
        <v>1914891670</v>
      </c>
      <c r="V10" s="151">
        <f>((T10-U10)/U10)*100</f>
        <v>-91.8128027054397</v>
      </c>
      <c r="W10" s="82">
        <f>W5</f>
        <v>1652163000</v>
      </c>
      <c r="X10" s="82">
        <v>1615903000</v>
      </c>
      <c r="Y10" s="38">
        <f>((W10-X10)/X10)*100</f>
        <v>2.24394657352576</v>
      </c>
      <c r="Z10" s="82">
        <f>Z5</f>
        <v>285823064</v>
      </c>
      <c r="AA10" s="82">
        <v>1052794525</v>
      </c>
      <c r="AB10" s="151">
        <f>((Z10-AA10)/AA10)*100</f>
        <v>-72.8510115494759</v>
      </c>
      <c r="AC10" s="327">
        <f>AC5</f>
        <v>1668260480</v>
      </c>
      <c r="AD10" s="327">
        <v>1684090729</v>
      </c>
      <c r="AE10" s="151">
        <f>((AC10-AD10)/AD10)*100</f>
        <v>-0.939987895390878</v>
      </c>
      <c r="AF10" s="82">
        <f>AF5</f>
        <v>2229304139</v>
      </c>
      <c r="AG10" s="82">
        <v>2878746221</v>
      </c>
      <c r="AH10" s="151">
        <f>((AF10-AG10)/AG10)*100</f>
        <v>-22.5598935141425</v>
      </c>
      <c r="AI10" s="82">
        <f>AI5</f>
        <v>1876060000</v>
      </c>
      <c r="AJ10" s="82">
        <v>1812458000</v>
      </c>
      <c r="AK10" s="38">
        <f>((AI10-AJ10)/AJ10)*100</f>
        <v>3.50915717771115</v>
      </c>
      <c r="AL10" s="82">
        <f>AL5</f>
        <v>500048141</v>
      </c>
      <c r="AM10" s="82">
        <v>1948181222</v>
      </c>
      <c r="AN10" s="151">
        <f>((AL10-AM10)/AM10)*100</f>
        <v>-74.3325654023782</v>
      </c>
      <c r="AO10" s="82">
        <f>AO5</f>
        <v>1652476832</v>
      </c>
      <c r="AP10" s="82">
        <v>1439442806</v>
      </c>
      <c r="AQ10" s="96">
        <f>((AO10-AP10)/AP10)*100</f>
        <v>14.7997562051104</v>
      </c>
      <c r="AR10" s="82">
        <f>AR5</f>
        <v>2373289000</v>
      </c>
      <c r="AS10" s="82">
        <v>2241595000</v>
      </c>
      <c r="AT10" s="38">
        <f>((AR10-AS10)/AS10)*100</f>
        <v>5.87501310450817</v>
      </c>
      <c r="AU10" s="82">
        <f>AU5</f>
        <v>1203261404</v>
      </c>
      <c r="AV10" s="82">
        <v>1164177868</v>
      </c>
      <c r="AW10" s="38">
        <f>((AU10-AV10)/AV10)*100</f>
        <v>3.35717909387365</v>
      </c>
      <c r="AX10" s="82">
        <f>AX5</f>
        <v>1844360364</v>
      </c>
      <c r="AY10" s="82">
        <v>2053166226</v>
      </c>
      <c r="AZ10" s="151">
        <f>((AX10-AY10)/AY10)*100</f>
        <v>-10.1699443209134</v>
      </c>
      <c r="BA10" s="82">
        <f>BA5</f>
        <v>2783494683</v>
      </c>
      <c r="BB10" s="82">
        <v>130509106</v>
      </c>
      <c r="BC10" s="96">
        <f>((BA10-BB10)/BB10)*100</f>
        <v>2032.79729538566</v>
      </c>
      <c r="BD10" s="82">
        <f>BD5</f>
        <v>961893694</v>
      </c>
      <c r="BE10" s="82">
        <v>1211416812</v>
      </c>
      <c r="BF10" s="151">
        <f>((BD10-BE10)/BE10)*100</f>
        <v>-20.5976271361174</v>
      </c>
      <c r="BG10" s="82">
        <f>BG5</f>
        <v>1102627843</v>
      </c>
      <c r="BH10" s="82">
        <v>834411246</v>
      </c>
      <c r="BI10" s="96">
        <f>((BG10-BH10)/BH10)*100</f>
        <v>32.1444129960827</v>
      </c>
    </row>
    <row r="11" hidden="1" spans="1:61">
      <c r="A11" s="2"/>
      <c r="E11" s="45"/>
      <c r="G11" s="40"/>
      <c r="H11" s="45"/>
      <c r="J11" s="40"/>
      <c r="K11" s="45"/>
      <c r="M11" s="40"/>
      <c r="N11" s="45"/>
      <c r="P11" s="40"/>
      <c r="Q11" s="45"/>
      <c r="S11" s="40"/>
      <c r="T11" s="45"/>
      <c r="V11" s="40"/>
      <c r="W11" s="45"/>
      <c r="Y11" s="40"/>
      <c r="Z11" s="45"/>
      <c r="AB11" s="40"/>
      <c r="AC11" s="45"/>
      <c r="AE11" s="40"/>
      <c r="AF11" s="45"/>
      <c r="AH11" s="40"/>
      <c r="AI11" s="45"/>
      <c r="AK11" s="40"/>
      <c r="AL11" s="45"/>
      <c r="AN11" s="40"/>
      <c r="AO11" s="45"/>
      <c r="AQ11" s="40"/>
      <c r="AR11" s="45"/>
      <c r="AT11" s="40"/>
      <c r="AU11" s="45"/>
      <c r="AW11" s="40"/>
      <c r="AX11" s="45"/>
      <c r="AZ11" s="40"/>
      <c r="BA11" s="45"/>
      <c r="BC11" s="40"/>
      <c r="BD11" s="45"/>
      <c r="BE11" s="82"/>
      <c r="BF11" s="40"/>
      <c r="BG11" s="45"/>
      <c r="BH11" s="82"/>
      <c r="BI11" s="40"/>
    </row>
    <row r="12" hidden="1" spans="1:61">
      <c r="A12" s="2">
        <v>4</v>
      </c>
      <c r="B12" s="2" t="s">
        <v>173</v>
      </c>
      <c r="C12" s="41" t="s">
        <v>174</v>
      </c>
      <c r="D12" s="41" t="s">
        <v>172</v>
      </c>
      <c r="E12" s="20">
        <v>61246639000</v>
      </c>
      <c r="F12" s="20">
        <v>58676934000</v>
      </c>
      <c r="G12" s="44">
        <f>(E12-F12)/F12</f>
        <v>0.0437941253031387</v>
      </c>
      <c r="H12" s="20">
        <v>66117947000</v>
      </c>
      <c r="I12" s="20">
        <v>61407148000</v>
      </c>
      <c r="J12" s="44">
        <f>(H12-I12)/I12</f>
        <v>0.0767141799192498</v>
      </c>
      <c r="K12" s="20">
        <v>30480623000</v>
      </c>
      <c r="L12" s="20">
        <v>27804784000</v>
      </c>
      <c r="M12" s="44">
        <f>(K12-L12)/L12</f>
        <v>0.096236640428496</v>
      </c>
      <c r="N12" s="20">
        <v>64978007000</v>
      </c>
      <c r="O12" s="20">
        <v>60172457000</v>
      </c>
      <c r="P12" s="44">
        <f>(N12-O12)/O12</f>
        <v>0.0798629512502705</v>
      </c>
      <c r="Q12" s="20">
        <v>20931750000</v>
      </c>
      <c r="R12" s="20">
        <v>20518823000</v>
      </c>
      <c r="S12" s="44">
        <f>(Q12-R12)/R12</f>
        <v>0.0201243024514613</v>
      </c>
      <c r="T12" s="20">
        <v>29730663404</v>
      </c>
      <c r="U12" s="20">
        <v>29519508832</v>
      </c>
      <c r="V12" s="44">
        <f>(T12-U12)/U12</f>
        <v>0.0071530516717508</v>
      </c>
      <c r="W12" s="20">
        <v>42888818000</v>
      </c>
      <c r="X12" s="20">
        <v>40501437000</v>
      </c>
      <c r="Y12" s="44">
        <f>(W12-X12)/X12</f>
        <v>0.0589455875355731</v>
      </c>
      <c r="Z12" s="20">
        <v>35256260461</v>
      </c>
      <c r="AA12" s="20">
        <v>34803199422</v>
      </c>
      <c r="AB12" s="44">
        <f>(Z12-AA12)/AA12</f>
        <v>0.0130177985508312</v>
      </c>
      <c r="AC12" s="20">
        <v>29233303500</v>
      </c>
      <c r="AD12" s="20">
        <v>28069293475</v>
      </c>
      <c r="AE12" s="44">
        <f>(AC12-AD12)/AD12</f>
        <v>0.0414691600996915</v>
      </c>
      <c r="AF12" s="20">
        <v>31943279506</v>
      </c>
      <c r="AG12" s="20">
        <v>30652346593</v>
      </c>
      <c r="AH12" s="44">
        <f>(AF12-AG12)/AG12</f>
        <v>0.0421153045847004</v>
      </c>
      <c r="AI12" s="20">
        <v>34674717000</v>
      </c>
      <c r="AJ12" s="20">
        <v>32639713000</v>
      </c>
      <c r="AK12" s="44">
        <f>(AI12-AJ12)/AJ12</f>
        <v>0.0623474844892172</v>
      </c>
      <c r="AL12" s="20">
        <v>37192059696</v>
      </c>
      <c r="AM12" s="20">
        <v>36623080662</v>
      </c>
      <c r="AN12" s="44">
        <f>(AL12-AM12)/AM12</f>
        <v>0.0155360778971926</v>
      </c>
      <c r="AO12" s="20">
        <v>21909734438</v>
      </c>
      <c r="AP12" s="20">
        <v>20923649123</v>
      </c>
      <c r="AQ12" s="44">
        <f>(AO12-AP12)/AP12</f>
        <v>0.0471277887142573</v>
      </c>
      <c r="AR12" s="20">
        <v>31569532000</v>
      </c>
      <c r="AS12" s="20">
        <v>28971511000</v>
      </c>
      <c r="AT12" s="44">
        <f>(AR12-AS12)/AS12</f>
        <v>0.0896750259246057</v>
      </c>
      <c r="AU12" s="20">
        <v>19954488650</v>
      </c>
      <c r="AV12" s="20">
        <v>19455940141</v>
      </c>
      <c r="AW12" s="44">
        <f>(AU12-AV12)/AV12</f>
        <v>0.025624488222463</v>
      </c>
      <c r="AX12" s="20">
        <v>36695551794</v>
      </c>
      <c r="AY12" s="20">
        <v>36139947720</v>
      </c>
      <c r="AZ12" s="44">
        <f>(AX12-AY12)/AY12</f>
        <v>0.0153736822837883</v>
      </c>
      <c r="BA12" s="20">
        <v>38313647327</v>
      </c>
      <c r="BB12" s="20">
        <v>35635691419</v>
      </c>
      <c r="BC12" s="44">
        <f>(BA12-BB12)/BB12</f>
        <v>0.0751481394457296</v>
      </c>
      <c r="BD12" s="20">
        <v>22559014001</v>
      </c>
      <c r="BE12" s="20">
        <v>21574365910</v>
      </c>
      <c r="BF12" s="44">
        <f>(BD12-BE12)/BE12</f>
        <v>0.0456397233229275</v>
      </c>
      <c r="BG12" s="20">
        <v>18156028753</v>
      </c>
      <c r="BH12" s="20">
        <v>17113733764</v>
      </c>
      <c r="BI12" s="44">
        <f>(BG12-BH12)/BH12</f>
        <v>0.0609040086385207</v>
      </c>
    </row>
    <row r="13" ht="5.5" hidden="1" customHeight="1" spans="1:61">
      <c r="A13" s="2"/>
      <c r="B13" s="2"/>
      <c r="C13" s="41"/>
      <c r="D13" s="41"/>
      <c r="E13" s="20"/>
      <c r="F13" s="20"/>
      <c r="G13" s="44"/>
      <c r="H13" s="20"/>
      <c r="I13" s="20"/>
      <c r="J13" s="44"/>
      <c r="K13" s="20"/>
      <c r="L13" s="20"/>
      <c r="M13" s="44"/>
      <c r="N13" s="20"/>
      <c r="O13" s="20"/>
      <c r="P13" s="44"/>
      <c r="Q13" s="20"/>
      <c r="R13" s="20"/>
      <c r="S13" s="44"/>
      <c r="T13" s="20"/>
      <c r="U13" s="20"/>
      <c r="V13" s="44"/>
      <c r="W13" s="20"/>
      <c r="X13" s="20"/>
      <c r="Y13" s="44"/>
      <c r="Z13" s="20"/>
      <c r="AA13" s="20"/>
      <c r="AB13" s="44"/>
      <c r="AC13" s="20"/>
      <c r="AD13" s="20"/>
      <c r="AE13" s="44"/>
      <c r="AF13" s="20"/>
      <c r="AG13" s="20"/>
      <c r="AH13" s="44"/>
      <c r="AI13" s="20"/>
      <c r="AJ13" s="20"/>
      <c r="AK13" s="44"/>
      <c r="AL13" s="20"/>
      <c r="AM13" s="20"/>
      <c r="AN13" s="44"/>
      <c r="AO13" s="20"/>
      <c r="AP13" s="20"/>
      <c r="AQ13" s="44"/>
      <c r="AR13" s="20"/>
      <c r="AS13" s="20"/>
      <c r="AT13" s="44"/>
      <c r="AU13" s="20"/>
      <c r="AV13" s="20"/>
      <c r="AW13" s="44"/>
      <c r="AX13" s="20"/>
      <c r="AY13" s="20"/>
      <c r="AZ13" s="44"/>
      <c r="BA13" s="20"/>
      <c r="BB13" s="20"/>
      <c r="BC13" s="44"/>
      <c r="BD13" s="20"/>
      <c r="BE13" s="20"/>
      <c r="BF13" s="44"/>
      <c r="BG13" s="20"/>
      <c r="BH13" s="20"/>
      <c r="BI13" s="44"/>
    </row>
    <row r="14" hidden="1" spans="1:61">
      <c r="A14" s="2"/>
      <c r="C14" s="6"/>
      <c r="D14" s="2"/>
      <c r="E14" s="83"/>
      <c r="F14" s="2"/>
      <c r="G14" s="80"/>
      <c r="H14" s="83"/>
      <c r="I14" s="2"/>
      <c r="J14" s="80"/>
      <c r="K14" s="83"/>
      <c r="L14" s="2"/>
      <c r="M14" s="80"/>
      <c r="N14" s="83"/>
      <c r="O14" s="2"/>
      <c r="P14" s="80"/>
      <c r="Q14" s="83"/>
      <c r="R14" s="2"/>
      <c r="S14" s="80"/>
      <c r="T14" s="83"/>
      <c r="U14" s="2"/>
      <c r="V14" s="80"/>
      <c r="W14" s="83"/>
      <c r="X14" s="2"/>
      <c r="Y14" s="80"/>
      <c r="Z14" s="83"/>
      <c r="AA14" s="2"/>
      <c r="AB14" s="80"/>
      <c r="AC14" s="83"/>
      <c r="AD14" s="2"/>
      <c r="AE14" s="80"/>
      <c r="AF14" s="83"/>
      <c r="AG14" s="2"/>
      <c r="AH14" s="80"/>
      <c r="AI14" s="83"/>
      <c r="AJ14" s="2"/>
      <c r="AK14" s="80"/>
      <c r="AL14" s="83"/>
      <c r="AM14" s="2"/>
      <c r="AN14" s="80"/>
      <c r="AO14" s="83"/>
      <c r="AP14" s="2"/>
      <c r="AQ14" s="80"/>
      <c r="AR14" s="83"/>
      <c r="AS14" s="2"/>
      <c r="AT14" s="80"/>
      <c r="AU14" s="83"/>
      <c r="AV14" s="2"/>
      <c r="AW14" s="80"/>
      <c r="AX14" s="83"/>
      <c r="AY14" s="2"/>
      <c r="AZ14" s="80"/>
      <c r="BA14" s="83"/>
      <c r="BB14" s="2"/>
      <c r="BC14" s="80"/>
      <c r="BD14" s="83"/>
      <c r="BE14" s="2"/>
      <c r="BF14" s="80"/>
      <c r="BG14" s="83"/>
      <c r="BH14" s="2"/>
      <c r="BI14" s="80"/>
    </row>
    <row r="15" spans="1:61">
      <c r="A15" s="2">
        <v>5</v>
      </c>
      <c r="B15" s="2" t="s">
        <v>94</v>
      </c>
      <c r="C15" s="37" t="s">
        <v>161</v>
      </c>
      <c r="D15" s="2" t="s">
        <v>234</v>
      </c>
      <c r="E15" s="20">
        <f>E3</f>
        <v>6733541527</v>
      </c>
      <c r="F15" s="20">
        <f>E12</f>
        <v>61246639000</v>
      </c>
      <c r="G15" s="96">
        <f>(E15/F15)*100</f>
        <v>10.9941404735695</v>
      </c>
      <c r="H15" s="20">
        <f>H3</f>
        <v>6043953967</v>
      </c>
      <c r="I15" s="20">
        <f>H12</f>
        <v>66117947000</v>
      </c>
      <c r="J15" s="38">
        <f>(H15/I15)*100</f>
        <v>9.1411700472188</v>
      </c>
      <c r="K15" s="20">
        <f>K3</f>
        <v>4609028788</v>
      </c>
      <c r="L15" s="20">
        <f>K12</f>
        <v>30480623000</v>
      </c>
      <c r="M15" s="96">
        <f>(K15/L15)*100</f>
        <v>15.121176453644</v>
      </c>
      <c r="N15" s="20">
        <f>N3</f>
        <v>6051826665</v>
      </c>
      <c r="O15" s="20">
        <f>N12</f>
        <v>64978007000</v>
      </c>
      <c r="P15" s="38">
        <f>(N15/O15)*100</f>
        <v>9.31365387214785</v>
      </c>
      <c r="Q15" s="20">
        <f>Q3</f>
        <v>2897643408</v>
      </c>
      <c r="R15" s="20">
        <f>Q12</f>
        <v>20931750000</v>
      </c>
      <c r="S15" s="96">
        <f>(Q15/R15)*100</f>
        <v>13.84329264395</v>
      </c>
      <c r="T15" s="20">
        <f>T3</f>
        <v>208982353.347</v>
      </c>
      <c r="U15" s="20">
        <f>T12</f>
        <v>29730663404</v>
      </c>
      <c r="V15" s="38">
        <f>(T15/U15)*100</f>
        <v>0.702918567632377</v>
      </c>
      <c r="W15" s="20">
        <f>W3</f>
        <v>2202333279</v>
      </c>
      <c r="X15" s="20">
        <f>W12</f>
        <v>42888818000</v>
      </c>
      <c r="Y15" s="38">
        <f>(W15/X15)*100</f>
        <v>5.13498245393473</v>
      </c>
      <c r="Z15" s="20">
        <f>Z3</f>
        <v>381002144.312</v>
      </c>
      <c r="AA15" s="20">
        <f>Z12</f>
        <v>35256260461</v>
      </c>
      <c r="AB15" s="38">
        <f>(Z15/AA15)*100</f>
        <v>1.08066521897142</v>
      </c>
      <c r="AC15" s="20">
        <f>AC3</f>
        <v>2223791219.84</v>
      </c>
      <c r="AD15" s="20">
        <f>AC12</f>
        <v>29233303500</v>
      </c>
      <c r="AE15" s="38">
        <f>(AC15/AD15)*100</f>
        <v>7.60704728372556</v>
      </c>
      <c r="AF15" s="20">
        <f>AF3</f>
        <v>2971662417.287</v>
      </c>
      <c r="AG15" s="20">
        <f>AF12</f>
        <v>31943279506</v>
      </c>
      <c r="AH15" s="38">
        <f>(AF15/AG15)*100</f>
        <v>9.30293464930181</v>
      </c>
      <c r="AI15" s="20">
        <f>AI3</f>
        <v>2500787980</v>
      </c>
      <c r="AJ15" s="20">
        <f>AI12</f>
        <v>34674717000</v>
      </c>
      <c r="AK15" s="38">
        <f>(AI15/AJ15)*100</f>
        <v>7.21213667007001</v>
      </c>
      <c r="AL15" s="20">
        <f>AL3</f>
        <v>666564171.953</v>
      </c>
      <c r="AM15" s="20">
        <f>AL12</f>
        <v>37192059696</v>
      </c>
      <c r="AN15" s="38">
        <f>(AL15/AM15)*100</f>
        <v>1.79222171990837</v>
      </c>
      <c r="AO15" s="20">
        <f>AO3</f>
        <v>2202751617.056</v>
      </c>
      <c r="AP15" s="20">
        <f>AO12</f>
        <v>21909734438</v>
      </c>
      <c r="AQ15" s="96">
        <f>(AO15/AP15)*100</f>
        <v>10.0537577180104</v>
      </c>
      <c r="AR15" s="20">
        <f>AR3</f>
        <v>3163594237</v>
      </c>
      <c r="AS15" s="20">
        <f>AR12</f>
        <v>31569532000</v>
      </c>
      <c r="AT15" s="96">
        <f>(AR15/AS15)*100</f>
        <v>10.0210362225199</v>
      </c>
      <c r="AU15" s="20">
        <f>AU3</f>
        <v>1603947451.532</v>
      </c>
      <c r="AV15" s="20">
        <f>AU12</f>
        <v>19954488650</v>
      </c>
      <c r="AW15" s="38">
        <f>(AU15/AV15)*100</f>
        <v>8.03802833370025</v>
      </c>
      <c r="AX15" s="20">
        <f>AX3</f>
        <v>2458532365.212</v>
      </c>
      <c r="AY15" s="20">
        <f>AX12</f>
        <v>36695551794</v>
      </c>
      <c r="AZ15" s="38">
        <f>(AX15/AY15)*100</f>
        <v>6.69981031764724</v>
      </c>
      <c r="BA15" s="20">
        <f>BA3</f>
        <v>3710398412.439</v>
      </c>
      <c r="BB15" s="20">
        <f>BA12</f>
        <v>38313647327</v>
      </c>
      <c r="BC15" s="38">
        <f>(BA15/BB15)*100</f>
        <v>9.68427354558919</v>
      </c>
      <c r="BD15" s="20">
        <f>BD3</f>
        <v>1282204294.102</v>
      </c>
      <c r="BE15" s="20">
        <f>BD12</f>
        <v>22559014001</v>
      </c>
      <c r="BF15" s="38">
        <f>(BD15/BE15)*100</f>
        <v>5.68377808553673</v>
      </c>
      <c r="BG15" s="20">
        <f>BG3</f>
        <v>1469802914.719</v>
      </c>
      <c r="BH15" s="20">
        <f>BG12</f>
        <v>18156028753</v>
      </c>
      <c r="BI15" s="38">
        <f>(BG15/BH15)*100</f>
        <v>8.09539869491635</v>
      </c>
    </row>
    <row r="16" ht="5" customHeight="1" spans="1:61">
      <c r="A16" s="2"/>
      <c r="B16" s="2"/>
      <c r="C16" s="2" t="s">
        <v>176</v>
      </c>
      <c r="D16" s="2"/>
      <c r="E16" s="20"/>
      <c r="F16" s="2"/>
      <c r="G16" s="96"/>
      <c r="H16" s="20"/>
      <c r="I16" s="2"/>
      <c r="J16" s="38"/>
      <c r="K16" s="20"/>
      <c r="L16" s="2"/>
      <c r="M16" s="96"/>
      <c r="N16" s="20"/>
      <c r="O16" s="2"/>
      <c r="P16" s="38"/>
      <c r="Q16" s="20"/>
      <c r="R16" s="2"/>
      <c r="S16" s="96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20"/>
      <c r="AM16" s="2"/>
      <c r="AN16" s="38"/>
      <c r="AO16" s="20"/>
      <c r="AP16" s="2"/>
      <c r="AQ16" s="96"/>
      <c r="AR16" s="20"/>
      <c r="AS16" s="2"/>
      <c r="AT16" s="96"/>
      <c r="AU16" s="20"/>
      <c r="AV16" s="2"/>
      <c r="AW16" s="38"/>
      <c r="AX16" s="20"/>
      <c r="AY16" s="2"/>
      <c r="AZ16" s="38"/>
      <c r="BA16" s="20"/>
      <c r="BB16" s="2"/>
      <c r="BC16" s="38"/>
      <c r="BD16" s="20"/>
      <c r="BE16" s="2"/>
      <c r="BF16" s="38"/>
      <c r="BG16" s="20"/>
      <c r="BH16" s="2"/>
      <c r="BI16" s="38"/>
    </row>
    <row r="17" hidden="1" spans="1:61">
      <c r="A17" s="2"/>
      <c r="B17" s="2"/>
      <c r="C17" s="2"/>
      <c r="D17" s="2"/>
      <c r="E17" s="20"/>
      <c r="F17" s="2"/>
      <c r="G17" s="38"/>
      <c r="H17" s="20"/>
      <c r="I17" s="2"/>
      <c r="J17" s="38"/>
      <c r="K17" s="20"/>
      <c r="L17" s="2"/>
      <c r="M17" s="38"/>
      <c r="N17" s="20"/>
      <c r="O17" s="2"/>
      <c r="P17" s="38"/>
      <c r="Q17" s="20"/>
      <c r="R17" s="2"/>
      <c r="S17" s="38"/>
      <c r="T17" s="20"/>
      <c r="U17" s="2"/>
      <c r="V17" s="38"/>
      <c r="W17" s="20"/>
      <c r="X17" s="2"/>
      <c r="Y17" s="38"/>
      <c r="Z17" s="20"/>
      <c r="AA17" s="2"/>
      <c r="AB17" s="38"/>
      <c r="AC17" s="20"/>
      <c r="AD17" s="2"/>
      <c r="AE17" s="38"/>
      <c r="AF17" s="20"/>
      <c r="AG17" s="2"/>
      <c r="AH17" s="38"/>
      <c r="AI17" s="20"/>
      <c r="AJ17" s="2"/>
      <c r="AK17" s="38"/>
      <c r="AL17" s="20"/>
      <c r="AM17" s="2"/>
      <c r="AN17" s="38"/>
      <c r="AO17" s="20"/>
      <c r="AP17" s="2"/>
      <c r="AQ17" s="38"/>
      <c r="AR17" s="20"/>
      <c r="AS17" s="2"/>
      <c r="AT17" s="38"/>
      <c r="AU17" s="20"/>
      <c r="AV17" s="2"/>
      <c r="AW17" s="38"/>
      <c r="AX17" s="20"/>
      <c r="AY17" s="2"/>
      <c r="AZ17" s="38"/>
      <c r="BA17" s="20"/>
      <c r="BB17" s="2"/>
      <c r="BC17" s="38"/>
      <c r="BD17" s="20"/>
      <c r="BE17" s="2"/>
      <c r="BF17" s="38"/>
      <c r="BG17" s="20"/>
      <c r="BH17" s="2"/>
      <c r="BI17" s="38"/>
    </row>
    <row r="18" ht="14" customHeight="1" spans="1:61">
      <c r="A18" s="2">
        <v>6</v>
      </c>
      <c r="B18" s="2" t="s">
        <v>177</v>
      </c>
      <c r="C18" s="2" t="s">
        <v>171</v>
      </c>
      <c r="D18" s="41" t="s">
        <v>235</v>
      </c>
      <c r="E18" s="20">
        <v>401162306000</v>
      </c>
      <c r="F18" s="20">
        <v>373574157000</v>
      </c>
      <c r="G18" s="96">
        <f>((E18-F18)/F18)*100</f>
        <v>7.38491902693365</v>
      </c>
      <c r="H18" s="20">
        <v>413286442000</v>
      </c>
      <c r="I18" s="20">
        <v>369424519000</v>
      </c>
      <c r="J18" s="96">
        <f>((H18-I18)/I18)*100</f>
        <v>11.8730405655614</v>
      </c>
      <c r="K18" s="20">
        <v>216173965000</v>
      </c>
      <c r="L18" s="20">
        <v>178215399000</v>
      </c>
      <c r="M18" s="96">
        <f>((K18-L18)/L18)*100</f>
        <v>21.2992626972712</v>
      </c>
      <c r="N18" s="20">
        <v>327823499000</v>
      </c>
      <c r="O18" s="20">
        <v>305494819000</v>
      </c>
      <c r="P18" s="96">
        <f>((N18-O18)/O18)*100</f>
        <v>7.30902084463828</v>
      </c>
      <c r="Q18" s="20">
        <v>77257645000</v>
      </c>
      <c r="R18" s="20">
        <v>81142517000</v>
      </c>
      <c r="S18" s="151">
        <f>((Q18-R18)/R18)*100</f>
        <v>-4.78771443582407</v>
      </c>
      <c r="T18" s="328">
        <v>233434321797</v>
      </c>
      <c r="U18" s="328">
        <v>271253725413</v>
      </c>
      <c r="V18" s="151">
        <f>((T18-U18)/U18)*100</f>
        <v>-13.9424457888708</v>
      </c>
      <c r="W18" s="20">
        <v>276046193000</v>
      </c>
      <c r="X18" s="20">
        <v>247408112000</v>
      </c>
      <c r="Y18" s="96">
        <f>((W18-X18)/X18)*100</f>
        <v>11.5752392953065</v>
      </c>
      <c r="Z18" s="20">
        <v>264426345524</v>
      </c>
      <c r="AA18" s="20">
        <v>268431270470</v>
      </c>
      <c r="AB18" s="151">
        <f>((Z18-AA18)/AA18)*100</f>
        <v>-1.49197406806879</v>
      </c>
      <c r="AC18" s="20">
        <v>207935280392</v>
      </c>
      <c r="AD18" s="20">
        <v>195473382509</v>
      </c>
      <c r="AE18" s="96">
        <f>((AC18-AD18)/AD18)*100</f>
        <v>6.37524031305195</v>
      </c>
      <c r="AF18" s="20">
        <v>205242089777</v>
      </c>
      <c r="AG18" s="20">
        <v>181029569181</v>
      </c>
      <c r="AH18" s="96">
        <f>((AF18-AG18)/AG18)*100</f>
        <v>13.3748982033932</v>
      </c>
      <c r="AI18" s="20">
        <v>223342080000</v>
      </c>
      <c r="AJ18" s="20">
        <v>221045599000</v>
      </c>
      <c r="AK18" s="38">
        <f>((AI18-AJ18)/AJ18)*100</f>
        <v>1.03891731406966</v>
      </c>
      <c r="AL18" s="20">
        <v>233534866447</v>
      </c>
      <c r="AM18" s="20">
        <v>230239742835</v>
      </c>
      <c r="AN18" s="38">
        <f>((AL18-AM18)/AM18)*100</f>
        <v>1.43117064474895</v>
      </c>
      <c r="AO18" s="20">
        <v>173096650445</v>
      </c>
      <c r="AP18" s="20">
        <v>159414737417</v>
      </c>
      <c r="AQ18" s="96">
        <f>((AO18-AP18)/AP18)*100</f>
        <v>8.5825898217996</v>
      </c>
      <c r="AR18" s="20">
        <v>225630657000</v>
      </c>
      <c r="AS18" s="20">
        <v>194304186000</v>
      </c>
      <c r="AT18" s="96">
        <f>((AR18-AS18)/AS18)*100</f>
        <v>16.1223860612041</v>
      </c>
      <c r="AU18" s="20">
        <v>135248575818</v>
      </c>
      <c r="AV18" s="20">
        <v>125979115095</v>
      </c>
      <c r="AW18" s="96">
        <f>((AU18-AV18)/AV18)*100</f>
        <v>7.35793446081119</v>
      </c>
      <c r="AX18" s="20">
        <v>207239517431</v>
      </c>
      <c r="AY18" s="20">
        <v>203617049861</v>
      </c>
      <c r="AZ18" s="38">
        <f>((AX18-AY18)/AY18)*100</f>
        <v>1.77905905840051</v>
      </c>
      <c r="BA18" s="20">
        <v>216009359057</v>
      </c>
      <c r="BB18" s="20">
        <v>194667770477</v>
      </c>
      <c r="BC18" s="96">
        <f>((BA18-BB18)/BB18)*100</f>
        <v>10.9630826549799</v>
      </c>
      <c r="BD18" s="20">
        <v>167764275407</v>
      </c>
      <c r="BE18" s="20">
        <v>153343650160</v>
      </c>
      <c r="BF18" s="96">
        <f>((BD18-BE18)/BE18)*100</f>
        <v>9.40412285213858</v>
      </c>
      <c r="BG18" s="20">
        <v>140615040523</v>
      </c>
      <c r="BH18" s="20">
        <v>126754174782</v>
      </c>
      <c r="BI18" s="96">
        <f>((BG18-BH18)/BH18)*100</f>
        <v>10.9352340976846</v>
      </c>
    </row>
    <row r="19" hidden="1" spans="1:61">
      <c r="A19" s="2"/>
      <c r="B19" s="2"/>
      <c r="C19" s="2"/>
      <c r="D19" s="2"/>
      <c r="E19" s="20"/>
      <c r="F19" s="2"/>
      <c r="G19" s="38"/>
      <c r="H19" s="20"/>
      <c r="I19" s="2"/>
      <c r="J19" s="38"/>
      <c r="K19" s="20"/>
      <c r="L19" s="2"/>
      <c r="M19" s="38"/>
      <c r="N19" s="20"/>
      <c r="O19" s="2"/>
      <c r="P19" s="38"/>
      <c r="Q19" s="20"/>
      <c r="R19" s="2"/>
      <c r="S19" s="38"/>
      <c r="T19" s="20"/>
      <c r="U19" s="2"/>
      <c r="V19" s="38"/>
      <c r="W19" s="20"/>
      <c r="X19" s="2"/>
      <c r="Y19" s="38"/>
      <c r="Z19" s="20"/>
      <c r="AA19" s="2"/>
      <c r="AB19" s="38"/>
      <c r="AC19" s="20"/>
      <c r="AD19" s="2"/>
      <c r="AE19" s="38"/>
      <c r="AF19" s="20"/>
      <c r="AG19" s="2"/>
      <c r="AH19" s="38"/>
      <c r="AI19" s="20"/>
      <c r="AJ19" s="2"/>
      <c r="AK19" s="38"/>
      <c r="AL19" s="20"/>
      <c r="AM19" s="2"/>
      <c r="AN19" s="38"/>
      <c r="AO19" s="20"/>
      <c r="AP19" s="2"/>
      <c r="AQ19" s="38"/>
      <c r="AR19" s="20"/>
      <c r="AS19" s="2"/>
      <c r="AT19" s="38"/>
      <c r="AU19" s="20"/>
      <c r="AV19" s="2"/>
      <c r="AW19" s="38"/>
      <c r="AX19" s="20"/>
      <c r="AY19" s="2"/>
      <c r="AZ19" s="38"/>
      <c r="BA19" s="20"/>
      <c r="BB19" s="2"/>
      <c r="BC19" s="38"/>
      <c r="BD19" s="20"/>
      <c r="BE19" s="2"/>
      <c r="BF19" s="38"/>
      <c r="BG19" s="20"/>
      <c r="BH19" s="2"/>
      <c r="BI19" s="38"/>
    </row>
    <row r="20" spans="1:61">
      <c r="A20" s="2">
        <v>7</v>
      </c>
      <c r="B20" s="6" t="s">
        <v>179</v>
      </c>
      <c r="C20" s="2" t="s">
        <v>171</v>
      </c>
      <c r="D20" s="2" t="s">
        <v>235</v>
      </c>
      <c r="E20" s="20">
        <v>502106195000</v>
      </c>
      <c r="F20" s="20">
        <v>462097419000</v>
      </c>
      <c r="G20" s="96">
        <f>((E20-F20)/F20)*100</f>
        <v>8.65808255033772</v>
      </c>
      <c r="H20" s="20">
        <v>517668834000</v>
      </c>
      <c r="I20" s="20">
        <v>487455855000</v>
      </c>
      <c r="J20" s="96">
        <f>((H20-I20)/I20)*100</f>
        <v>6.19809541522483</v>
      </c>
      <c r="K20" s="20">
        <v>266439185000</v>
      </c>
      <c r="L20" s="20">
        <v>232316605000</v>
      </c>
      <c r="M20" s="96">
        <f>((K20-L20)/L20)*100</f>
        <v>14.6879642976876</v>
      </c>
      <c r="N20" s="20">
        <v>455890952000</v>
      </c>
      <c r="O20" s="20">
        <v>403416956000</v>
      </c>
      <c r="P20" s="96">
        <f>((N20-O20)/O20)*100</f>
        <v>13.0073848457674</v>
      </c>
      <c r="Q20" s="20">
        <v>122603744000</v>
      </c>
      <c r="R20" s="20">
        <v>112483887000</v>
      </c>
      <c r="S20" s="96">
        <f>((Q20-R20)/R20)*100</f>
        <v>8.99671701423334</v>
      </c>
      <c r="T20" s="20">
        <v>294060129588</v>
      </c>
      <c r="U20" s="20">
        <v>354096864840</v>
      </c>
      <c r="V20" s="151">
        <f>((T20-U20)/U20)*100</f>
        <v>-16.9548903741714</v>
      </c>
      <c r="W20" s="20">
        <v>344203067000</v>
      </c>
      <c r="X20" s="20">
        <v>328931512000</v>
      </c>
      <c r="Y20" s="38">
        <f>((W20-X20)/X20)*100</f>
        <v>4.64277651817075</v>
      </c>
      <c r="Z20" s="20">
        <v>350079224200</v>
      </c>
      <c r="AA20" s="20">
        <v>333111322485</v>
      </c>
      <c r="AB20" s="96">
        <f>((Z20-AA20)/AA20)*100</f>
        <v>5.09376312651878</v>
      </c>
      <c r="AC20" s="20">
        <v>247642460803</v>
      </c>
      <c r="AD20" s="20">
        <v>241329082024</v>
      </c>
      <c r="AE20" s="38">
        <f>((AC20-AD20)/AD20)*100</f>
        <v>2.61608701531137</v>
      </c>
      <c r="AF20" s="20">
        <v>244802427740</v>
      </c>
      <c r="AG20" s="20">
        <v>211160276034</v>
      </c>
      <c r="AH20" s="96">
        <f>((AF20-AG20)/AG20)*100</f>
        <v>15.9320457132681</v>
      </c>
      <c r="AI20" s="20">
        <v>320520512000</v>
      </c>
      <c r="AJ20" s="20">
        <v>305012852000</v>
      </c>
      <c r="AK20" s="96">
        <f>((AI20-AJ20)/AJ20)*100</f>
        <v>5.0842644492895</v>
      </c>
      <c r="AL20" s="20">
        <v>301137978380</v>
      </c>
      <c r="AM20" s="20">
        <v>293899590309</v>
      </c>
      <c r="AN20" s="38">
        <f>((AL20-AM20)/AM20)*100</f>
        <v>2.46287790445359</v>
      </c>
      <c r="AO20" s="20">
        <v>213778953694</v>
      </c>
      <c r="AP20" s="20">
        <v>197197071124</v>
      </c>
      <c r="AQ20" s="96">
        <f>((AO20-AP20)/AP20)*100</f>
        <v>8.40878745078983</v>
      </c>
      <c r="AR20" s="20">
        <v>269094636000</v>
      </c>
      <c r="AS20" s="20">
        <v>223942592000</v>
      </c>
      <c r="AT20" s="96">
        <f>((AR20-AS20)/AS20)*100</f>
        <v>20.1623298170988</v>
      </c>
      <c r="AU20" s="20">
        <v>185831403472</v>
      </c>
      <c r="AV20" s="20">
        <v>175514855972</v>
      </c>
      <c r="AW20" s="96">
        <f>((AU20-AV20)/AV20)*100</f>
        <v>5.87787708502909</v>
      </c>
      <c r="AX20" s="20">
        <v>254716079304</v>
      </c>
      <c r="AY20" s="20">
        <v>243628658005</v>
      </c>
      <c r="AZ20" s="38">
        <f>((AX20-AY20)/AY20)*100</f>
        <v>4.5509511852142</v>
      </c>
      <c r="BA20" s="20">
        <v>313721579342</v>
      </c>
      <c r="BB20" s="20">
        <v>283083745209</v>
      </c>
      <c r="BC20" s="96">
        <f>((BA20-BB20)/BB20)*100</f>
        <v>10.8228870966718</v>
      </c>
      <c r="BD20" s="20">
        <v>198946016927</v>
      </c>
      <c r="BE20" s="20">
        <v>189236668435</v>
      </c>
      <c r="BF20" s="96">
        <f>((BD20-BE20)/BE20)*100</f>
        <v>5.13079656934196</v>
      </c>
      <c r="BG20" s="20">
        <v>169659048689</v>
      </c>
      <c r="BH20" s="20">
        <v>158646909170</v>
      </c>
      <c r="BI20" s="96">
        <f>((BG20-BH20)/BH20)*100</f>
        <v>6.94128840997451</v>
      </c>
    </row>
    <row r="21" hidden="1" spans="1:61">
      <c r="A21" s="2"/>
      <c r="D21" s="2"/>
      <c r="E21" s="20"/>
      <c r="F21" s="20"/>
      <c r="G21" s="80"/>
      <c r="H21" s="20"/>
      <c r="I21" s="20"/>
      <c r="J21" s="80"/>
      <c r="K21" s="20"/>
      <c r="L21" s="20"/>
      <c r="M21" s="80"/>
      <c r="N21" s="20"/>
      <c r="O21" s="20"/>
      <c r="P21" s="80"/>
      <c r="Q21" s="20"/>
      <c r="R21" s="20"/>
      <c r="S21" s="80"/>
      <c r="T21" s="20"/>
      <c r="U21" s="20"/>
      <c r="V21" s="80"/>
      <c r="W21" s="20"/>
      <c r="X21" s="20"/>
      <c r="Y21" s="80"/>
      <c r="Z21" s="20"/>
      <c r="AA21" s="20"/>
      <c r="AB21" s="80"/>
      <c r="AC21" s="20"/>
      <c r="AD21" s="20"/>
      <c r="AE21" s="80"/>
      <c r="AF21" s="20"/>
      <c r="AG21" s="20"/>
      <c r="AH21" s="80"/>
      <c r="AI21" s="20"/>
      <c r="AJ21" s="20"/>
      <c r="AK21" s="80"/>
      <c r="AL21" s="20"/>
      <c r="AM21" s="20"/>
      <c r="AN21" s="80"/>
      <c r="AO21" s="20"/>
      <c r="AP21" s="20"/>
      <c r="AQ21" s="80"/>
      <c r="AR21" s="20"/>
      <c r="AS21" s="20"/>
      <c r="AT21" s="80"/>
      <c r="AU21" s="20"/>
      <c r="AV21" s="20"/>
      <c r="AW21" s="80"/>
      <c r="AX21" s="20"/>
      <c r="AY21" s="20"/>
      <c r="AZ21" s="80"/>
      <c r="BA21" s="20"/>
      <c r="BB21" s="20"/>
      <c r="BC21" s="80"/>
      <c r="BD21" s="20"/>
      <c r="BE21" s="20"/>
      <c r="BF21" s="80"/>
      <c r="BG21" s="20"/>
      <c r="BH21" s="20"/>
      <c r="BI21" s="80"/>
    </row>
    <row r="22" hidden="1" spans="1:61">
      <c r="A22" s="2">
        <v>8</v>
      </c>
      <c r="B22" s="2" t="s">
        <v>180</v>
      </c>
      <c r="C22" s="37" t="s">
        <v>176</v>
      </c>
      <c r="D22" s="2" t="s">
        <v>181</v>
      </c>
      <c r="E22" s="20">
        <f>E12</f>
        <v>61246639000</v>
      </c>
      <c r="F22" s="20">
        <f>F3</f>
        <v>270569770</v>
      </c>
      <c r="G22" s="38">
        <f>E22/F22</f>
        <v>226.361721784366</v>
      </c>
      <c r="H22" s="20">
        <f>H12</f>
        <v>66117947000</v>
      </c>
      <c r="I22" s="20">
        <f>I3</f>
        <v>381158530</v>
      </c>
      <c r="J22" s="38">
        <f>H22/I22</f>
        <v>173.465741406863</v>
      </c>
      <c r="K22" s="20">
        <f>K12</f>
        <v>30480623000</v>
      </c>
      <c r="L22" s="20">
        <f>L3</f>
        <v>129446940</v>
      </c>
      <c r="M22" s="38">
        <f>K22/L22</f>
        <v>235.468084452209</v>
      </c>
      <c r="N22" s="20">
        <f>N12</f>
        <v>64978007000</v>
      </c>
      <c r="O22" s="20">
        <f>O3</f>
        <v>341285950</v>
      </c>
      <c r="P22" s="38">
        <f>N22/O22</f>
        <v>190.391684744127</v>
      </c>
      <c r="Q22" s="20">
        <f>Q12</f>
        <v>20931750000</v>
      </c>
      <c r="R22" s="20">
        <f>R3</f>
        <v>100423860</v>
      </c>
      <c r="S22" s="38">
        <f>Q22/R22</f>
        <v>208.434031514025</v>
      </c>
      <c r="T22" s="20">
        <f>T12</f>
        <v>29730663404</v>
      </c>
      <c r="U22" s="20">
        <f>U3</f>
        <v>149175669</v>
      </c>
      <c r="V22" s="38">
        <f>T22/U22</f>
        <v>199.299682068126</v>
      </c>
      <c r="W22" s="20">
        <f>W12</f>
        <v>42888818000</v>
      </c>
      <c r="X22" s="20">
        <f>X3</f>
        <v>243465120</v>
      </c>
      <c r="Y22" s="38">
        <f>W22/X22</f>
        <v>176.160010107403</v>
      </c>
      <c r="Z22" s="20">
        <f>Z12</f>
        <v>35256260461</v>
      </c>
      <c r="AA22" s="20">
        <f>AA3</f>
        <v>262258613</v>
      </c>
      <c r="AB22" s="38">
        <f>Z22/AA22</f>
        <v>134.433184320242</v>
      </c>
      <c r="AC22" s="20">
        <f>AC12</f>
        <v>29233303500</v>
      </c>
      <c r="AD22" s="20">
        <f>AD3</f>
        <v>140899801</v>
      </c>
      <c r="AE22" s="38">
        <f>AC22/AD22</f>
        <v>207.475832417961</v>
      </c>
      <c r="AF22" s="20">
        <f>AF12</f>
        <v>31943279506</v>
      </c>
      <c r="AG22" s="20">
        <f>AG3</f>
        <v>194025757</v>
      </c>
      <c r="AH22" s="38">
        <f>AF22/AG22</f>
        <v>164.634221764691</v>
      </c>
      <c r="AI22" s="20">
        <f>AI12</f>
        <v>34674717000</v>
      </c>
      <c r="AJ22" s="20">
        <f>AJ3</f>
        <v>235424900</v>
      </c>
      <c r="AK22" s="38">
        <f>AI22/AJ22</f>
        <v>147.285682185699</v>
      </c>
      <c r="AL22" s="20">
        <f>AL12</f>
        <v>37192059696</v>
      </c>
      <c r="AM22" s="20">
        <f>AM3</f>
        <v>216566156</v>
      </c>
      <c r="AN22" s="38">
        <f>AL22/AM22</f>
        <v>171.735327361123</v>
      </c>
      <c r="AO22" s="20">
        <f>AO12</f>
        <v>21909734438</v>
      </c>
      <c r="AP22" s="20">
        <f>AP3</f>
        <v>135815254</v>
      </c>
      <c r="AQ22" s="38">
        <f>AO22/AP22</f>
        <v>161.320130049604</v>
      </c>
      <c r="AR22" s="20">
        <f>AR12</f>
        <v>31569532000</v>
      </c>
      <c r="AS22" s="20">
        <f>AS3</f>
        <v>183667060</v>
      </c>
      <c r="AT22" s="38">
        <f>AR22/AS22</f>
        <v>171.884561118363</v>
      </c>
      <c r="AU22" s="20">
        <f>AU12</f>
        <v>19954488650</v>
      </c>
      <c r="AV22" s="20">
        <f>AV3</f>
        <v>108991580</v>
      </c>
      <c r="AW22" s="38">
        <f>AU22/AV22</f>
        <v>183.082845940943</v>
      </c>
      <c r="AX22" s="20">
        <f>AX12</f>
        <v>36695551794</v>
      </c>
      <c r="AY22" s="20">
        <f>AY3</f>
        <v>192879363</v>
      </c>
      <c r="AZ22" s="38">
        <f>AX22/AY22</f>
        <v>190.251311613882</v>
      </c>
      <c r="BA22" s="20">
        <f>BA12</f>
        <v>38313647327</v>
      </c>
      <c r="BB22" s="20">
        <f>BB3</f>
        <v>146940229</v>
      </c>
      <c r="BC22" s="38">
        <f>BA22/BB22</f>
        <v>260.743076200051</v>
      </c>
      <c r="BD22" s="20">
        <f>BD12</f>
        <v>22559014001</v>
      </c>
      <c r="BE22" s="20">
        <f>BE3</f>
        <v>147690129</v>
      </c>
      <c r="BF22" s="38">
        <f>BD22/BE22</f>
        <v>152.745577201033</v>
      </c>
      <c r="BG22" s="20">
        <f>BG12</f>
        <v>18156028753</v>
      </c>
      <c r="BH22" s="20">
        <f>BH3</f>
        <v>116213572</v>
      </c>
      <c r="BI22" s="38">
        <f>BG22/BH22</f>
        <v>156.229848549875</v>
      </c>
    </row>
    <row r="23" ht="1.5" hidden="1" customHeight="1" spans="1:61">
      <c r="A23" s="2"/>
      <c r="B23" s="2"/>
      <c r="C23" s="6" t="s">
        <v>163</v>
      </c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0"/>
      <c r="AM23" s="20"/>
      <c r="AN23" s="38"/>
      <c r="AO23" s="20"/>
      <c r="AP23" s="20"/>
      <c r="AQ23" s="38"/>
      <c r="AR23" s="20"/>
      <c r="AS23" s="20"/>
      <c r="AT23" s="38"/>
      <c r="AU23" s="20"/>
      <c r="AV23" s="20"/>
      <c r="AW23" s="38"/>
      <c r="AX23" s="20"/>
      <c r="AY23" s="20"/>
      <c r="AZ23" s="38"/>
      <c r="BA23" s="20"/>
      <c r="BB23" s="20"/>
      <c r="BC23" s="38"/>
      <c r="BD23" s="20"/>
      <c r="BE23" s="20"/>
      <c r="BF23" s="38"/>
      <c r="BG23" s="20"/>
      <c r="BH23" s="20"/>
      <c r="BI23" s="38"/>
    </row>
    <row r="24" hidden="1" spans="1:61">
      <c r="A24" s="2"/>
      <c r="B24" s="2"/>
      <c r="C24" s="6"/>
      <c r="D24" s="2"/>
      <c r="E24" s="20"/>
      <c r="F24" s="20"/>
      <c r="G24" s="38"/>
      <c r="H24" s="20"/>
      <c r="I24" s="20"/>
      <c r="J24" s="38"/>
      <c r="K24" s="20"/>
      <c r="L24" s="20"/>
      <c r="M24" s="38"/>
      <c r="N24" s="20"/>
      <c r="O24" s="20"/>
      <c r="P24" s="38"/>
      <c r="Q24" s="20"/>
      <c r="R24" s="20"/>
      <c r="S24" s="38"/>
      <c r="T24" s="20"/>
      <c r="U24" s="20"/>
      <c r="V24" s="38"/>
      <c r="W24" s="20"/>
      <c r="X24" s="20"/>
      <c r="Y24" s="38"/>
      <c r="Z24" s="20"/>
      <c r="AA24" s="20"/>
      <c r="AB24" s="38"/>
      <c r="AC24" s="20"/>
      <c r="AD24" s="20"/>
      <c r="AE24" s="38"/>
      <c r="AF24" s="20"/>
      <c r="AG24" s="20"/>
      <c r="AH24" s="38"/>
      <c r="AI24" s="20"/>
      <c r="AJ24" s="20"/>
      <c r="AK24" s="38"/>
      <c r="AL24" s="20"/>
      <c r="AM24" s="20"/>
      <c r="AN24" s="38"/>
      <c r="AO24" s="20"/>
      <c r="AP24" s="20"/>
      <c r="AQ24" s="38"/>
      <c r="AR24" s="20"/>
      <c r="AS24" s="20"/>
      <c r="AT24" s="38"/>
      <c r="AU24" s="20"/>
      <c r="AV24" s="20"/>
      <c r="AW24" s="38"/>
      <c r="AX24" s="20"/>
      <c r="AY24" s="20"/>
      <c r="AZ24" s="38"/>
      <c r="BA24" s="20"/>
      <c r="BB24" s="20"/>
      <c r="BC24" s="38"/>
      <c r="BD24" s="20"/>
      <c r="BE24" s="20"/>
      <c r="BF24" s="38"/>
      <c r="BG24" s="20"/>
      <c r="BH24" s="20"/>
      <c r="BI24" s="38"/>
    </row>
    <row r="25" spans="1:61">
      <c r="A25" s="2">
        <v>9</v>
      </c>
      <c r="B25" s="2" t="s">
        <v>182</v>
      </c>
      <c r="C25" s="37" t="s">
        <v>183</v>
      </c>
      <c r="D25" s="50" t="s">
        <v>236</v>
      </c>
      <c r="E25" s="20">
        <f>E7</f>
        <v>548</v>
      </c>
      <c r="F25" s="42">
        <f>G22</f>
        <v>226.361721784366</v>
      </c>
      <c r="G25" s="96">
        <f>E25/F25</f>
        <v>2.42090401009597</v>
      </c>
      <c r="H25" s="20">
        <f>H7</f>
        <v>261</v>
      </c>
      <c r="I25" s="42">
        <f>J22</f>
        <v>173.465741406863</v>
      </c>
      <c r="J25" s="96">
        <f>H25/I25</f>
        <v>1.50461986259192</v>
      </c>
      <c r="K25" s="20">
        <f>K7</f>
        <v>756</v>
      </c>
      <c r="L25" s="42">
        <f>M22</f>
        <v>235.468084452209</v>
      </c>
      <c r="M25" s="38">
        <f>K25/L25</f>
        <v>3.21062619487797</v>
      </c>
      <c r="N25" s="20">
        <f>N7</f>
        <v>234</v>
      </c>
      <c r="O25" s="42">
        <f>P22</f>
        <v>190.391684744127</v>
      </c>
      <c r="P25" s="96">
        <f>N25/O25</f>
        <v>1.22904527219494</v>
      </c>
      <c r="Q25" s="20">
        <f>Q7</f>
        <v>671</v>
      </c>
      <c r="R25" s="42">
        <f>S22</f>
        <v>208.434031514025</v>
      </c>
      <c r="S25" s="38">
        <f>Q25/R25</f>
        <v>3.21924397434519</v>
      </c>
      <c r="T25" s="20">
        <f>T7</f>
        <v>404</v>
      </c>
      <c r="U25" s="42">
        <f>V22</f>
        <v>199.299682068126</v>
      </c>
      <c r="V25" s="96">
        <f>T25/U25</f>
        <v>2.02709806562512</v>
      </c>
      <c r="W25" s="20">
        <f>W7</f>
        <v>244</v>
      </c>
      <c r="X25" s="42">
        <f>Y22</f>
        <v>176.160010107403</v>
      </c>
      <c r="Y25" s="96">
        <f>W25/X25</f>
        <v>1.38510437102743</v>
      </c>
      <c r="Z25" s="20">
        <f>Z7</f>
        <v>266</v>
      </c>
      <c r="AA25" s="42">
        <f>AB22</f>
        <v>134.433184320242</v>
      </c>
      <c r="AB25" s="96">
        <f>Z25/AA25</f>
        <v>1.97867811690263</v>
      </c>
      <c r="AC25" s="20">
        <f>AC7</f>
        <v>388</v>
      </c>
      <c r="AD25" s="42">
        <f>AE22</f>
        <v>207.475832417961</v>
      </c>
      <c r="AE25" s="96">
        <f>AC25/AD25</f>
        <v>1.87009732882225</v>
      </c>
      <c r="AF25" s="20">
        <f>AF7</f>
        <v>279</v>
      </c>
      <c r="AG25" s="42">
        <f>AH22</f>
        <v>164.634221764691</v>
      </c>
      <c r="AH25" s="96">
        <f>AF25/AG25</f>
        <v>1.6946658902957</v>
      </c>
      <c r="AI25" s="20">
        <f>AI7</f>
        <v>229</v>
      </c>
      <c r="AJ25" s="42">
        <f>AK22</f>
        <v>147.285682185699</v>
      </c>
      <c r="AK25" s="96">
        <f>AI25/AJ25</f>
        <v>1.55480150277795</v>
      </c>
      <c r="AL25" s="20">
        <f>AL7</f>
        <v>245</v>
      </c>
      <c r="AM25" s="42">
        <f>AN22</f>
        <v>171.735327361123</v>
      </c>
      <c r="AN25" s="96">
        <f>AL25/AM25</f>
        <v>1.42661387010267</v>
      </c>
      <c r="AO25" s="20">
        <f>AO7</f>
        <v>378</v>
      </c>
      <c r="AP25" s="42">
        <f>AQ22</f>
        <v>161.320130049604</v>
      </c>
      <c r="AQ25" s="96">
        <f>AO25/AP25</f>
        <v>2.34316696796469</v>
      </c>
      <c r="AR25" s="20">
        <f>AR7</f>
        <v>274</v>
      </c>
      <c r="AS25" s="42">
        <f>AT22</f>
        <v>171.884561118363</v>
      </c>
      <c r="AT25" s="96">
        <f>AR25/AS25</f>
        <v>1.59409314145043</v>
      </c>
      <c r="AU25" s="20">
        <f>AU7</f>
        <v>439</v>
      </c>
      <c r="AV25" s="42">
        <f>AW22</f>
        <v>183.082845940943</v>
      </c>
      <c r="AW25" s="96">
        <f>AU25/AV25</f>
        <v>2.39782158587161</v>
      </c>
      <c r="AX25" s="20">
        <f>AX7</f>
        <v>336</v>
      </c>
      <c r="AY25" s="42">
        <f>AZ22</f>
        <v>190.251311613882</v>
      </c>
      <c r="AZ25" s="96">
        <f>AX25/AY25</f>
        <v>1.76608506480059</v>
      </c>
      <c r="BA25" s="20">
        <f>BA7</f>
        <v>306</v>
      </c>
      <c r="BB25" s="42">
        <f>BC22</f>
        <v>260.743076200051</v>
      </c>
      <c r="BC25" s="96">
        <f>BA25/BB25</f>
        <v>1.17356903377647</v>
      </c>
      <c r="BD25" s="20">
        <f>BD7</f>
        <v>232</v>
      </c>
      <c r="BE25" s="42">
        <f>BF22</f>
        <v>152.745577201033</v>
      </c>
      <c r="BF25" s="96">
        <f>BD25/BE25</f>
        <v>1.51886558191245</v>
      </c>
      <c r="BG25" s="20">
        <f>BG7</f>
        <v>264</v>
      </c>
      <c r="BH25" s="42">
        <f>BI22</f>
        <v>156.229848549875</v>
      </c>
      <c r="BI25" s="96">
        <f>BG25/BH25</f>
        <v>1.68981793460371</v>
      </c>
    </row>
    <row r="26" ht="3.5" customHeight="1" spans="1:61">
      <c r="A26" s="2"/>
      <c r="B26" s="2"/>
      <c r="C26" s="2" t="s">
        <v>185</v>
      </c>
      <c r="D26" s="2"/>
      <c r="E26" s="20"/>
      <c r="F26" s="42"/>
      <c r="G26" s="96"/>
      <c r="H26" s="20"/>
      <c r="I26" s="42"/>
      <c r="J26" s="96"/>
      <c r="K26" s="20"/>
      <c r="L26" s="42"/>
      <c r="M26" s="38"/>
      <c r="N26" s="20"/>
      <c r="O26" s="42"/>
      <c r="P26" s="96"/>
      <c r="Q26" s="20"/>
      <c r="R26" s="42"/>
      <c r="S26" s="38"/>
      <c r="T26" s="20"/>
      <c r="U26" s="42"/>
      <c r="V26" s="96"/>
      <c r="W26" s="20"/>
      <c r="X26" s="42"/>
      <c r="Y26" s="96"/>
      <c r="Z26" s="20"/>
      <c r="AA26" s="42"/>
      <c r="AB26" s="96"/>
      <c r="AC26" s="20"/>
      <c r="AD26" s="42"/>
      <c r="AE26" s="96"/>
      <c r="AF26" s="20"/>
      <c r="AG26" s="42"/>
      <c r="AH26" s="96"/>
      <c r="AI26" s="20"/>
      <c r="AJ26" s="42"/>
      <c r="AK26" s="96"/>
      <c r="AL26" s="20"/>
      <c r="AM26" s="42"/>
      <c r="AN26" s="96"/>
      <c r="AO26" s="20"/>
      <c r="AP26" s="42"/>
      <c r="AQ26" s="96"/>
      <c r="AR26" s="20"/>
      <c r="AS26" s="42"/>
      <c r="AT26" s="96"/>
      <c r="AU26" s="20"/>
      <c r="AV26" s="42"/>
      <c r="AW26" s="96"/>
      <c r="AX26" s="20"/>
      <c r="AY26" s="42"/>
      <c r="AZ26" s="96"/>
      <c r="BA26" s="20"/>
      <c r="BB26" s="42"/>
      <c r="BC26" s="96"/>
      <c r="BD26" s="20"/>
      <c r="BE26" s="42"/>
      <c r="BF26" s="96"/>
      <c r="BG26" s="20"/>
      <c r="BH26" s="42"/>
      <c r="BI26" s="96"/>
    </row>
    <row r="27" hidden="1" spans="1:61">
      <c r="A27" s="2"/>
      <c r="B27" s="2"/>
      <c r="C27" s="2"/>
      <c r="D27" s="2"/>
      <c r="E27" s="20"/>
      <c r="F27" s="2"/>
      <c r="G27" s="85"/>
      <c r="H27" s="20"/>
      <c r="I27" s="2"/>
      <c r="J27" s="85"/>
      <c r="K27" s="20"/>
      <c r="L27" s="2"/>
      <c r="M27" s="85"/>
      <c r="N27" s="20"/>
      <c r="O27" s="2"/>
      <c r="P27" s="85"/>
      <c r="Q27" s="20"/>
      <c r="R27" s="2"/>
      <c r="S27" s="85"/>
      <c r="T27" s="20"/>
      <c r="U27" s="2"/>
      <c r="V27" s="85"/>
      <c r="W27" s="20"/>
      <c r="X27" s="2"/>
      <c r="Y27" s="85"/>
      <c r="Z27" s="20"/>
      <c r="AA27" s="2"/>
      <c r="AB27" s="85"/>
      <c r="AC27" s="20"/>
      <c r="AD27" s="2"/>
      <c r="AE27" s="85"/>
      <c r="AF27" s="20"/>
      <c r="AG27" s="2"/>
      <c r="AH27" s="85"/>
      <c r="AI27" s="20"/>
      <c r="AJ27" s="2"/>
      <c r="AK27" s="85"/>
      <c r="AL27" s="20"/>
      <c r="AM27" s="2"/>
      <c r="AN27" s="85"/>
      <c r="AO27" s="20"/>
      <c r="AP27" s="2"/>
      <c r="AQ27" s="85"/>
      <c r="AS27" s="2"/>
      <c r="AT27" s="85"/>
      <c r="AV27" s="2"/>
      <c r="AW27" s="85"/>
      <c r="AY27" s="2"/>
      <c r="AZ27" s="85"/>
      <c r="BB27" s="2"/>
      <c r="BC27" s="85"/>
      <c r="BE27" s="2"/>
      <c r="BF27" s="85"/>
      <c r="BH27" s="2"/>
      <c r="BI27" s="85"/>
    </row>
    <row r="28" ht="17" customHeight="1" spans="1:61">
      <c r="A28" s="2">
        <v>10</v>
      </c>
      <c r="B28" s="2" t="s">
        <v>186</v>
      </c>
      <c r="C28" s="37" t="s">
        <v>187</v>
      </c>
      <c r="D28" s="41" t="s">
        <v>237</v>
      </c>
      <c r="E28" s="42">
        <v>10</v>
      </c>
      <c r="F28" s="20">
        <f>E7</f>
        <v>548</v>
      </c>
      <c r="G28" s="96">
        <f>(E28/F28)*100</f>
        <v>1.82481751824817</v>
      </c>
      <c r="H28" s="42">
        <v>5.5</v>
      </c>
      <c r="I28" s="20">
        <f>H7</f>
        <v>261</v>
      </c>
      <c r="J28" s="96">
        <f>(H28/I28)*100</f>
        <v>2.10727969348659</v>
      </c>
      <c r="K28" s="42">
        <v>15.53</v>
      </c>
      <c r="L28" s="20">
        <f>K7</f>
        <v>756</v>
      </c>
      <c r="M28" s="96">
        <f>(K28/L28)*100</f>
        <v>2.0542328042328</v>
      </c>
      <c r="N28" s="42">
        <v>0</v>
      </c>
      <c r="O28" s="20">
        <f>N7</f>
        <v>234</v>
      </c>
      <c r="P28" s="38">
        <f>(N28/O28)*100</f>
        <v>0</v>
      </c>
      <c r="Q28" s="42">
        <v>25.5</v>
      </c>
      <c r="R28" s="20">
        <f>Q7</f>
        <v>671</v>
      </c>
      <c r="S28" s="96">
        <f>(Q28/R28)*100</f>
        <v>3.80029806259314</v>
      </c>
      <c r="T28" s="42">
        <v>0</v>
      </c>
      <c r="U28" s="20">
        <f>T7</f>
        <v>404</v>
      </c>
      <c r="V28" s="38">
        <f>(T28/U28)*100</f>
        <v>0</v>
      </c>
      <c r="W28" s="42">
        <v>5.26</v>
      </c>
      <c r="X28" s="20">
        <f>W7</f>
        <v>244</v>
      </c>
      <c r="Y28" s="96">
        <f>(W28/X28)*100</f>
        <v>2.15573770491803</v>
      </c>
      <c r="Z28" s="42">
        <v>0</v>
      </c>
      <c r="AA28" s="20">
        <f>Z7</f>
        <v>266</v>
      </c>
      <c r="AB28" s="38">
        <f>(Z28/AA28)*100</f>
        <v>0</v>
      </c>
      <c r="AC28" s="42">
        <v>4</v>
      </c>
      <c r="AD28" s="20">
        <f>AC7</f>
        <v>388</v>
      </c>
      <c r="AE28" s="96">
        <f>(AC28/AD28)*100</f>
        <v>1.03092783505155</v>
      </c>
      <c r="AF28" s="42">
        <v>5</v>
      </c>
      <c r="AG28" s="20">
        <f>AF7</f>
        <v>279</v>
      </c>
      <c r="AH28" s="96">
        <f>(AF28/AG28)*100</f>
        <v>1.7921146953405</v>
      </c>
      <c r="AI28" s="42">
        <v>0</v>
      </c>
      <c r="AJ28" s="20">
        <f>AI7</f>
        <v>229</v>
      </c>
      <c r="AK28" s="38">
        <f>(AI28/AJ28)*100</f>
        <v>0</v>
      </c>
      <c r="AL28" s="42">
        <v>0</v>
      </c>
      <c r="AM28" s="20">
        <f>AL7</f>
        <v>245</v>
      </c>
      <c r="AN28" s="38">
        <f>(AL28/AM28)*100</f>
        <v>0</v>
      </c>
      <c r="AO28" s="42">
        <v>5.26</v>
      </c>
      <c r="AP28" s="20">
        <f>AO7</f>
        <v>378</v>
      </c>
      <c r="AQ28" s="96">
        <f>(AO28/AP28)*100</f>
        <v>1.39153439153439</v>
      </c>
      <c r="AR28" s="42">
        <v>0</v>
      </c>
      <c r="AS28" s="20">
        <f>AR7</f>
        <v>274</v>
      </c>
      <c r="AT28" s="38">
        <f>(AR28/AS28)*100</f>
        <v>0</v>
      </c>
      <c r="AU28" s="42">
        <v>10.64</v>
      </c>
      <c r="AV28" s="20">
        <f>AU7</f>
        <v>439</v>
      </c>
      <c r="AW28" s="96">
        <f>(AU28/AV28)*100</f>
        <v>2.42369020501139</v>
      </c>
      <c r="AX28" s="42">
        <v>10.53</v>
      </c>
      <c r="AY28" s="20">
        <f>AX7</f>
        <v>336</v>
      </c>
      <c r="AZ28" s="96">
        <f>(AX28/AY28)*100</f>
        <v>3.13392857142857</v>
      </c>
      <c r="BA28" s="42">
        <v>0</v>
      </c>
      <c r="BB28" s="20">
        <f>BA7</f>
        <v>306</v>
      </c>
      <c r="BC28" s="38">
        <f>(BA28/BB28)*100</f>
        <v>0</v>
      </c>
      <c r="BD28" s="42">
        <v>4.21</v>
      </c>
      <c r="BE28" s="20">
        <f>BD7</f>
        <v>232</v>
      </c>
      <c r="BF28" s="96">
        <f>(BD28/BE28)*100</f>
        <v>1.81465517241379</v>
      </c>
      <c r="BG28" s="42">
        <v>0</v>
      </c>
      <c r="BH28" s="20">
        <f>BG7</f>
        <v>264</v>
      </c>
      <c r="BI28" s="38">
        <f>(BG28/BH28)*100</f>
        <v>0</v>
      </c>
    </row>
    <row r="29" ht="0.5" customHeight="1" spans="1:61">
      <c r="A29" s="2"/>
      <c r="B29" s="2"/>
      <c r="C29" s="2" t="s">
        <v>189</v>
      </c>
      <c r="D29" s="41"/>
      <c r="E29" s="42"/>
      <c r="F29" s="20"/>
      <c r="G29" s="96"/>
      <c r="H29" s="42"/>
      <c r="I29" s="20"/>
      <c r="J29" s="96"/>
      <c r="K29" s="42"/>
      <c r="L29" s="20"/>
      <c r="M29" s="96"/>
      <c r="N29" s="42"/>
      <c r="O29" s="20"/>
      <c r="P29" s="38"/>
      <c r="Q29" s="42"/>
      <c r="R29" s="20"/>
      <c r="S29" s="96"/>
      <c r="T29" s="42"/>
      <c r="U29" s="20"/>
      <c r="V29" s="38"/>
      <c r="W29" s="42"/>
      <c r="X29" s="20"/>
      <c r="Y29" s="96"/>
      <c r="Z29" s="42"/>
      <c r="AA29" s="20"/>
      <c r="AB29" s="38"/>
      <c r="AC29" s="42"/>
      <c r="AD29" s="20"/>
      <c r="AE29" s="96"/>
      <c r="AF29" s="42"/>
      <c r="AG29" s="20"/>
      <c r="AH29" s="96"/>
      <c r="AI29" s="42"/>
      <c r="AJ29" s="20"/>
      <c r="AK29" s="38"/>
      <c r="AL29" s="42"/>
      <c r="AM29" s="20"/>
      <c r="AN29" s="38"/>
      <c r="AO29" s="42"/>
      <c r="AP29" s="20"/>
      <c r="AQ29" s="96"/>
      <c r="AR29" s="42"/>
      <c r="AS29" s="20"/>
      <c r="AT29" s="38"/>
      <c r="AU29" s="42"/>
      <c r="AV29" s="20"/>
      <c r="AW29" s="96"/>
      <c r="AX29" s="42"/>
      <c r="AY29" s="20"/>
      <c r="AZ29" s="96"/>
      <c r="BA29" s="42"/>
      <c r="BB29" s="20"/>
      <c r="BC29" s="38"/>
      <c r="BD29" s="42"/>
      <c r="BE29" s="20"/>
      <c r="BF29" s="96"/>
      <c r="BG29" s="42"/>
      <c r="BH29" s="20"/>
      <c r="BI29" s="38"/>
    </row>
    <row r="30" hidden="1" spans="1:61">
      <c r="A30" s="2"/>
      <c r="B30" s="2"/>
      <c r="C30" s="2"/>
      <c r="D30" s="41"/>
      <c r="E30" s="42"/>
      <c r="F30" s="20"/>
      <c r="G30" s="38"/>
      <c r="H30" s="42"/>
      <c r="I30" s="20"/>
      <c r="J30" s="38"/>
      <c r="K30" s="42"/>
      <c r="L30" s="20"/>
      <c r="M30" s="38"/>
      <c r="N30" s="86" t="s">
        <v>190</v>
      </c>
      <c r="O30" s="20"/>
      <c r="P30" s="38"/>
      <c r="Q30" s="86"/>
      <c r="R30" s="20"/>
      <c r="S30" s="38"/>
      <c r="T30" s="86" t="s">
        <v>191</v>
      </c>
      <c r="U30" s="20"/>
      <c r="V30" s="38"/>
      <c r="W30" s="86"/>
      <c r="X30" s="20"/>
      <c r="Y30" s="38"/>
      <c r="Z30" s="86" t="s">
        <v>191</v>
      </c>
      <c r="AA30" s="20"/>
      <c r="AB30" s="38"/>
      <c r="AC30" s="86"/>
      <c r="AD30" s="20"/>
      <c r="AE30" s="38"/>
      <c r="AF30" s="86"/>
      <c r="AG30" s="20"/>
      <c r="AH30" s="38"/>
      <c r="AI30" s="86" t="s">
        <v>191</v>
      </c>
      <c r="AJ30" s="20"/>
      <c r="AK30" s="38"/>
      <c r="AL30" s="86" t="s">
        <v>191</v>
      </c>
      <c r="AM30" s="20"/>
      <c r="AN30" s="38"/>
      <c r="AO30" s="86"/>
      <c r="AP30" s="20"/>
      <c r="AQ30" s="38"/>
      <c r="AR30" s="52" t="s">
        <v>191</v>
      </c>
      <c r="AS30" s="20"/>
      <c r="AT30" s="38"/>
      <c r="AU30" s="52"/>
      <c r="AV30" s="20"/>
      <c r="AW30" s="38"/>
      <c r="AX30" s="52"/>
      <c r="AY30" s="20"/>
      <c r="AZ30" s="38"/>
      <c r="BA30" s="52" t="s">
        <v>191</v>
      </c>
      <c r="BB30" s="20"/>
      <c r="BC30" s="38"/>
      <c r="BD30" s="52"/>
      <c r="BE30" s="20"/>
      <c r="BF30" s="38"/>
      <c r="BG30" s="52" t="s">
        <v>191</v>
      </c>
      <c r="BH30" s="20"/>
      <c r="BI30" s="38"/>
    </row>
    <row r="31" ht="13" hidden="1" customHeight="1" spans="1:61">
      <c r="A31" s="2">
        <v>11</v>
      </c>
      <c r="B31" s="2" t="s">
        <v>192</v>
      </c>
      <c r="C31" s="41" t="s">
        <v>193</v>
      </c>
      <c r="D31" s="2" t="s">
        <v>194</v>
      </c>
      <c r="E31" s="2">
        <v>11.72</v>
      </c>
      <c r="F31" s="42">
        <v>12.01</v>
      </c>
      <c r="G31" s="232">
        <f>E31</f>
        <v>11.72</v>
      </c>
      <c r="H31" s="2">
        <v>12.36</v>
      </c>
      <c r="I31" s="42">
        <v>12.01</v>
      </c>
      <c r="J31" s="232">
        <f>H31</f>
        <v>12.36</v>
      </c>
      <c r="K31" s="2">
        <v>12.67</v>
      </c>
      <c r="L31" s="42">
        <v>12.37</v>
      </c>
      <c r="M31" s="232">
        <f>K31</f>
        <v>12.67</v>
      </c>
      <c r="N31" s="2">
        <v>13.33</v>
      </c>
      <c r="O31" s="42">
        <v>13.27</v>
      </c>
      <c r="P31" s="232">
        <f>N31</f>
        <v>13.33</v>
      </c>
      <c r="Q31" s="2">
        <v>17.44</v>
      </c>
      <c r="R31" s="42">
        <v>16.76</v>
      </c>
      <c r="S31" s="232">
        <f>Q31</f>
        <v>17.44</v>
      </c>
      <c r="T31" s="2">
        <v>13.42</v>
      </c>
      <c r="U31" s="42">
        <v>11.29</v>
      </c>
      <c r="V31" s="232">
        <f>T31</f>
        <v>13.42</v>
      </c>
      <c r="W31" s="2">
        <v>11.76</v>
      </c>
      <c r="X31" s="42">
        <v>12.47</v>
      </c>
      <c r="Y31" s="232">
        <f>W31</f>
        <v>11.76</v>
      </c>
      <c r="Z31" s="2">
        <v>11.82</v>
      </c>
      <c r="AA31" s="42">
        <v>11.72</v>
      </c>
      <c r="AB31" s="232">
        <f>Z31</f>
        <v>11.82</v>
      </c>
      <c r="AC31" s="2">
        <v>11.18</v>
      </c>
      <c r="AD31" s="42">
        <v>11.73</v>
      </c>
      <c r="AE31" s="232">
        <f>AC31</f>
        <v>11.18</v>
      </c>
      <c r="AF31" s="2">
        <v>11.39</v>
      </c>
      <c r="AG31" s="42">
        <v>11.67</v>
      </c>
      <c r="AH31" s="232">
        <f>AF31</f>
        <v>11.39</v>
      </c>
      <c r="AI31" s="2">
        <v>12.84</v>
      </c>
      <c r="AJ31" s="42">
        <v>12.54</v>
      </c>
      <c r="AK31" s="232">
        <f>AI31</f>
        <v>12.84</v>
      </c>
      <c r="AL31" s="2">
        <v>10.84</v>
      </c>
      <c r="AM31" s="42">
        <v>11.86</v>
      </c>
      <c r="AN31" s="232">
        <f>AL31</f>
        <v>10.84</v>
      </c>
      <c r="AO31" s="2">
        <v>12.93</v>
      </c>
      <c r="AP31" s="42">
        <v>13.51</v>
      </c>
      <c r="AQ31" s="232">
        <f>AO31</f>
        <v>12.93</v>
      </c>
      <c r="AR31" s="2">
        <v>12.18</v>
      </c>
      <c r="AS31" s="42">
        <v>12.83</v>
      </c>
      <c r="AT31" s="232">
        <f>AR31</f>
        <v>12.18</v>
      </c>
      <c r="AU31" s="2">
        <v>12.44</v>
      </c>
      <c r="AV31" s="42">
        <v>13.22</v>
      </c>
      <c r="AW31" s="232">
        <f>AU31</f>
        <v>12.44</v>
      </c>
      <c r="AX31" s="2">
        <v>13.12</v>
      </c>
      <c r="AY31" s="42" t="s">
        <v>195</v>
      </c>
      <c r="AZ31" s="232">
        <f>AX31</f>
        <v>13.12</v>
      </c>
      <c r="BA31" s="2">
        <v>12.97</v>
      </c>
      <c r="BB31" s="42">
        <v>13.09</v>
      </c>
      <c r="BC31" s="232">
        <f>BA31</f>
        <v>12.97</v>
      </c>
      <c r="BD31" s="2">
        <v>12.34</v>
      </c>
      <c r="BE31" s="42">
        <v>13.04</v>
      </c>
      <c r="BF31" s="232">
        <f>BD31</f>
        <v>12.34</v>
      </c>
      <c r="BG31" s="2">
        <v>12.68</v>
      </c>
      <c r="BH31" s="42">
        <v>13.28</v>
      </c>
      <c r="BI31" s="232">
        <f>BG31</f>
        <v>12.68</v>
      </c>
    </row>
    <row r="32" hidden="1" spans="1:61">
      <c r="A32" s="2"/>
      <c r="B32" s="2"/>
      <c r="D32" s="41"/>
      <c r="E32" s="42"/>
      <c r="F32" s="20"/>
      <c r="G32" s="38"/>
      <c r="H32" s="42"/>
      <c r="I32" s="20"/>
      <c r="J32" s="38"/>
      <c r="K32" s="42"/>
      <c r="L32" s="20"/>
      <c r="M32" s="38"/>
      <c r="N32" s="42"/>
      <c r="O32" s="20"/>
      <c r="P32" s="38"/>
      <c r="Q32" s="42"/>
      <c r="R32" s="20"/>
      <c r="S32" s="38"/>
      <c r="T32" s="42"/>
      <c r="U32" s="20"/>
      <c r="V32" s="38"/>
      <c r="W32" s="42"/>
      <c r="X32" s="20"/>
      <c r="Y32" s="38"/>
      <c r="Z32" s="42"/>
      <c r="AA32" s="20"/>
      <c r="AB32" s="38"/>
      <c r="AC32" s="42"/>
      <c r="AD32" s="20"/>
      <c r="AE32" s="38"/>
      <c r="AF32" s="42"/>
      <c r="AG32" s="20"/>
      <c r="AH32" s="38"/>
      <c r="AI32" s="42"/>
      <c r="AJ32" s="20"/>
      <c r="AK32" s="38"/>
      <c r="AL32" s="42"/>
      <c r="AM32" s="20"/>
      <c r="AN32" s="38"/>
      <c r="AO32" s="42"/>
      <c r="AP32" s="20"/>
      <c r="AQ32" s="38"/>
      <c r="AR32" s="42"/>
      <c r="AS32" s="20"/>
      <c r="AT32" s="38"/>
      <c r="AU32" s="42"/>
      <c r="AV32" s="20"/>
      <c r="AW32" s="38"/>
      <c r="AX32" s="42"/>
      <c r="AY32" s="20"/>
      <c r="AZ32" s="38"/>
      <c r="BA32" s="42"/>
      <c r="BB32" s="20"/>
      <c r="BC32" s="38"/>
      <c r="BD32" s="42"/>
      <c r="BE32" s="20"/>
      <c r="BF32" s="38"/>
      <c r="BG32" s="42"/>
      <c r="BH32" s="20"/>
      <c r="BI32" s="38"/>
    </row>
    <row r="33" ht="22" customHeight="1" spans="1:61">
      <c r="A33" s="2">
        <v>12</v>
      </c>
      <c r="B33" s="66" t="s">
        <v>196</v>
      </c>
      <c r="C33" s="2" t="s">
        <v>197</v>
      </c>
      <c r="D33" s="2" t="s">
        <v>238</v>
      </c>
      <c r="E33" s="42">
        <v>4.96</v>
      </c>
      <c r="F33" s="42">
        <v>4.04</v>
      </c>
      <c r="G33" s="96">
        <f>E33</f>
        <v>4.96</v>
      </c>
      <c r="H33" s="42">
        <v>4.98</v>
      </c>
      <c r="I33" s="42">
        <v>4.74</v>
      </c>
      <c r="J33" s="96">
        <f>H33</f>
        <v>4.98</v>
      </c>
      <c r="K33" s="42">
        <v>0.64</v>
      </c>
      <c r="L33" s="42">
        <v>0.7</v>
      </c>
      <c r="M33" s="96">
        <f>K33</f>
        <v>0.64</v>
      </c>
      <c r="N33" s="42">
        <v>6.06</v>
      </c>
      <c r="O33" s="42">
        <v>4.66</v>
      </c>
      <c r="P33" s="38">
        <f>N33</f>
        <v>6.06</v>
      </c>
      <c r="Q33" s="42">
        <v>1.44</v>
      </c>
      <c r="R33" s="42">
        <v>2.14</v>
      </c>
      <c r="S33" s="96">
        <f>Q33</f>
        <v>1.44</v>
      </c>
      <c r="T33" s="42">
        <v>5.75</v>
      </c>
      <c r="U33" s="42">
        <v>3.08</v>
      </c>
      <c r="V33" s="38">
        <f>T33</f>
        <v>5.75</v>
      </c>
      <c r="W33" s="42">
        <v>5.86</v>
      </c>
      <c r="X33" s="42">
        <v>5.49</v>
      </c>
      <c r="Y33" s="38">
        <f>W33</f>
        <v>5.86</v>
      </c>
      <c r="Z33" s="42">
        <v>6.98</v>
      </c>
      <c r="AA33" s="42">
        <v>4.95</v>
      </c>
      <c r="AB33" s="38">
        <f>Z33</f>
        <v>6.98</v>
      </c>
      <c r="AC33" s="42">
        <v>4.04</v>
      </c>
      <c r="AD33" s="42">
        <v>2.52</v>
      </c>
      <c r="AE33" s="96">
        <f>AC33</f>
        <v>4.04</v>
      </c>
      <c r="AF33" s="42">
        <v>5.65</v>
      </c>
      <c r="AG33" s="42">
        <v>4.29</v>
      </c>
      <c r="AH33" s="38">
        <f>AF33</f>
        <v>5.65</v>
      </c>
      <c r="AI33" s="42">
        <v>5.09</v>
      </c>
      <c r="AJ33" s="42">
        <v>4.81</v>
      </c>
      <c r="AK33" s="96">
        <f>AI33</f>
        <v>5.09</v>
      </c>
      <c r="AL33" s="42">
        <v>7.68</v>
      </c>
      <c r="AM33" s="42">
        <v>4.96</v>
      </c>
      <c r="AN33" s="38">
        <f>AL33</f>
        <v>7.68</v>
      </c>
      <c r="AO33" s="42">
        <v>3.42</v>
      </c>
      <c r="AP33" s="42">
        <v>1.89</v>
      </c>
      <c r="AQ33" s="96">
        <f>AO33</f>
        <v>3.42</v>
      </c>
      <c r="AR33" s="42">
        <v>4.47</v>
      </c>
      <c r="AS33" s="42">
        <v>2.86</v>
      </c>
      <c r="AT33" s="96">
        <f>AR33</f>
        <v>4.47</v>
      </c>
      <c r="AU33" s="42">
        <v>4.06</v>
      </c>
      <c r="AV33" s="42">
        <v>1.98</v>
      </c>
      <c r="AW33" s="96">
        <f>AU33</f>
        <v>4.06</v>
      </c>
      <c r="AX33" s="42">
        <v>4.98</v>
      </c>
      <c r="AY33" s="42">
        <v>3.3</v>
      </c>
      <c r="AZ33" s="96">
        <f>AX33</f>
        <v>4.98</v>
      </c>
      <c r="BA33" s="42">
        <v>5.45</v>
      </c>
      <c r="BB33" s="42">
        <v>4.85</v>
      </c>
      <c r="BC33" s="38">
        <f>BA33</f>
        <v>5.45</v>
      </c>
      <c r="BD33" s="42">
        <v>5.71</v>
      </c>
      <c r="BE33" s="42">
        <v>3.76</v>
      </c>
      <c r="BF33" s="38">
        <f>BD33</f>
        <v>5.71</v>
      </c>
      <c r="BG33" s="42">
        <v>4.59</v>
      </c>
      <c r="BH33" s="42">
        <v>3.68</v>
      </c>
      <c r="BI33" s="96">
        <f>BG33</f>
        <v>4.59</v>
      </c>
    </row>
    <row r="34" hidden="1" spans="1:61">
      <c r="A34" s="2"/>
      <c r="B34" s="23"/>
      <c r="C34" s="2"/>
      <c r="D34" s="2"/>
      <c r="E34" s="82"/>
      <c r="F34" s="82"/>
      <c r="G34" s="38"/>
      <c r="H34" s="82"/>
      <c r="I34" s="82"/>
      <c r="J34" s="38"/>
      <c r="K34" s="82"/>
      <c r="L34" s="82"/>
      <c r="M34" s="38"/>
      <c r="N34" s="82"/>
      <c r="O34" s="82"/>
      <c r="P34" s="38"/>
      <c r="Q34" s="82"/>
      <c r="R34" s="82"/>
      <c r="S34" s="38"/>
      <c r="T34" s="82"/>
      <c r="U34" s="82"/>
      <c r="V34" s="38"/>
      <c r="W34" s="82"/>
      <c r="X34" s="82"/>
      <c r="Y34" s="38"/>
      <c r="Z34" s="82"/>
      <c r="AA34" s="82"/>
      <c r="AB34" s="38"/>
      <c r="AC34" s="82"/>
      <c r="AD34" s="82"/>
      <c r="AE34" s="38"/>
      <c r="AF34" s="82"/>
      <c r="AG34" s="82"/>
      <c r="AH34" s="38"/>
      <c r="AI34" s="82"/>
      <c r="AJ34" s="82"/>
      <c r="AK34" s="38"/>
      <c r="AL34" s="82"/>
      <c r="AM34" s="82"/>
      <c r="AN34" s="38"/>
      <c r="AO34" s="82"/>
      <c r="AP34" s="82"/>
      <c r="AQ34" s="38"/>
      <c r="AR34" s="82"/>
      <c r="AS34" s="82"/>
      <c r="AT34" s="38"/>
      <c r="AU34" s="82"/>
      <c r="AV34" s="82"/>
      <c r="AW34" s="38"/>
      <c r="AX34" s="82"/>
      <c r="AY34" s="82"/>
      <c r="AZ34" s="38"/>
      <c r="BA34" s="82"/>
      <c r="BB34" s="82"/>
      <c r="BC34" s="38"/>
      <c r="BD34" s="82"/>
      <c r="BE34" s="82"/>
      <c r="BF34" s="38"/>
      <c r="BG34" s="82"/>
      <c r="BH34" s="82"/>
      <c r="BI34" s="38"/>
    </row>
    <row r="35" ht="17.5" customHeight="1" spans="1:61">
      <c r="A35" s="2">
        <v>13</v>
      </c>
      <c r="B35" s="66" t="s">
        <v>199</v>
      </c>
      <c r="C35" s="41" t="s">
        <v>200</v>
      </c>
      <c r="D35" s="2" t="s">
        <v>239</v>
      </c>
      <c r="E35" s="42">
        <v>82.31</v>
      </c>
      <c r="F35" s="42">
        <v>83.97</v>
      </c>
      <c r="G35" s="96">
        <f>E35</f>
        <v>82.31</v>
      </c>
      <c r="H35" s="42">
        <v>78.04</v>
      </c>
      <c r="I35" s="42">
        <v>79.4</v>
      </c>
      <c r="J35" s="38">
        <f>H35</f>
        <v>78.04</v>
      </c>
      <c r="K35" s="42">
        <v>84.07</v>
      </c>
      <c r="L35" s="42">
        <v>83.5</v>
      </c>
      <c r="M35" s="96">
        <f>K35</f>
        <v>84.07</v>
      </c>
      <c r="N35" s="42">
        <v>76.76</v>
      </c>
      <c r="O35" s="42">
        <v>79.74</v>
      </c>
      <c r="P35" s="38">
        <f>N35</f>
        <v>76.76</v>
      </c>
      <c r="Q35" s="42">
        <v>72.94</v>
      </c>
      <c r="R35" s="42">
        <v>78.05</v>
      </c>
      <c r="S35" s="38">
        <f>Q35</f>
        <v>72.94</v>
      </c>
      <c r="T35" s="42">
        <v>83.47</v>
      </c>
      <c r="U35" s="42">
        <v>85.81</v>
      </c>
      <c r="V35" s="96">
        <f>T35</f>
        <v>83.47</v>
      </c>
      <c r="W35" s="42">
        <v>82.48</v>
      </c>
      <c r="X35" s="42">
        <v>79.48</v>
      </c>
      <c r="Y35" s="96">
        <f>W35</f>
        <v>82.48</v>
      </c>
      <c r="Z35" s="42">
        <v>79.84</v>
      </c>
      <c r="AA35" s="42">
        <v>85.36</v>
      </c>
      <c r="AB35" s="96">
        <f>Z35</f>
        <v>79.84</v>
      </c>
      <c r="AC35" s="42">
        <v>83.96</v>
      </c>
      <c r="AD35" s="42">
        <v>82</v>
      </c>
      <c r="AE35" s="96">
        <f>AC35</f>
        <v>83.96</v>
      </c>
      <c r="AF35" s="42">
        <v>84.8</v>
      </c>
      <c r="AG35" s="42">
        <v>85.1</v>
      </c>
      <c r="AH35" s="96">
        <f>AF35</f>
        <v>84.8</v>
      </c>
      <c r="AI35" s="42">
        <v>73.33</v>
      </c>
      <c r="AJ35" s="42">
        <v>83.7</v>
      </c>
      <c r="AK35" s="38">
        <f>AI35</f>
        <v>73.33</v>
      </c>
      <c r="AL35" s="42">
        <v>79.38</v>
      </c>
      <c r="AM35" s="42">
        <v>79.4</v>
      </c>
      <c r="AN35" s="96">
        <f>AL35</f>
        <v>79.38</v>
      </c>
      <c r="AO35" s="42">
        <v>81.04</v>
      </c>
      <c r="AP35" s="42">
        <v>80.07</v>
      </c>
      <c r="AQ35" s="96">
        <f>AO35</f>
        <v>81.04</v>
      </c>
      <c r="AR35" s="42">
        <v>83.97</v>
      </c>
      <c r="AS35" s="42">
        <v>79.73</v>
      </c>
      <c r="AT35" s="96">
        <f>AR35</f>
        <v>83.97</v>
      </c>
      <c r="AU35" s="42">
        <v>75.49</v>
      </c>
      <c r="AV35" s="42">
        <v>72.49</v>
      </c>
      <c r="AW35" s="38">
        <f>AU35</f>
        <v>75.49</v>
      </c>
      <c r="AX35" s="42">
        <v>76.33</v>
      </c>
      <c r="AY35" s="42">
        <v>79.57</v>
      </c>
      <c r="AZ35" s="38">
        <f>AX35</f>
        <v>76.33</v>
      </c>
      <c r="BA35" s="42">
        <v>72.71</v>
      </c>
      <c r="BB35" s="42">
        <v>74.89</v>
      </c>
      <c r="BC35" s="38">
        <f>BA35</f>
        <v>72.71</v>
      </c>
      <c r="BD35" s="42">
        <v>85.9</v>
      </c>
      <c r="BE35" s="42">
        <v>84.21</v>
      </c>
      <c r="BF35" s="96">
        <f>BD35</f>
        <v>85.9</v>
      </c>
      <c r="BG35" s="42">
        <v>84.76</v>
      </c>
      <c r="BH35" s="42">
        <v>83.3</v>
      </c>
      <c r="BI35" s="96">
        <f>BG35</f>
        <v>84.76</v>
      </c>
    </row>
    <row r="36" hidden="1" spans="1:61">
      <c r="A36" s="2"/>
      <c r="B36" s="2"/>
      <c r="C36" s="2"/>
      <c r="D36" s="41"/>
      <c r="E36" s="42"/>
      <c r="F36" s="20"/>
      <c r="G36" s="38"/>
      <c r="H36" s="42"/>
      <c r="I36" s="20"/>
      <c r="J36" s="38"/>
      <c r="K36" s="42"/>
      <c r="L36" s="20"/>
      <c r="M36" s="38"/>
      <c r="N36" s="42"/>
      <c r="O36" s="20"/>
      <c r="P36" s="38"/>
      <c r="Q36" s="42"/>
      <c r="R36" s="20"/>
      <c r="S36" s="38"/>
      <c r="T36" s="42"/>
      <c r="U36" s="20"/>
      <c r="V36" s="38"/>
      <c r="W36" s="42"/>
      <c r="X36" s="20"/>
      <c r="Y36" s="38"/>
      <c r="Z36" s="42"/>
      <c r="AA36" s="20"/>
      <c r="AB36" s="38"/>
      <c r="AC36" s="42"/>
      <c r="AD36" s="20"/>
      <c r="AE36" s="38"/>
      <c r="AF36" s="42"/>
      <c r="AG36" s="20"/>
      <c r="AH36" s="38"/>
      <c r="AI36" s="42"/>
      <c r="AJ36" s="20"/>
      <c r="AK36" s="38"/>
      <c r="AL36" s="42"/>
      <c r="AM36" s="20"/>
      <c r="AN36" s="38"/>
      <c r="AO36" s="42"/>
      <c r="AP36" s="20"/>
      <c r="AQ36" s="38"/>
      <c r="AR36" s="42"/>
      <c r="AS36" s="20"/>
      <c r="AT36" s="38"/>
      <c r="AU36" s="42"/>
      <c r="AV36" s="20"/>
      <c r="AW36" s="38"/>
      <c r="AX36" s="42"/>
      <c r="AY36" s="20"/>
      <c r="AZ36" s="38"/>
      <c r="BA36" s="42"/>
      <c r="BB36" s="20"/>
      <c r="BC36" s="38"/>
      <c r="BD36" s="42"/>
      <c r="BE36" s="20"/>
      <c r="BF36" s="38"/>
      <c r="BG36" s="42"/>
      <c r="BH36" s="20"/>
      <c r="BI36" s="38"/>
    </row>
    <row r="37" hidden="1" spans="1:61">
      <c r="A37" s="2">
        <v>14</v>
      </c>
      <c r="B37" s="2" t="s">
        <v>202</v>
      </c>
      <c r="C37" s="37" t="s">
        <v>203</v>
      </c>
      <c r="D37" s="2" t="s">
        <v>172</v>
      </c>
      <c r="E37" s="20">
        <v>611861882000</v>
      </c>
      <c r="F37" s="20">
        <f>F3</f>
        <v>270569770</v>
      </c>
      <c r="G37" s="85">
        <f>E37/F37</f>
        <v>2261.38301407434</v>
      </c>
      <c r="H37" s="20">
        <v>651477866000</v>
      </c>
      <c r="I37" s="20">
        <f>I3</f>
        <v>381158530</v>
      </c>
      <c r="J37" s="85">
        <f>H37/I37</f>
        <v>1709.2044772027</v>
      </c>
      <c r="K37" s="20">
        <v>324077771000</v>
      </c>
      <c r="L37" s="20">
        <f>L3</f>
        <v>129446940</v>
      </c>
      <c r="M37" s="85">
        <f>K37/L37</f>
        <v>2503.55683185713</v>
      </c>
      <c r="N37" s="20">
        <v>549625805000</v>
      </c>
      <c r="O37" s="20">
        <f>O3</f>
        <v>341285950</v>
      </c>
      <c r="P37" s="85">
        <f>N37/O37</f>
        <v>1610.45541136399</v>
      </c>
      <c r="Q37" s="20">
        <v>150606466000</v>
      </c>
      <c r="R37" s="20">
        <f>R3</f>
        <v>100423860</v>
      </c>
      <c r="S37" s="85">
        <f>Q37/R37</f>
        <v>1499.70799768103</v>
      </c>
      <c r="T37" s="20">
        <v>354314718724</v>
      </c>
      <c r="U37" s="20">
        <f>U3</f>
        <v>149175669</v>
      </c>
      <c r="V37" s="85">
        <f>T37/U37</f>
        <v>2375.15086139148</v>
      </c>
      <c r="W37" s="20">
        <v>417949336000</v>
      </c>
      <c r="X37" s="20">
        <f>X3</f>
        <v>243465120</v>
      </c>
      <c r="Y37" s="85">
        <f>W37/X37</f>
        <v>1716.67028114746</v>
      </c>
      <c r="Z37" s="20">
        <v>427245350050</v>
      </c>
      <c r="AA37" s="20">
        <f>AA3</f>
        <v>262258613</v>
      </c>
      <c r="AB37" s="85">
        <f>Z37/AA37</f>
        <v>1629.0994036867</v>
      </c>
      <c r="AC37" s="20">
        <v>313084093950</v>
      </c>
      <c r="AD37" s="20">
        <f>AD3</f>
        <v>140899801</v>
      </c>
      <c r="AE37" s="85">
        <f>AC37/AD37</f>
        <v>2222.03361344705</v>
      </c>
      <c r="AF37" s="20">
        <v>299614784269</v>
      </c>
      <c r="AG37" s="20">
        <f>AG3</f>
        <v>194025757</v>
      </c>
      <c r="AH37" s="85">
        <f>AF37/AG37</f>
        <v>1544.20108392619</v>
      </c>
      <c r="AI37" s="20">
        <v>384322878000</v>
      </c>
      <c r="AJ37" s="20">
        <f>AJ3</f>
        <v>235424900</v>
      </c>
      <c r="AK37" s="85">
        <f>AI37/AJ37</f>
        <v>1632.46486671546</v>
      </c>
      <c r="AL37" s="20">
        <v>368405115344</v>
      </c>
      <c r="AM37" s="20">
        <f>AM3</f>
        <v>216566156</v>
      </c>
      <c r="AN37" s="85">
        <f>AL37/AM37</f>
        <v>1701.12044351011</v>
      </c>
      <c r="AO37" s="20">
        <v>252671241294</v>
      </c>
      <c r="AP37" s="20">
        <f>AP3</f>
        <v>135815254</v>
      </c>
      <c r="AQ37" s="85">
        <f>AO37/AP37</f>
        <v>1860.40399625509</v>
      </c>
      <c r="AR37" s="20">
        <v>346326725000</v>
      </c>
      <c r="AS37" s="20">
        <f>AS3</f>
        <v>183667060</v>
      </c>
      <c r="AT37" s="85">
        <f>AR37/AS37</f>
        <v>1885.62241373058</v>
      </c>
      <c r="AU37" s="20">
        <v>220637312425</v>
      </c>
      <c r="AV37" s="20">
        <f>AV3</f>
        <v>108991580</v>
      </c>
      <c r="AW37" s="85">
        <f>AU37/AV37</f>
        <v>2024.35190337639</v>
      </c>
      <c r="AX37" s="20">
        <v>335081735035</v>
      </c>
      <c r="AY37" s="20">
        <f>AY3</f>
        <v>192879363</v>
      </c>
      <c r="AZ37" s="85">
        <f>AX37/AY37</f>
        <v>1737.26068887422</v>
      </c>
      <c r="BA37" s="20">
        <v>373394654947</v>
      </c>
      <c r="BB37" s="20">
        <f>BB3</f>
        <v>146940229</v>
      </c>
      <c r="BC37" s="85">
        <f>BA37/BB37</f>
        <v>2541.13293199645</v>
      </c>
      <c r="BD37" s="20">
        <v>235912345739</v>
      </c>
      <c r="BE37" s="20">
        <f>BE3</f>
        <v>147690129</v>
      </c>
      <c r="BF37" s="85">
        <f>BD37/BE37</f>
        <v>1597.34673763471</v>
      </c>
      <c r="BG37" s="20">
        <v>208115078225</v>
      </c>
      <c r="BH37" s="20">
        <f>BH3</f>
        <v>116213572</v>
      </c>
      <c r="BI37" s="85">
        <f>BG37/BH37</f>
        <v>1790.79839508762</v>
      </c>
    </row>
    <row r="38" ht="6.5" hidden="1" customHeight="1" spans="1:61">
      <c r="A38" s="2"/>
      <c r="B38" s="2"/>
      <c r="C38" s="6" t="s">
        <v>163</v>
      </c>
      <c r="D38" s="2"/>
      <c r="E38" s="20"/>
      <c r="F38" s="2"/>
      <c r="G38" s="85"/>
      <c r="H38" s="20"/>
      <c r="I38" s="2"/>
      <c r="J38" s="85"/>
      <c r="K38" s="20"/>
      <c r="L38" s="2"/>
      <c r="M38" s="85"/>
      <c r="N38" s="20"/>
      <c r="O38" s="2"/>
      <c r="P38" s="85"/>
      <c r="Q38" s="20"/>
      <c r="R38" s="2"/>
      <c r="S38" s="85"/>
      <c r="T38" s="20"/>
      <c r="U38" s="2"/>
      <c r="V38" s="85"/>
      <c r="W38" s="20"/>
      <c r="X38" s="2"/>
      <c r="Y38" s="85"/>
      <c r="Z38" s="20"/>
      <c r="AA38" s="2"/>
      <c r="AB38" s="85"/>
      <c r="AC38" s="20"/>
      <c r="AD38" s="2"/>
      <c r="AE38" s="85"/>
      <c r="AF38" s="20"/>
      <c r="AG38" s="2"/>
      <c r="AH38" s="85"/>
      <c r="AI38" s="20"/>
      <c r="AJ38" s="2"/>
      <c r="AK38" s="85"/>
      <c r="AL38" s="20"/>
      <c r="AM38" s="2"/>
      <c r="AN38" s="85"/>
      <c r="AO38" s="20"/>
      <c r="AP38" s="2"/>
      <c r="AQ38" s="85"/>
      <c r="AR38" s="20"/>
      <c r="AS38" s="2"/>
      <c r="AT38" s="85"/>
      <c r="AU38" s="20"/>
      <c r="AV38" s="2"/>
      <c r="AW38" s="85"/>
      <c r="AX38" s="20"/>
      <c r="AY38" s="2"/>
      <c r="AZ38" s="85"/>
      <c r="BA38" s="20"/>
      <c r="BB38" s="2"/>
      <c r="BC38" s="85"/>
      <c r="BD38" s="20"/>
      <c r="BE38" s="2"/>
      <c r="BF38" s="85"/>
      <c r="BG38" s="20"/>
      <c r="BH38" s="2"/>
      <c r="BI38" s="85"/>
    </row>
    <row r="39" hidden="1"/>
  </sheetData>
  <mergeCells count="482">
    <mergeCell ref="B1:D1"/>
    <mergeCell ref="A3:A4"/>
    <mergeCell ref="A7:A8"/>
    <mergeCell ref="A12:A13"/>
    <mergeCell ref="A15:A16"/>
    <mergeCell ref="A22:A23"/>
    <mergeCell ref="A25:A26"/>
    <mergeCell ref="A28:A29"/>
    <mergeCell ref="A37:A38"/>
    <mergeCell ref="B3:B4"/>
    <mergeCell ref="B7:B8"/>
    <mergeCell ref="B12:B13"/>
    <mergeCell ref="B15:B16"/>
    <mergeCell ref="B22:B23"/>
    <mergeCell ref="B25:B26"/>
    <mergeCell ref="B28:B29"/>
    <mergeCell ref="B37:B38"/>
    <mergeCell ref="C12:C13"/>
    <mergeCell ref="D3:D4"/>
    <mergeCell ref="D7:D8"/>
    <mergeCell ref="D12:D13"/>
    <mergeCell ref="D15:D16"/>
    <mergeCell ref="D22:D23"/>
    <mergeCell ref="D25:D26"/>
    <mergeCell ref="D28:D29"/>
    <mergeCell ref="D37:D38"/>
    <mergeCell ref="E3:E4"/>
    <mergeCell ref="E7:E8"/>
    <mergeCell ref="E12:E13"/>
    <mergeCell ref="E15:E16"/>
    <mergeCell ref="E22:E23"/>
    <mergeCell ref="E25:E26"/>
    <mergeCell ref="E28:E29"/>
    <mergeCell ref="E37:E38"/>
    <mergeCell ref="F3:F4"/>
    <mergeCell ref="F7:F8"/>
    <mergeCell ref="F12:F13"/>
    <mergeCell ref="F15:F16"/>
    <mergeCell ref="F22:F23"/>
    <mergeCell ref="F25:F26"/>
    <mergeCell ref="F28:F29"/>
    <mergeCell ref="F37:F38"/>
    <mergeCell ref="G3:G4"/>
    <mergeCell ref="G7:G8"/>
    <mergeCell ref="G12:G13"/>
    <mergeCell ref="G15:G16"/>
    <mergeCell ref="G22:G23"/>
    <mergeCell ref="G25:G26"/>
    <mergeCell ref="G28:G29"/>
    <mergeCell ref="G37:G38"/>
    <mergeCell ref="H3:H4"/>
    <mergeCell ref="H7:H8"/>
    <mergeCell ref="H12:H13"/>
    <mergeCell ref="H15:H16"/>
    <mergeCell ref="H22:H23"/>
    <mergeCell ref="H25:H26"/>
    <mergeCell ref="H28:H29"/>
    <mergeCell ref="H37:H38"/>
    <mergeCell ref="I3:I4"/>
    <mergeCell ref="I7:I8"/>
    <mergeCell ref="I12:I13"/>
    <mergeCell ref="I15:I16"/>
    <mergeCell ref="I22:I23"/>
    <mergeCell ref="I25:I26"/>
    <mergeCell ref="I28:I29"/>
    <mergeCell ref="I37:I38"/>
    <mergeCell ref="J3:J4"/>
    <mergeCell ref="J7:J8"/>
    <mergeCell ref="J12:J13"/>
    <mergeCell ref="J15:J16"/>
    <mergeCell ref="J22:J23"/>
    <mergeCell ref="J25:J26"/>
    <mergeCell ref="J28:J29"/>
    <mergeCell ref="J37:J38"/>
    <mergeCell ref="K3:K4"/>
    <mergeCell ref="K7:K8"/>
    <mergeCell ref="K12:K13"/>
    <mergeCell ref="K15:K16"/>
    <mergeCell ref="K22:K23"/>
    <mergeCell ref="K25:K26"/>
    <mergeCell ref="K28:K29"/>
    <mergeCell ref="K37:K38"/>
    <mergeCell ref="L3:L4"/>
    <mergeCell ref="L7:L8"/>
    <mergeCell ref="L12:L13"/>
    <mergeCell ref="L15:L16"/>
    <mergeCell ref="L22:L23"/>
    <mergeCell ref="L25:L26"/>
    <mergeCell ref="L28:L29"/>
    <mergeCell ref="L37:L38"/>
    <mergeCell ref="M3:M4"/>
    <mergeCell ref="M7:M8"/>
    <mergeCell ref="M12:M13"/>
    <mergeCell ref="M15:M16"/>
    <mergeCell ref="M22:M23"/>
    <mergeCell ref="M25:M26"/>
    <mergeCell ref="M28:M29"/>
    <mergeCell ref="M37:M38"/>
    <mergeCell ref="N3:N4"/>
    <mergeCell ref="N7:N8"/>
    <mergeCell ref="N12:N13"/>
    <mergeCell ref="N15:N16"/>
    <mergeCell ref="N22:N23"/>
    <mergeCell ref="N25:N26"/>
    <mergeCell ref="N28:N29"/>
    <mergeCell ref="N37:N38"/>
    <mergeCell ref="O3:O4"/>
    <mergeCell ref="O7:O8"/>
    <mergeCell ref="O12:O13"/>
    <mergeCell ref="O15:O16"/>
    <mergeCell ref="O22:O23"/>
    <mergeCell ref="O25:O26"/>
    <mergeCell ref="O28:O29"/>
    <mergeCell ref="O37:O38"/>
    <mergeCell ref="P3:P4"/>
    <mergeCell ref="P7:P8"/>
    <mergeCell ref="P12:P13"/>
    <mergeCell ref="P15:P16"/>
    <mergeCell ref="P22:P23"/>
    <mergeCell ref="P25:P26"/>
    <mergeCell ref="P28:P29"/>
    <mergeCell ref="P37:P38"/>
    <mergeCell ref="Q3:Q4"/>
    <mergeCell ref="Q7:Q8"/>
    <mergeCell ref="Q12:Q13"/>
    <mergeCell ref="Q15:Q16"/>
    <mergeCell ref="Q22:Q23"/>
    <mergeCell ref="Q25:Q26"/>
    <mergeCell ref="Q28:Q29"/>
    <mergeCell ref="Q37:Q38"/>
    <mergeCell ref="R3:R4"/>
    <mergeCell ref="R7:R8"/>
    <mergeCell ref="R12:R13"/>
    <mergeCell ref="R15:R16"/>
    <mergeCell ref="R22:R23"/>
    <mergeCell ref="R25:R26"/>
    <mergeCell ref="R28:R29"/>
    <mergeCell ref="R37:R38"/>
    <mergeCell ref="S3:S4"/>
    <mergeCell ref="S7:S8"/>
    <mergeCell ref="S12:S13"/>
    <mergeCell ref="S15:S16"/>
    <mergeCell ref="S22:S23"/>
    <mergeCell ref="S25:S26"/>
    <mergeCell ref="S28:S29"/>
    <mergeCell ref="S37:S38"/>
    <mergeCell ref="T3:T4"/>
    <mergeCell ref="T7:T8"/>
    <mergeCell ref="T12:T13"/>
    <mergeCell ref="T15:T16"/>
    <mergeCell ref="T22:T23"/>
    <mergeCell ref="T25:T26"/>
    <mergeCell ref="T28:T29"/>
    <mergeCell ref="T37:T38"/>
    <mergeCell ref="U3:U4"/>
    <mergeCell ref="U7:U8"/>
    <mergeCell ref="U12:U13"/>
    <mergeCell ref="U15:U16"/>
    <mergeCell ref="U22:U23"/>
    <mergeCell ref="U25:U26"/>
    <mergeCell ref="U28:U29"/>
    <mergeCell ref="U37:U38"/>
    <mergeCell ref="V3:V4"/>
    <mergeCell ref="V7:V8"/>
    <mergeCell ref="V12:V13"/>
    <mergeCell ref="V15:V16"/>
    <mergeCell ref="V22:V23"/>
    <mergeCell ref="V25:V26"/>
    <mergeCell ref="V28:V29"/>
    <mergeCell ref="V37:V38"/>
    <mergeCell ref="W3:W4"/>
    <mergeCell ref="W7:W8"/>
    <mergeCell ref="W12:W13"/>
    <mergeCell ref="W15:W16"/>
    <mergeCell ref="W22:W23"/>
    <mergeCell ref="W25:W26"/>
    <mergeCell ref="W28:W29"/>
    <mergeCell ref="W37:W38"/>
    <mergeCell ref="X3:X4"/>
    <mergeCell ref="X7:X8"/>
    <mergeCell ref="X12:X13"/>
    <mergeCell ref="X15:X16"/>
    <mergeCell ref="X22:X23"/>
    <mergeCell ref="X25:X26"/>
    <mergeCell ref="X28:X29"/>
    <mergeCell ref="X37:X38"/>
    <mergeCell ref="Y3:Y4"/>
    <mergeCell ref="Y7:Y8"/>
    <mergeCell ref="Y12:Y13"/>
    <mergeCell ref="Y15:Y16"/>
    <mergeCell ref="Y22:Y23"/>
    <mergeCell ref="Y25:Y26"/>
    <mergeCell ref="Y28:Y29"/>
    <mergeCell ref="Y37:Y38"/>
    <mergeCell ref="Z3:Z4"/>
    <mergeCell ref="Z7:Z8"/>
    <mergeCell ref="Z12:Z13"/>
    <mergeCell ref="Z15:Z16"/>
    <mergeCell ref="Z22:Z23"/>
    <mergeCell ref="Z25:Z26"/>
    <mergeCell ref="Z28:Z29"/>
    <mergeCell ref="Z37:Z38"/>
    <mergeCell ref="AA3:AA4"/>
    <mergeCell ref="AA7:AA8"/>
    <mergeCell ref="AA12:AA13"/>
    <mergeCell ref="AA15:AA16"/>
    <mergeCell ref="AA22:AA23"/>
    <mergeCell ref="AA25:AA26"/>
    <mergeCell ref="AA28:AA29"/>
    <mergeCell ref="AA37:AA38"/>
    <mergeCell ref="AB3:AB4"/>
    <mergeCell ref="AB7:AB8"/>
    <mergeCell ref="AB12:AB13"/>
    <mergeCell ref="AB15:AB16"/>
    <mergeCell ref="AB22:AB23"/>
    <mergeCell ref="AB25:AB26"/>
    <mergeCell ref="AB28:AB29"/>
    <mergeCell ref="AB37:AB38"/>
    <mergeCell ref="AC3:AC4"/>
    <mergeCell ref="AC7:AC8"/>
    <mergeCell ref="AC12:AC13"/>
    <mergeCell ref="AC15:AC16"/>
    <mergeCell ref="AC22:AC23"/>
    <mergeCell ref="AC25:AC26"/>
    <mergeCell ref="AC28:AC29"/>
    <mergeCell ref="AC37:AC38"/>
    <mergeCell ref="AD3:AD4"/>
    <mergeCell ref="AD7:AD8"/>
    <mergeCell ref="AD12:AD13"/>
    <mergeCell ref="AD15:AD16"/>
    <mergeCell ref="AD22:AD23"/>
    <mergeCell ref="AD25:AD26"/>
    <mergeCell ref="AD28:AD29"/>
    <mergeCell ref="AD37:AD38"/>
    <mergeCell ref="AE3:AE4"/>
    <mergeCell ref="AE7:AE8"/>
    <mergeCell ref="AE12:AE13"/>
    <mergeCell ref="AE15:AE16"/>
    <mergeCell ref="AE22:AE23"/>
    <mergeCell ref="AE25:AE26"/>
    <mergeCell ref="AE28:AE29"/>
    <mergeCell ref="AE37:AE38"/>
    <mergeCell ref="AF3:AF4"/>
    <mergeCell ref="AF7:AF8"/>
    <mergeCell ref="AF12:AF13"/>
    <mergeCell ref="AF15:AF16"/>
    <mergeCell ref="AF22:AF23"/>
    <mergeCell ref="AF25:AF26"/>
    <mergeCell ref="AF28:AF29"/>
    <mergeCell ref="AF37:AF38"/>
    <mergeCell ref="AG3:AG4"/>
    <mergeCell ref="AG7:AG8"/>
    <mergeCell ref="AG12:AG13"/>
    <mergeCell ref="AG15:AG16"/>
    <mergeCell ref="AG22:AG23"/>
    <mergeCell ref="AG25:AG26"/>
    <mergeCell ref="AG28:AG29"/>
    <mergeCell ref="AG37:AG38"/>
    <mergeCell ref="AH3:AH4"/>
    <mergeCell ref="AH7:AH8"/>
    <mergeCell ref="AH12:AH13"/>
    <mergeCell ref="AH15:AH16"/>
    <mergeCell ref="AH22:AH23"/>
    <mergeCell ref="AH25:AH26"/>
    <mergeCell ref="AH28:AH29"/>
    <mergeCell ref="AH37:AH38"/>
    <mergeCell ref="AI3:AI4"/>
    <mergeCell ref="AI7:AI8"/>
    <mergeCell ref="AI12:AI13"/>
    <mergeCell ref="AI15:AI16"/>
    <mergeCell ref="AI22:AI23"/>
    <mergeCell ref="AI25:AI26"/>
    <mergeCell ref="AI28:AI29"/>
    <mergeCell ref="AI37:AI38"/>
    <mergeCell ref="AJ3:AJ4"/>
    <mergeCell ref="AJ7:AJ8"/>
    <mergeCell ref="AJ12:AJ13"/>
    <mergeCell ref="AJ15:AJ16"/>
    <mergeCell ref="AJ22:AJ23"/>
    <mergeCell ref="AJ25:AJ26"/>
    <mergeCell ref="AJ28:AJ29"/>
    <mergeCell ref="AJ37:AJ38"/>
    <mergeCell ref="AK3:AK4"/>
    <mergeCell ref="AK7:AK8"/>
    <mergeCell ref="AK12:AK13"/>
    <mergeCell ref="AK15:AK16"/>
    <mergeCell ref="AK22:AK23"/>
    <mergeCell ref="AK25:AK26"/>
    <mergeCell ref="AK28:AK29"/>
    <mergeCell ref="AK37:AK38"/>
    <mergeCell ref="AL3:AL4"/>
    <mergeCell ref="AL7:AL8"/>
    <mergeCell ref="AL12:AL13"/>
    <mergeCell ref="AL15:AL16"/>
    <mergeCell ref="AL22:AL23"/>
    <mergeCell ref="AL25:AL26"/>
    <mergeCell ref="AL28:AL29"/>
    <mergeCell ref="AL37:AL38"/>
    <mergeCell ref="AM3:AM4"/>
    <mergeCell ref="AM7:AM8"/>
    <mergeCell ref="AM12:AM13"/>
    <mergeCell ref="AM15:AM16"/>
    <mergeCell ref="AM22:AM23"/>
    <mergeCell ref="AM25:AM26"/>
    <mergeCell ref="AM28:AM29"/>
    <mergeCell ref="AM37:AM38"/>
    <mergeCell ref="AN3:AN4"/>
    <mergeCell ref="AN7:AN8"/>
    <mergeCell ref="AN12:AN13"/>
    <mergeCell ref="AN15:AN16"/>
    <mergeCell ref="AN22:AN23"/>
    <mergeCell ref="AN25:AN26"/>
    <mergeCell ref="AN28:AN29"/>
    <mergeCell ref="AN37:AN38"/>
    <mergeCell ref="AO3:AO4"/>
    <mergeCell ref="AO7:AO8"/>
    <mergeCell ref="AO12:AO13"/>
    <mergeCell ref="AO15:AO16"/>
    <mergeCell ref="AO22:AO23"/>
    <mergeCell ref="AO25:AO26"/>
    <mergeCell ref="AO28:AO29"/>
    <mergeCell ref="AO37:AO38"/>
    <mergeCell ref="AP3:AP4"/>
    <mergeCell ref="AP7:AP8"/>
    <mergeCell ref="AP12:AP13"/>
    <mergeCell ref="AP15:AP16"/>
    <mergeCell ref="AP22:AP23"/>
    <mergeCell ref="AP25:AP26"/>
    <mergeCell ref="AP28:AP29"/>
    <mergeCell ref="AP37:AP38"/>
    <mergeCell ref="AQ3:AQ4"/>
    <mergeCell ref="AQ7:AQ8"/>
    <mergeCell ref="AQ12:AQ13"/>
    <mergeCell ref="AQ15:AQ16"/>
    <mergeCell ref="AQ22:AQ23"/>
    <mergeCell ref="AQ25:AQ26"/>
    <mergeCell ref="AQ28:AQ29"/>
    <mergeCell ref="AQ37:AQ38"/>
    <mergeCell ref="AR3:AR4"/>
    <mergeCell ref="AR7:AR8"/>
    <mergeCell ref="AR12:AR13"/>
    <mergeCell ref="AR15:AR16"/>
    <mergeCell ref="AR22:AR23"/>
    <mergeCell ref="AR25:AR26"/>
    <mergeCell ref="AR28:AR29"/>
    <mergeCell ref="AR37:AR38"/>
    <mergeCell ref="AS3:AS4"/>
    <mergeCell ref="AS7:AS8"/>
    <mergeCell ref="AS12:AS13"/>
    <mergeCell ref="AS15:AS16"/>
    <mergeCell ref="AS22:AS23"/>
    <mergeCell ref="AS25:AS26"/>
    <mergeCell ref="AS28:AS29"/>
    <mergeCell ref="AS37:AS38"/>
    <mergeCell ref="AT3:AT4"/>
    <mergeCell ref="AT7:AT8"/>
    <mergeCell ref="AT12:AT13"/>
    <mergeCell ref="AT15:AT16"/>
    <mergeCell ref="AT22:AT23"/>
    <mergeCell ref="AT25:AT26"/>
    <mergeCell ref="AT28:AT29"/>
    <mergeCell ref="AT37:AT38"/>
    <mergeCell ref="AU3:AU4"/>
    <mergeCell ref="AU7:AU8"/>
    <mergeCell ref="AU12:AU13"/>
    <mergeCell ref="AU15:AU16"/>
    <mergeCell ref="AU22:AU23"/>
    <mergeCell ref="AU25:AU26"/>
    <mergeCell ref="AU28:AU29"/>
    <mergeCell ref="AU37:AU38"/>
    <mergeCell ref="AV3:AV4"/>
    <mergeCell ref="AV7:AV8"/>
    <mergeCell ref="AV12:AV13"/>
    <mergeCell ref="AV15:AV16"/>
    <mergeCell ref="AV22:AV23"/>
    <mergeCell ref="AV25:AV26"/>
    <mergeCell ref="AV28:AV29"/>
    <mergeCell ref="AV37:AV38"/>
    <mergeCell ref="AW3:AW4"/>
    <mergeCell ref="AW7:AW8"/>
    <mergeCell ref="AW12:AW13"/>
    <mergeCell ref="AW15:AW16"/>
    <mergeCell ref="AW22:AW23"/>
    <mergeCell ref="AW25:AW26"/>
    <mergeCell ref="AW28:AW29"/>
    <mergeCell ref="AW37:AW38"/>
    <mergeCell ref="AX3:AX4"/>
    <mergeCell ref="AX7:AX8"/>
    <mergeCell ref="AX12:AX13"/>
    <mergeCell ref="AX15:AX16"/>
    <mergeCell ref="AX22:AX23"/>
    <mergeCell ref="AX25:AX26"/>
    <mergeCell ref="AX28:AX29"/>
    <mergeCell ref="AX37:AX38"/>
    <mergeCell ref="AY3:AY4"/>
    <mergeCell ref="AY7:AY8"/>
    <mergeCell ref="AY12:AY13"/>
    <mergeCell ref="AY15:AY16"/>
    <mergeCell ref="AY22:AY23"/>
    <mergeCell ref="AY25:AY26"/>
    <mergeCell ref="AY28:AY29"/>
    <mergeCell ref="AY37:AY38"/>
    <mergeCell ref="AZ3:AZ4"/>
    <mergeCell ref="AZ7:AZ8"/>
    <mergeCell ref="AZ12:AZ13"/>
    <mergeCell ref="AZ15:AZ16"/>
    <mergeCell ref="AZ22:AZ23"/>
    <mergeCell ref="AZ25:AZ26"/>
    <mergeCell ref="AZ28:AZ29"/>
    <mergeCell ref="AZ37:AZ38"/>
    <mergeCell ref="BA3:BA4"/>
    <mergeCell ref="BA7:BA8"/>
    <mergeCell ref="BA12:BA13"/>
    <mergeCell ref="BA15:BA16"/>
    <mergeCell ref="BA22:BA23"/>
    <mergeCell ref="BA25:BA26"/>
    <mergeCell ref="BA28:BA29"/>
    <mergeCell ref="BA37:BA38"/>
    <mergeCell ref="BB3:BB4"/>
    <mergeCell ref="BB7:BB8"/>
    <mergeCell ref="BB12:BB13"/>
    <mergeCell ref="BB15:BB16"/>
    <mergeCell ref="BB22:BB23"/>
    <mergeCell ref="BB25:BB26"/>
    <mergeCell ref="BB28:BB29"/>
    <mergeCell ref="BB37:BB38"/>
    <mergeCell ref="BC3:BC4"/>
    <mergeCell ref="BC7:BC8"/>
    <mergeCell ref="BC12:BC13"/>
    <mergeCell ref="BC15:BC16"/>
    <mergeCell ref="BC22:BC23"/>
    <mergeCell ref="BC25:BC26"/>
    <mergeCell ref="BC28:BC29"/>
    <mergeCell ref="BC37:BC38"/>
    <mergeCell ref="BD3:BD4"/>
    <mergeCell ref="BD7:BD8"/>
    <mergeCell ref="BD12:BD13"/>
    <mergeCell ref="BD15:BD16"/>
    <mergeCell ref="BD22:BD23"/>
    <mergeCell ref="BD25:BD26"/>
    <mergeCell ref="BD28:BD29"/>
    <mergeCell ref="BD37:BD38"/>
    <mergeCell ref="BE3:BE4"/>
    <mergeCell ref="BE7:BE8"/>
    <mergeCell ref="BE12:BE13"/>
    <mergeCell ref="BE15:BE16"/>
    <mergeCell ref="BE22:BE23"/>
    <mergeCell ref="BE25:BE26"/>
    <mergeCell ref="BE28:BE29"/>
    <mergeCell ref="BE37:BE38"/>
    <mergeCell ref="BF3:BF4"/>
    <mergeCell ref="BF7:BF8"/>
    <mergeCell ref="BF12:BF13"/>
    <mergeCell ref="BF15:BF16"/>
    <mergeCell ref="BF22:BF23"/>
    <mergeCell ref="BF25:BF26"/>
    <mergeCell ref="BF28:BF29"/>
    <mergeCell ref="BF37:BF38"/>
    <mergeCell ref="BG3:BG4"/>
    <mergeCell ref="BG7:BG8"/>
    <mergeCell ref="BG12:BG13"/>
    <mergeCell ref="BG15:BG16"/>
    <mergeCell ref="BG22:BG23"/>
    <mergeCell ref="BG25:BG26"/>
    <mergeCell ref="BG28:BG29"/>
    <mergeCell ref="BG37:BG38"/>
    <mergeCell ref="BH3:BH4"/>
    <mergeCell ref="BH7:BH8"/>
    <mergeCell ref="BH12:BH13"/>
    <mergeCell ref="BH15:BH16"/>
    <mergeCell ref="BH22:BH23"/>
    <mergeCell ref="BH25:BH26"/>
    <mergeCell ref="BH28:BH29"/>
    <mergeCell ref="BH37:BH38"/>
    <mergeCell ref="BI3:BI4"/>
    <mergeCell ref="BI7:BI8"/>
    <mergeCell ref="BI12:BI13"/>
    <mergeCell ref="BI15:BI16"/>
    <mergeCell ref="BI22:BI23"/>
    <mergeCell ref="BI25:BI26"/>
    <mergeCell ref="BI28:BI29"/>
    <mergeCell ref="BI37:BI38"/>
  </mergeCells>
  <pageMargins left="0.7" right="0.7" top="0.75" bottom="0.75" header="0.3" footer="0.3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F11" sqref="F11"/>
    </sheetView>
  </sheetViews>
  <sheetFormatPr defaultColWidth="9" defaultRowHeight="15"/>
  <cols>
    <col min="1" max="1" width="4.81904761904762" customWidth="1"/>
    <col min="2" max="2" width="33.6285714285714" customWidth="1"/>
    <col min="3" max="3" width="48.1809523809524" customWidth="1"/>
    <col min="4" max="4" width="17.9047619047619" customWidth="1"/>
    <col min="5" max="5" width="15" customWidth="1"/>
    <col min="6" max="6" width="13.9047619047619" customWidth="1"/>
    <col min="7" max="7" width="15" customWidth="1"/>
    <col min="8" max="8" width="14.2666666666667" customWidth="1"/>
    <col min="9" max="9" width="14.6285714285714" hidden="1" customWidth="1"/>
    <col min="10" max="10" width="15.2666666666667" customWidth="1"/>
  </cols>
  <sheetData>
    <row r="1" s="15" customFormat="1" ht="18.75" spans="1:11">
      <c r="A1" s="16" t="s">
        <v>240</v>
      </c>
      <c r="B1" s="16"/>
      <c r="C1" s="16"/>
      <c r="D1" s="16"/>
      <c r="E1" s="16"/>
      <c r="F1" s="16"/>
      <c r="G1" s="16"/>
      <c r="H1" s="16"/>
      <c r="I1" s="16"/>
      <c r="J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 t="s">
        <v>243</v>
      </c>
      <c r="J2" s="18">
        <v>2082</v>
      </c>
      <c r="K2" s="2"/>
    </row>
    <row r="3" ht="15.75" spans="1:11">
      <c r="A3" s="2">
        <v>1</v>
      </c>
      <c r="B3" t="s">
        <v>244</v>
      </c>
      <c r="C3" s="19" t="s">
        <v>245</v>
      </c>
      <c r="D3" s="2" t="s">
        <v>246</v>
      </c>
      <c r="E3" s="20">
        <v>12865550000</v>
      </c>
      <c r="F3" s="20">
        <v>17201492000</v>
      </c>
      <c r="G3" s="20">
        <v>23968559000</v>
      </c>
      <c r="H3" s="20">
        <v>24431937000</v>
      </c>
      <c r="I3" s="69">
        <v>17204804000</v>
      </c>
      <c r="J3" s="20">
        <f>I3*1.333</f>
        <v>22934003732</v>
      </c>
      <c r="K3" s="2"/>
    </row>
    <row r="4" ht="15.75" spans="1:11">
      <c r="A4" s="2">
        <v>2</v>
      </c>
      <c r="B4" s="19" t="s">
        <v>247</v>
      </c>
      <c r="C4" s="19" t="s">
        <v>248</v>
      </c>
      <c r="D4" s="2" t="s">
        <v>246</v>
      </c>
      <c r="E4" s="22">
        <v>5096695000</v>
      </c>
      <c r="F4" s="22">
        <v>6586669000</v>
      </c>
      <c r="G4" s="22">
        <v>8086584000</v>
      </c>
      <c r="H4" s="22">
        <v>9112098000</v>
      </c>
      <c r="I4" s="22">
        <v>7903956000</v>
      </c>
      <c r="J4" s="92">
        <f>I4*1.333</f>
        <v>10535973348</v>
      </c>
      <c r="K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>
        <v>1828277000</v>
      </c>
      <c r="F5" s="20">
        <v>2546059000</v>
      </c>
      <c r="G5" s="20">
        <v>3393154000</v>
      </c>
      <c r="H5" s="20">
        <v>3700648000</v>
      </c>
      <c r="I5" s="21">
        <v>3457636000</v>
      </c>
      <c r="J5" s="20">
        <f>I5*1.333</f>
        <v>4609028788</v>
      </c>
    </row>
    <row r="6" ht="30" spans="1:11">
      <c r="A6" s="2">
        <v>4</v>
      </c>
      <c r="B6" s="19" t="s">
        <v>251</v>
      </c>
      <c r="C6" s="19" t="s">
        <v>252</v>
      </c>
      <c r="D6" s="23" t="s">
        <v>253</v>
      </c>
      <c r="E6" s="24">
        <f t="shared" ref="E6:J6" si="0">E5/E3</f>
        <v>0.142106400425944</v>
      </c>
      <c r="F6" s="24">
        <f t="shared" si="0"/>
        <v>0.148013846705856</v>
      </c>
      <c r="G6" s="24">
        <f t="shared" si="0"/>
        <v>0.141566875171761</v>
      </c>
      <c r="H6" s="24">
        <f t="shared" si="0"/>
        <v>0.151467646629901</v>
      </c>
      <c r="I6" s="24">
        <f t="shared" si="0"/>
        <v>0.200969217667345</v>
      </c>
      <c r="J6" s="24">
        <f t="shared" si="0"/>
        <v>0.200969217667345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>
        <v>20.56</v>
      </c>
      <c r="F7" s="2">
        <v>27.01</v>
      </c>
      <c r="G7" s="2">
        <v>31.72</v>
      </c>
      <c r="H7" s="2">
        <v>31.45</v>
      </c>
      <c r="I7" s="2">
        <v>35.61</v>
      </c>
      <c r="J7" s="2">
        <f>I7</f>
        <v>35.61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>
        <v>35.9</v>
      </c>
      <c r="F8" s="25">
        <v>16.25</v>
      </c>
      <c r="G8" s="25">
        <v>17.75</v>
      </c>
      <c r="H8" s="25">
        <v>18.22</v>
      </c>
      <c r="I8" s="25">
        <v>21.23</v>
      </c>
      <c r="J8" s="25">
        <f>I8</f>
        <v>21.23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K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K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4" ht="18.75" spans="1:11">
      <c r="A14" s="280"/>
      <c r="B14" s="281" t="s">
        <v>266</v>
      </c>
      <c r="C14" s="281"/>
      <c r="D14" s="281"/>
      <c r="E14" s="281"/>
      <c r="F14" s="281"/>
      <c r="G14" s="281"/>
      <c r="H14" s="281"/>
      <c r="I14" s="281"/>
      <c r="J14" s="281"/>
    </row>
    <row r="15" ht="37.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2078</v>
      </c>
      <c r="F15" s="18">
        <v>2079</v>
      </c>
      <c r="G15" s="18">
        <v>2080</v>
      </c>
      <c r="H15" s="18">
        <v>2081</v>
      </c>
      <c r="I15" s="18" t="s">
        <v>243</v>
      </c>
      <c r="J15" s="18">
        <v>2082</v>
      </c>
    </row>
    <row r="16" ht="15.75" spans="1:11">
      <c r="A16" s="2">
        <v>1</v>
      </c>
      <c r="B16" t="s">
        <v>244</v>
      </c>
      <c r="C16" s="19" t="s">
        <v>245</v>
      </c>
      <c r="D16" s="2" t="s">
        <v>246</v>
      </c>
      <c r="E16" s="20">
        <v>19047442000</v>
      </c>
      <c r="F16" s="20">
        <v>26041581000</v>
      </c>
      <c r="G16" s="20">
        <v>50409410000</v>
      </c>
      <c r="H16" s="20">
        <v>50823295000</v>
      </c>
      <c r="I16" s="20">
        <v>33786039000</v>
      </c>
      <c r="J16" s="20">
        <f>I16*1.333</f>
        <v>45036789987</v>
      </c>
    </row>
    <row r="17" ht="15.75" spans="1:10">
      <c r="A17" s="2">
        <v>2</v>
      </c>
      <c r="B17" s="19" t="s">
        <v>247</v>
      </c>
      <c r="C17" s="19" t="s">
        <v>248</v>
      </c>
      <c r="D17" s="2" t="s">
        <v>246</v>
      </c>
      <c r="E17" s="22">
        <v>10683416000</v>
      </c>
      <c r="F17" s="92">
        <v>11231841000</v>
      </c>
      <c r="G17" s="22">
        <v>17790192000</v>
      </c>
      <c r="H17" s="22">
        <v>16978221000</v>
      </c>
      <c r="I17" s="22">
        <v>13005058000</v>
      </c>
      <c r="J17" s="92">
        <f>I17*1.333</f>
        <v>17335742314</v>
      </c>
    </row>
    <row r="18" ht="15.75" spans="1:10">
      <c r="A18" s="2">
        <v>3</v>
      </c>
      <c r="B18" s="19" t="s">
        <v>249</v>
      </c>
      <c r="C18" s="19" t="s">
        <v>250</v>
      </c>
      <c r="D18" s="2" t="s">
        <v>246</v>
      </c>
      <c r="E18" s="20">
        <v>4504437000</v>
      </c>
      <c r="F18" s="20">
        <v>4972756000</v>
      </c>
      <c r="G18" s="20">
        <v>7527149000</v>
      </c>
      <c r="H18" s="20">
        <v>7060033000</v>
      </c>
      <c r="I18" s="20">
        <v>5051419000</v>
      </c>
      <c r="J18" s="20">
        <f>I18*1.333</f>
        <v>6733541527</v>
      </c>
    </row>
    <row r="19" ht="30" spans="1:10">
      <c r="A19" s="2">
        <v>4</v>
      </c>
      <c r="B19" s="19" t="s">
        <v>251</v>
      </c>
      <c r="C19" s="19" t="s">
        <v>252</v>
      </c>
      <c r="D19" s="23" t="s">
        <v>253</v>
      </c>
      <c r="E19" s="24">
        <f t="shared" ref="E19:J19" si="1">E18/E16</f>
        <v>0.236485140629382</v>
      </c>
      <c r="F19" s="24">
        <f t="shared" si="1"/>
        <v>0.190954458563787</v>
      </c>
      <c r="G19" s="24">
        <f t="shared" si="1"/>
        <v>0.149320315393495</v>
      </c>
      <c r="H19" s="24">
        <f t="shared" si="1"/>
        <v>0.138913327048158</v>
      </c>
      <c r="I19" s="24">
        <f t="shared" si="1"/>
        <v>0.149512021814691</v>
      </c>
      <c r="J19" s="24">
        <f t="shared" si="1"/>
        <v>0.149512021814691</v>
      </c>
    </row>
    <row r="20" ht="15.75" spans="1:10">
      <c r="A20" s="2">
        <v>5</v>
      </c>
      <c r="B20" s="19" t="s">
        <v>254</v>
      </c>
      <c r="C20" s="19" t="s">
        <v>255</v>
      </c>
      <c r="D20" s="2" t="s">
        <v>246</v>
      </c>
      <c r="E20" s="2">
        <v>33.4</v>
      </c>
      <c r="F20" s="2">
        <v>26.88</v>
      </c>
      <c r="G20" s="2">
        <v>27.82</v>
      </c>
      <c r="H20" s="2">
        <v>26.09</v>
      </c>
      <c r="I20" s="2">
        <v>25.05</v>
      </c>
      <c r="J20" s="2">
        <f>I20</f>
        <v>25.05</v>
      </c>
    </row>
    <row r="21" ht="31.5" spans="1:10">
      <c r="A21" s="2">
        <v>6</v>
      </c>
      <c r="B21" s="19" t="s">
        <v>256</v>
      </c>
      <c r="C21" s="19" t="s">
        <v>257</v>
      </c>
      <c r="D21" s="2" t="s">
        <v>246</v>
      </c>
      <c r="E21" s="25">
        <v>40.69</v>
      </c>
      <c r="F21" s="25">
        <v>32.79</v>
      </c>
      <c r="G21" s="25">
        <v>21.54</v>
      </c>
      <c r="H21" s="25">
        <v>20.08</v>
      </c>
      <c r="I21" s="93">
        <v>22.02</v>
      </c>
      <c r="J21" s="93">
        <f>I21</f>
        <v>22.02</v>
      </c>
    </row>
    <row r="22" ht="31.5" spans="1:10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10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10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10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  <row r="26" ht="15.75" spans="1:10">
      <c r="B26" s="19"/>
    </row>
  </sheetData>
  <mergeCells count="3">
    <mergeCell ref="A1:J1"/>
    <mergeCell ref="B14:J14"/>
    <mergeCell ref="K9:K10"/>
  </mergeCells>
  <pageMargins left="0.7" right="0.7" top="0.75" bottom="0.75" header="0.3" footer="0.3"/>
  <pageSetup paperSize="1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7"/>
  <sheetViews>
    <sheetView zoomScale="110" zoomScaleNormal="110" topLeftCell="A3" workbookViewId="0">
      <selection activeCell="G21" sqref="G21:G22"/>
    </sheetView>
  </sheetViews>
  <sheetFormatPr defaultColWidth="9" defaultRowHeight="15"/>
  <cols>
    <col min="1" max="1" width="4.26666666666667" customWidth="1"/>
    <col min="2" max="2" width="22.9047619047619" customWidth="1"/>
    <col min="3" max="3" width="21" customWidth="1"/>
    <col min="4" max="4" width="9.72380952380952" customWidth="1"/>
    <col min="5" max="5" width="14.2666666666667" customWidth="1"/>
    <col min="6" max="6" width="14.1809523809524" customWidth="1"/>
    <col min="7" max="7" width="9.90476190476191" style="6" customWidth="1"/>
    <col min="8" max="8" width="14.2666666666667" customWidth="1"/>
    <col min="9" max="9" width="14.1809523809524" customWidth="1"/>
    <col min="10" max="10" width="9.90476190476191" style="6" customWidth="1"/>
    <col min="11" max="11" width="14.2666666666667" customWidth="1"/>
    <col min="12" max="12" width="14.1809523809524" customWidth="1"/>
    <col min="13" max="13" width="9.90476190476191" style="6" customWidth="1"/>
    <col min="14" max="14" width="14.2666666666667" customWidth="1"/>
    <col min="15" max="15" width="14.1809523809524" customWidth="1"/>
    <col min="16" max="16" width="9.90476190476191" style="6" customWidth="1"/>
    <col min="17" max="17" width="14.2666666666667" customWidth="1"/>
    <col min="18" max="18" width="14.1809523809524" customWidth="1"/>
    <col min="19" max="19" width="9.90476190476191" style="6" customWidth="1"/>
    <col min="20" max="20" width="14.2666666666667" customWidth="1"/>
    <col min="21" max="21" width="14.1809523809524" customWidth="1"/>
    <col min="22" max="22" width="9.90476190476191" style="6" customWidth="1"/>
    <col min="23" max="23" width="14.2666666666667" customWidth="1"/>
    <col min="24" max="24" width="14.1809523809524" customWidth="1"/>
    <col min="25" max="25" width="9.90476190476191" style="6" customWidth="1"/>
    <col min="26" max="26" width="14.2666666666667" customWidth="1"/>
    <col min="27" max="27" width="14.1809523809524" customWidth="1"/>
    <col min="28" max="28" width="9.90476190476191" style="6" customWidth="1"/>
    <col min="29" max="29" width="14.2666666666667" customWidth="1"/>
    <col min="30" max="30" width="14.1809523809524" customWidth="1"/>
    <col min="31" max="31" width="9.90476190476191" style="6" customWidth="1"/>
    <col min="32" max="32" width="14.2666666666667" customWidth="1"/>
    <col min="33" max="33" width="14.1809523809524" customWidth="1"/>
    <col min="34" max="34" width="9.90476190476191" style="6" customWidth="1"/>
    <col min="35" max="35" width="14.2666666666667" customWidth="1"/>
    <col min="36" max="36" width="14.1809523809524" customWidth="1"/>
    <col min="37" max="37" width="9.90476190476191" style="6" customWidth="1"/>
    <col min="38" max="38" width="14.2666666666667" customWidth="1"/>
    <col min="39" max="39" width="14.1809523809524" customWidth="1"/>
    <col min="40" max="40" width="9.90476190476191" style="6" customWidth="1"/>
    <col min="41" max="41" width="14.2666666666667" customWidth="1"/>
    <col min="42" max="42" width="14.1809523809524" customWidth="1"/>
    <col min="43" max="43" width="9.90476190476191" style="6" customWidth="1"/>
    <col min="44" max="44" width="14.2666666666667" customWidth="1"/>
    <col min="45" max="45" width="14.1809523809524" customWidth="1"/>
    <col min="46" max="46" width="9.90476190476191" style="6" customWidth="1"/>
    <col min="47" max="47" width="14.2666666666667" customWidth="1"/>
    <col min="48" max="48" width="14.1809523809524" customWidth="1"/>
    <col min="49" max="49" width="9.90476190476191" style="6" customWidth="1"/>
    <col min="50" max="50" width="14.2666666666667" customWidth="1"/>
    <col min="51" max="51" width="14.1809523809524" customWidth="1"/>
    <col min="52" max="52" width="9.90476190476191" style="6" customWidth="1"/>
  </cols>
  <sheetData>
    <row r="1" ht="18.75" spans="1:52">
      <c r="A1" s="58" t="s">
        <v>267</v>
      </c>
      <c r="B1" s="59"/>
      <c r="C1" s="59"/>
      <c r="D1" s="60"/>
      <c r="E1" s="61" t="s">
        <v>268</v>
      </c>
      <c r="F1" s="62"/>
      <c r="G1" s="63"/>
      <c r="H1" s="61" t="s">
        <v>269</v>
      </c>
      <c r="I1" s="62"/>
      <c r="J1" s="63"/>
      <c r="K1" s="61" t="s">
        <v>270</v>
      </c>
      <c r="L1" s="62"/>
      <c r="M1" s="63"/>
      <c r="N1" s="61" t="s">
        <v>271</v>
      </c>
      <c r="O1" s="62"/>
      <c r="P1" s="63"/>
      <c r="Q1" s="61" t="s">
        <v>272</v>
      </c>
      <c r="R1" s="62"/>
      <c r="S1" s="63"/>
      <c r="T1" s="61" t="s">
        <v>273</v>
      </c>
      <c r="U1" s="62"/>
      <c r="V1" s="63"/>
      <c r="W1" s="61" t="s">
        <v>274</v>
      </c>
      <c r="X1" s="62"/>
      <c r="Y1" s="63"/>
      <c r="Z1" s="61" t="s">
        <v>275</v>
      </c>
      <c r="AA1" s="62"/>
      <c r="AB1" s="63"/>
      <c r="AC1" s="61" t="s">
        <v>276</v>
      </c>
      <c r="AD1" s="62"/>
      <c r="AE1" s="63"/>
      <c r="AF1" s="61" t="s">
        <v>277</v>
      </c>
      <c r="AG1" s="62"/>
      <c r="AH1" s="63"/>
      <c r="AI1" s="61" t="s">
        <v>278</v>
      </c>
      <c r="AJ1" s="62"/>
      <c r="AK1" s="63"/>
      <c r="AL1" s="61" t="s">
        <v>279</v>
      </c>
      <c r="AM1" s="62"/>
      <c r="AN1" s="63"/>
      <c r="AO1" s="61" t="s">
        <v>280</v>
      </c>
      <c r="AP1" s="62"/>
      <c r="AQ1" s="63"/>
      <c r="AR1" s="61" t="s">
        <v>281</v>
      </c>
      <c r="AS1" s="62"/>
      <c r="AT1" s="63"/>
      <c r="AU1" s="61" t="s">
        <v>282</v>
      </c>
      <c r="AV1" s="62"/>
      <c r="AW1" s="63"/>
      <c r="AX1" s="61" t="s">
        <v>283</v>
      </c>
      <c r="AY1" s="62"/>
      <c r="AZ1" s="63"/>
    </row>
    <row r="2" ht="15.75" spans="1:52">
      <c r="A2" s="77" t="s">
        <v>0</v>
      </c>
      <c r="B2" s="77" t="s">
        <v>155</v>
      </c>
      <c r="C2" s="77" t="s">
        <v>156</v>
      </c>
      <c r="D2" s="77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  <c r="AI2" s="35" t="s">
        <v>158</v>
      </c>
      <c r="AJ2" s="35" t="s">
        <v>159</v>
      </c>
      <c r="AK2" s="35" t="s">
        <v>160</v>
      </c>
      <c r="AL2" s="35" t="s">
        <v>158</v>
      </c>
      <c r="AM2" s="35" t="s">
        <v>159</v>
      </c>
      <c r="AN2" s="35" t="s">
        <v>160</v>
      </c>
      <c r="AO2" s="35" t="s">
        <v>158</v>
      </c>
      <c r="AP2" s="35" t="s">
        <v>159</v>
      </c>
      <c r="AQ2" s="35" t="s">
        <v>160</v>
      </c>
      <c r="AR2" s="35" t="s">
        <v>158</v>
      </c>
      <c r="AS2" s="35" t="s">
        <v>159</v>
      </c>
      <c r="AT2" s="35" t="s">
        <v>160</v>
      </c>
      <c r="AU2" s="35" t="s">
        <v>158</v>
      </c>
      <c r="AV2" s="35" t="s">
        <v>159</v>
      </c>
      <c r="AW2" s="35" t="s">
        <v>160</v>
      </c>
      <c r="AX2" s="35" t="s">
        <v>158</v>
      </c>
      <c r="AY2" s="35" t="s">
        <v>159</v>
      </c>
      <c r="AZ2" s="35" t="s">
        <v>160</v>
      </c>
    </row>
    <row r="3" spans="1:52">
      <c r="A3" s="2">
        <v>1</v>
      </c>
      <c r="B3" s="2" t="s">
        <v>65</v>
      </c>
      <c r="C3" s="37" t="s">
        <v>161</v>
      </c>
      <c r="D3" s="2" t="s">
        <v>162</v>
      </c>
      <c r="E3" s="20">
        <v>1537431000</v>
      </c>
      <c r="F3" s="20">
        <v>70469380</v>
      </c>
      <c r="G3" s="38">
        <f>E3/F3</f>
        <v>21.8170076138033</v>
      </c>
      <c r="H3" s="20">
        <v>1310392590</v>
      </c>
      <c r="I3" s="20">
        <v>56805173</v>
      </c>
      <c r="J3" s="38">
        <f>H3/I3</f>
        <v>23.0681911663221</v>
      </c>
      <c r="K3" s="20">
        <v>688629944</v>
      </c>
      <c r="L3" s="20">
        <v>48757016</v>
      </c>
      <c r="M3" s="38">
        <f>K3/L3</f>
        <v>14.123709785685</v>
      </c>
      <c r="N3" s="20">
        <v>379884859</v>
      </c>
      <c r="O3" s="20">
        <v>36236781</v>
      </c>
      <c r="P3" s="38">
        <f>N3/O3</f>
        <v>10.4834052174778</v>
      </c>
      <c r="Q3" s="20">
        <v>635297080</v>
      </c>
      <c r="R3" s="20">
        <v>35108461</v>
      </c>
      <c r="S3" s="38">
        <f>Q3/R3</f>
        <v>18.0952699692533</v>
      </c>
      <c r="T3" s="20">
        <v>506665441</v>
      </c>
      <c r="U3" s="20">
        <v>42964581</v>
      </c>
      <c r="V3" s="38">
        <f>T3/U3</f>
        <v>11.7926307951194</v>
      </c>
      <c r="W3" s="20">
        <v>537095112</v>
      </c>
      <c r="X3" s="20">
        <v>35562557</v>
      </c>
      <c r="Y3" s="38">
        <f>W3/X3</f>
        <v>15.1028260425706</v>
      </c>
      <c r="Z3" s="20">
        <v>12378835</v>
      </c>
      <c r="AA3" s="20">
        <v>43957858</v>
      </c>
      <c r="AB3" s="288">
        <f>Z3/AA3</f>
        <v>0.281606874475094</v>
      </c>
      <c r="AC3" s="20">
        <v>-16385856</v>
      </c>
      <c r="AD3" s="20">
        <v>5250000</v>
      </c>
      <c r="AE3" s="288">
        <f>AC3/AD3</f>
        <v>-3.12111542857143</v>
      </c>
      <c r="AF3" s="20">
        <v>40901481</v>
      </c>
      <c r="AG3" s="20">
        <v>12496944</v>
      </c>
      <c r="AH3" s="38">
        <f>AF3/AG3</f>
        <v>3.27291864314988</v>
      </c>
      <c r="AI3" s="20">
        <v>130402071</v>
      </c>
      <c r="AJ3" s="20">
        <v>12171000</v>
      </c>
      <c r="AK3" s="38">
        <f>AI3/AJ3</f>
        <v>10.714162435297</v>
      </c>
      <c r="AL3" s="20">
        <v>76618545</v>
      </c>
      <c r="AM3" s="20">
        <v>8343384</v>
      </c>
      <c r="AN3" s="38">
        <f>AL3/AM3</f>
        <v>9.18314978670525</v>
      </c>
      <c r="AO3" s="20">
        <v>69408395</v>
      </c>
      <c r="AP3" s="20">
        <v>5696985</v>
      </c>
      <c r="AQ3" s="38">
        <f>AO3/AP3</f>
        <v>12.1833557574752</v>
      </c>
      <c r="AR3" s="20">
        <v>117878751</v>
      </c>
      <c r="AS3" s="20">
        <v>5574560</v>
      </c>
      <c r="AT3" s="38">
        <f>AR3/AS3</f>
        <v>21.1458394922649</v>
      </c>
      <c r="AU3" s="20">
        <v>-25169203</v>
      </c>
      <c r="AV3" s="20">
        <v>2624676</v>
      </c>
      <c r="AW3" s="39">
        <f>AU3/AV3</f>
        <v>-9.58945142181359</v>
      </c>
      <c r="AX3" s="20">
        <v>-19829007</v>
      </c>
      <c r="AY3" s="20">
        <v>5028300</v>
      </c>
      <c r="AZ3" s="39">
        <f>AX3/AY3</f>
        <v>-3.9434812958654</v>
      </c>
    </row>
    <row r="4" spans="1:52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38"/>
      <c r="T4" s="20"/>
      <c r="U4" s="20"/>
      <c r="V4" s="38"/>
      <c r="W4" s="20"/>
      <c r="X4" s="20"/>
      <c r="Y4" s="38"/>
      <c r="Z4" s="20"/>
      <c r="AA4" s="20"/>
      <c r="AB4" s="288"/>
      <c r="AC4" s="20"/>
      <c r="AD4" s="20"/>
      <c r="AE4" s="288"/>
      <c r="AF4" s="20"/>
      <c r="AG4" s="20"/>
      <c r="AH4" s="38"/>
      <c r="AI4" s="20"/>
      <c r="AJ4" s="20"/>
      <c r="AK4" s="38"/>
      <c r="AL4" s="20"/>
      <c r="AM4" s="20"/>
      <c r="AN4" s="38"/>
      <c r="AO4" s="20"/>
      <c r="AP4" s="20"/>
      <c r="AQ4" s="38"/>
      <c r="AR4" s="20"/>
      <c r="AS4" s="20"/>
      <c r="AT4" s="38"/>
      <c r="AU4" s="20"/>
      <c r="AV4" s="20"/>
      <c r="AW4" s="39"/>
      <c r="AX4" s="20"/>
      <c r="AY4" s="20"/>
      <c r="AZ4" s="39"/>
    </row>
    <row r="5" spans="1:52">
      <c r="A5" s="2"/>
      <c r="D5" s="2"/>
      <c r="E5" s="78"/>
      <c r="F5" s="20"/>
      <c r="G5" s="38"/>
      <c r="H5" s="78"/>
      <c r="I5" s="20"/>
      <c r="J5" s="38"/>
      <c r="K5" s="78"/>
      <c r="L5" s="20"/>
      <c r="M5" s="38"/>
      <c r="N5" s="78" t="s">
        <v>284</v>
      </c>
      <c r="O5" s="20"/>
      <c r="P5" s="38"/>
      <c r="Q5" s="78"/>
      <c r="R5" s="20"/>
      <c r="S5" s="38"/>
      <c r="T5" s="78"/>
      <c r="U5" s="20"/>
      <c r="V5" s="38"/>
      <c r="W5" s="78"/>
      <c r="X5" s="20"/>
      <c r="Y5" s="38"/>
      <c r="Z5" s="78"/>
      <c r="AA5" s="20"/>
      <c r="AB5" s="38"/>
      <c r="AC5" s="78"/>
      <c r="AD5" s="20"/>
      <c r="AE5" s="38"/>
      <c r="AF5" s="78"/>
      <c r="AG5" s="20"/>
      <c r="AH5" s="38"/>
      <c r="AI5" s="78"/>
      <c r="AJ5" s="20"/>
      <c r="AK5" s="38"/>
      <c r="AL5" s="306" t="s">
        <v>285</v>
      </c>
      <c r="AM5" s="307" t="s">
        <v>286</v>
      </c>
      <c r="AN5" s="38"/>
      <c r="AO5" s="78"/>
      <c r="AP5" s="222"/>
      <c r="AQ5" s="38"/>
      <c r="AR5" s="78"/>
      <c r="AS5" s="222"/>
      <c r="AT5" s="38"/>
      <c r="AU5" s="308" t="s">
        <v>287</v>
      </c>
      <c r="AV5" s="222"/>
      <c r="AW5" s="38"/>
      <c r="AX5" s="308" t="s">
        <v>288</v>
      </c>
      <c r="AY5" s="308"/>
      <c r="AZ5" s="38"/>
    </row>
    <row r="6" spans="1:52">
      <c r="A6" s="2">
        <v>2</v>
      </c>
      <c r="B6" s="41" t="s">
        <v>166</v>
      </c>
      <c r="C6" s="37" t="s">
        <v>167</v>
      </c>
      <c r="D6" s="2" t="s">
        <v>168</v>
      </c>
      <c r="E6" s="20">
        <v>457</v>
      </c>
      <c r="F6" s="42">
        <f>G3</f>
        <v>21.8170076138033</v>
      </c>
      <c r="G6" s="38">
        <f>E6/F6</f>
        <v>20.9469606505918</v>
      </c>
      <c r="H6" s="20">
        <v>431</v>
      </c>
      <c r="I6" s="42">
        <f>J3</f>
        <v>23.0681911663221</v>
      </c>
      <c r="J6" s="38">
        <f>H6/I6</f>
        <v>18.6837362709751</v>
      </c>
      <c r="K6" s="20">
        <v>431</v>
      </c>
      <c r="L6" s="42">
        <f>M3</f>
        <v>14.123709785685</v>
      </c>
      <c r="M6" s="38">
        <f>K6/L6</f>
        <v>30.5160617528999</v>
      </c>
      <c r="N6" s="20">
        <v>538</v>
      </c>
      <c r="O6" s="42">
        <f>P3</f>
        <v>10.4834052174778</v>
      </c>
      <c r="P6" s="43">
        <f>N6/O6</f>
        <v>51.3192029535455</v>
      </c>
      <c r="Q6" s="20">
        <v>523</v>
      </c>
      <c r="R6" s="42">
        <f>S3</f>
        <v>18.0952699692533</v>
      </c>
      <c r="S6" s="38">
        <f>Q6/R6</f>
        <v>28.9025806682442</v>
      </c>
      <c r="T6" s="20">
        <v>398</v>
      </c>
      <c r="U6" s="42">
        <f>V3</f>
        <v>11.7926307951194</v>
      </c>
      <c r="V6" s="38">
        <f>T6/U6</f>
        <v>33.7498906660184</v>
      </c>
      <c r="W6" s="20">
        <v>443</v>
      </c>
      <c r="X6" s="42">
        <f>Y3</f>
        <v>15.1028260425706</v>
      </c>
      <c r="Y6" s="38">
        <f>W6/X6</f>
        <v>29.3322586614789</v>
      </c>
      <c r="Z6" s="20">
        <v>338</v>
      </c>
      <c r="AA6" s="42">
        <f>AB3</f>
        <v>0.281606874475094</v>
      </c>
      <c r="AB6" s="288">
        <f>Z6/AA6</f>
        <v>1200.25479005092</v>
      </c>
      <c r="AC6" s="20">
        <v>1922</v>
      </c>
      <c r="AD6" s="42">
        <f>AE3</f>
        <v>-3.12111542857143</v>
      </c>
      <c r="AE6" s="39">
        <f>AC6/AD6</f>
        <v>-615.805484925536</v>
      </c>
      <c r="AF6" s="20">
        <v>629</v>
      </c>
      <c r="AG6" s="42">
        <f>AH3</f>
        <v>3.27291864314988</v>
      </c>
      <c r="AH6" s="43">
        <f>AF6/AG6</f>
        <v>192.183206666771</v>
      </c>
      <c r="AI6" s="20">
        <v>623</v>
      </c>
      <c r="AJ6" s="42">
        <f>AK3</f>
        <v>10.714162435297</v>
      </c>
      <c r="AK6" s="38">
        <f>AI6/AJ6</f>
        <v>58.1473357121759</v>
      </c>
      <c r="AL6" s="20">
        <v>838</v>
      </c>
      <c r="AM6" s="42">
        <f>AN3</f>
        <v>9.18314978670525</v>
      </c>
      <c r="AN6" s="70">
        <f>AL6/AM6</f>
        <v>91.2540924915763</v>
      </c>
      <c r="AO6" s="20">
        <v>1158</v>
      </c>
      <c r="AP6" s="42">
        <f>AQ3</f>
        <v>12.1833557574752</v>
      </c>
      <c r="AQ6" s="70">
        <f>AO6/AP6</f>
        <v>95.0477046760698</v>
      </c>
      <c r="AR6" s="20">
        <v>760</v>
      </c>
      <c r="AS6" s="42">
        <f>AT3</f>
        <v>21.1458394922649</v>
      </c>
      <c r="AT6" s="70">
        <f>AR6/AS6</f>
        <v>35.9408762313744</v>
      </c>
      <c r="AU6" s="20">
        <v>1554</v>
      </c>
      <c r="AV6" s="42">
        <f>AW3</f>
        <v>-9.58945142181359</v>
      </c>
      <c r="AW6" s="39">
        <f>AU6/AV6</f>
        <v>-162.053065565882</v>
      </c>
      <c r="AX6" s="20">
        <v>810</v>
      </c>
      <c r="AY6" s="42">
        <f>AZ3</f>
        <v>-3.9434812958654</v>
      </c>
      <c r="AZ6" s="39">
        <f>AX6/AY6</f>
        <v>-205.4022674963</v>
      </c>
    </row>
    <row r="7" spans="1:52">
      <c r="A7" s="2"/>
      <c r="B7" s="41"/>
      <c r="C7" s="2" t="s">
        <v>169</v>
      </c>
      <c r="D7" s="2"/>
      <c r="E7" s="20"/>
      <c r="F7" s="42"/>
      <c r="G7" s="38"/>
      <c r="H7" s="20"/>
      <c r="I7" s="42"/>
      <c r="J7" s="38"/>
      <c r="K7" s="20"/>
      <c r="L7" s="42"/>
      <c r="M7" s="38"/>
      <c r="N7" s="20"/>
      <c r="O7" s="42"/>
      <c r="P7" s="43"/>
      <c r="Q7" s="20"/>
      <c r="R7" s="42"/>
      <c r="S7" s="38"/>
      <c r="T7" s="20"/>
      <c r="U7" s="42"/>
      <c r="V7" s="38"/>
      <c r="W7" s="20"/>
      <c r="X7" s="42"/>
      <c r="Y7" s="38"/>
      <c r="Z7" s="20"/>
      <c r="AA7" s="42"/>
      <c r="AB7" s="288"/>
      <c r="AC7" s="20"/>
      <c r="AD7" s="42"/>
      <c r="AE7" s="39"/>
      <c r="AF7" s="20"/>
      <c r="AG7" s="42"/>
      <c r="AH7" s="43"/>
      <c r="AI7" s="20"/>
      <c r="AJ7" s="42"/>
      <c r="AK7" s="38"/>
      <c r="AL7" s="20"/>
      <c r="AM7" s="42"/>
      <c r="AN7" s="70"/>
      <c r="AO7" s="20"/>
      <c r="AP7" s="42"/>
      <c r="AQ7" s="70"/>
      <c r="AR7" s="20"/>
      <c r="AS7" s="42"/>
      <c r="AT7" s="70"/>
      <c r="AU7" s="20"/>
      <c r="AV7" s="42"/>
      <c r="AW7" s="39"/>
      <c r="AX7" s="20"/>
      <c r="AY7" s="42"/>
      <c r="AZ7" s="39"/>
    </row>
    <row r="8" spans="1:52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  <c r="AI8" s="20"/>
      <c r="AJ8" s="42"/>
      <c r="AK8" s="38"/>
      <c r="AL8" s="309" t="s">
        <v>289</v>
      </c>
      <c r="AM8" s="309"/>
      <c r="AN8" s="38"/>
      <c r="AO8" s="267"/>
      <c r="AP8" s="267"/>
      <c r="AQ8" s="38"/>
      <c r="AR8" s="267"/>
      <c r="AS8" s="267"/>
      <c r="AT8" s="38"/>
      <c r="AU8" s="310" t="s">
        <v>290</v>
      </c>
      <c r="AV8" s="310"/>
      <c r="AW8" s="38"/>
      <c r="AX8" s="310" t="s">
        <v>290</v>
      </c>
      <c r="AY8" s="310"/>
      <c r="AZ8" s="38"/>
    </row>
    <row r="9" spans="1:52">
      <c r="A9" s="2">
        <v>3</v>
      </c>
      <c r="B9" s="2" t="s">
        <v>170</v>
      </c>
      <c r="C9" s="2" t="s">
        <v>171</v>
      </c>
      <c r="D9" s="2" t="s">
        <v>172</v>
      </c>
      <c r="E9" s="82">
        <f>E3</f>
        <v>1537431000</v>
      </c>
      <c r="F9" s="82">
        <v>1176335000</v>
      </c>
      <c r="G9" s="38">
        <f>((E9-F9)/F9)*100</f>
        <v>30.6966977944208</v>
      </c>
      <c r="H9" s="82">
        <f>H3</f>
        <v>1310392590</v>
      </c>
      <c r="I9" s="82">
        <v>433951860</v>
      </c>
      <c r="J9" s="38">
        <f>((H9-I9)/I9)*100</f>
        <v>201.967271208378</v>
      </c>
      <c r="K9" s="82">
        <f>K3</f>
        <v>688629944</v>
      </c>
      <c r="L9" s="82">
        <v>685321449</v>
      </c>
      <c r="M9" s="38">
        <f>((K9-L9)/L9)*100</f>
        <v>0.482765424141861</v>
      </c>
      <c r="N9" s="82">
        <f>N3</f>
        <v>379884859</v>
      </c>
      <c r="O9" s="82">
        <v>543667622</v>
      </c>
      <c r="P9" s="151">
        <f>((N9-O9)/O9)*100</f>
        <v>-30.1255319192063</v>
      </c>
      <c r="Q9" s="82">
        <f>Q3</f>
        <v>635297080</v>
      </c>
      <c r="R9" s="82">
        <v>581831823</v>
      </c>
      <c r="S9" s="38">
        <f>((Q9-R9)/R9)*100</f>
        <v>9.18912560064629</v>
      </c>
      <c r="T9" s="82">
        <f>T3</f>
        <v>506665441</v>
      </c>
      <c r="U9" s="82">
        <v>500364925</v>
      </c>
      <c r="V9" s="38">
        <f>((T9-U9)/U9)*100</f>
        <v>1.259184184423</v>
      </c>
      <c r="W9" s="82">
        <f>W3</f>
        <v>537095112</v>
      </c>
      <c r="X9" s="82">
        <v>504280453</v>
      </c>
      <c r="Y9" s="38">
        <f>((W9-X9)/X9)*100</f>
        <v>6.50722406644622</v>
      </c>
      <c r="Z9" s="82">
        <f>Z3</f>
        <v>12378835</v>
      </c>
      <c r="AA9" s="82">
        <v>170503581</v>
      </c>
      <c r="AB9" s="288">
        <f>((Z9-AA9)/AA9)*100</f>
        <v>-92.7398387016869</v>
      </c>
      <c r="AC9" s="82">
        <f>AC3</f>
        <v>-16385856</v>
      </c>
      <c r="AD9" s="20">
        <v>20190183</v>
      </c>
      <c r="AE9" s="288">
        <f>((AC9-AD9)/AD9)*100</f>
        <v>-181.157540771176</v>
      </c>
      <c r="AF9" s="82">
        <f>AF3</f>
        <v>40901481</v>
      </c>
      <c r="AG9" s="20">
        <v>43494885</v>
      </c>
      <c r="AH9" s="49">
        <f>((AF9-AG9)/AG9)*100</f>
        <v>-5.96254938942821</v>
      </c>
      <c r="AI9" s="82">
        <f>AI3</f>
        <v>130402071</v>
      </c>
      <c r="AJ9" s="20">
        <v>144950940</v>
      </c>
      <c r="AK9" s="49">
        <f>((AI9-AJ9)/AJ9)*100</f>
        <v>-10.0370987590698</v>
      </c>
      <c r="AL9" s="82">
        <f>AL3</f>
        <v>76618545</v>
      </c>
      <c r="AM9" s="20">
        <v>22520437</v>
      </c>
      <c r="AN9" s="38">
        <f>((AL9-AM9)/AM9)*100</f>
        <v>240.217843019654</v>
      </c>
      <c r="AO9" s="82">
        <f>AO3</f>
        <v>69408395</v>
      </c>
      <c r="AP9" s="20">
        <v>38661247</v>
      </c>
      <c r="AQ9" s="38">
        <f>((AO9-AP9)/AP9)*100</f>
        <v>79.5296333819755</v>
      </c>
      <c r="AR9" s="82">
        <f>AR3</f>
        <v>117878751</v>
      </c>
      <c r="AS9" s="20">
        <v>30412863</v>
      </c>
      <c r="AT9" s="38">
        <f>((AR9-AS9)/AS9)*100</f>
        <v>287.595048187341</v>
      </c>
      <c r="AU9" s="82">
        <f>AU3</f>
        <v>-25169203</v>
      </c>
      <c r="AV9" s="20">
        <v>30412863</v>
      </c>
      <c r="AW9" s="38">
        <f>((AU9-AV9)/AV9)*100</f>
        <v>-182.758413767227</v>
      </c>
      <c r="AX9" s="82">
        <f>AX3</f>
        <v>-19829007</v>
      </c>
      <c r="AY9" s="20">
        <v>30412863</v>
      </c>
      <c r="AZ9" s="38">
        <f>((AX9-AY9)/AY9)*100</f>
        <v>-165.199409210504</v>
      </c>
    </row>
    <row r="10" spans="1:52">
      <c r="A10" s="2"/>
      <c r="E10" s="45"/>
      <c r="G10" s="40"/>
      <c r="H10" s="45"/>
      <c r="J10" s="40"/>
      <c r="K10" s="45"/>
      <c r="M10" s="40"/>
      <c r="N10" s="45"/>
      <c r="P10" s="40"/>
      <c r="Q10" s="45"/>
      <c r="S10" s="40"/>
      <c r="T10" s="45"/>
      <c r="V10" s="40"/>
      <c r="W10" s="45"/>
      <c r="Y10" s="40"/>
      <c r="Z10" s="45"/>
      <c r="AB10" s="40"/>
      <c r="AC10" s="45"/>
      <c r="AE10" s="40"/>
      <c r="AF10" s="45"/>
      <c r="AH10" s="40"/>
      <c r="AI10" s="45"/>
      <c r="AK10" s="40"/>
      <c r="AN10" s="40"/>
      <c r="AQ10" s="40"/>
      <c r="AT10" s="40"/>
      <c r="AW10" s="40"/>
      <c r="AZ10" s="40"/>
    </row>
    <row r="11" spans="1:52">
      <c r="A11" s="2">
        <v>4</v>
      </c>
      <c r="B11" s="2" t="s">
        <v>173</v>
      </c>
      <c r="C11" s="41" t="s">
        <v>174</v>
      </c>
      <c r="D11" s="41" t="s">
        <v>172</v>
      </c>
      <c r="E11" s="20">
        <v>11976462000</v>
      </c>
      <c r="F11" s="20">
        <v>10429508000</v>
      </c>
      <c r="G11" s="44">
        <f>(E11-F11)/F11</f>
        <v>0.148324734014299</v>
      </c>
      <c r="H11" s="20">
        <v>9325945482</v>
      </c>
      <c r="I11" s="20">
        <v>8258063874</v>
      </c>
      <c r="J11" s="44">
        <f>(H11-I11)/I11</f>
        <v>0.129313798523908</v>
      </c>
      <c r="K11" s="20">
        <v>7382787427</v>
      </c>
      <c r="L11" s="20">
        <v>6891904765</v>
      </c>
      <c r="M11" s="44">
        <f>(K11-L11)/L11</f>
        <v>0.0712259787008244</v>
      </c>
      <c r="N11" s="20">
        <v>6983955138</v>
      </c>
      <c r="O11" s="20">
        <v>6687408352</v>
      </c>
      <c r="P11" s="44">
        <f>(N11-O11)/O11</f>
        <v>0.0443440523429845</v>
      </c>
      <c r="Q11" s="20">
        <v>5902715983</v>
      </c>
      <c r="R11" s="20">
        <v>5384343357</v>
      </c>
      <c r="S11" s="44">
        <f>(Q11-R11)/R11</f>
        <v>0.0962740656808377</v>
      </c>
      <c r="T11" s="20">
        <v>7133642596</v>
      </c>
      <c r="U11" s="20">
        <v>6744129684</v>
      </c>
      <c r="V11" s="44">
        <f>(T11-U11)/U11</f>
        <v>0.057755845490945</v>
      </c>
      <c r="W11" s="20">
        <v>5573111821</v>
      </c>
      <c r="X11" s="20">
        <v>4984375687</v>
      </c>
      <c r="Y11" s="44">
        <f>(W11-X11)/X11</f>
        <v>0.118116324083578</v>
      </c>
      <c r="Z11" s="20">
        <v>6542791298</v>
      </c>
      <c r="AA11" s="20">
        <v>6292640311</v>
      </c>
      <c r="AB11" s="44">
        <f>(Z11-AA11)/AA11</f>
        <v>0.0397529454468767</v>
      </c>
      <c r="AC11" s="20">
        <v>715276370</v>
      </c>
      <c r="AD11" s="20">
        <v>723030246</v>
      </c>
      <c r="AE11" s="311">
        <f>(AC11-AD11)/AD11</f>
        <v>-0.0107241378115183</v>
      </c>
      <c r="AF11" s="20">
        <v>2091326719</v>
      </c>
      <c r="AG11" s="20">
        <v>1938573049</v>
      </c>
      <c r="AH11" s="44">
        <f>(AF11-AG11)/AG11</f>
        <v>0.0787969636113516</v>
      </c>
      <c r="AI11" s="20">
        <v>1717445665</v>
      </c>
      <c r="AJ11" s="20">
        <v>1592978582</v>
      </c>
      <c r="AK11" s="44">
        <f>(AI11-AJ11)/AJ11</f>
        <v>0.0781348126123142</v>
      </c>
      <c r="AL11" s="20">
        <v>1717445665</v>
      </c>
      <c r="AM11" s="20">
        <v>1592978582</v>
      </c>
      <c r="AN11" s="44">
        <f>(AL11-AM11)/AM11</f>
        <v>0.0781348126123142</v>
      </c>
      <c r="AO11" s="20">
        <v>695660168</v>
      </c>
      <c r="AP11" s="20">
        <v>628253566</v>
      </c>
      <c r="AQ11" s="44">
        <f>(AO11-AP11)/AP11</f>
        <v>0.107292032465758</v>
      </c>
      <c r="AR11" s="20">
        <v>483301940</v>
      </c>
      <c r="AS11" s="20">
        <v>353962823</v>
      </c>
      <c r="AT11" s="44">
        <f>(AR11-AS11)/AS11</f>
        <v>0.365403111840364</v>
      </c>
      <c r="AU11" s="20">
        <v>483301940</v>
      </c>
      <c r="AV11" s="20">
        <v>353962823</v>
      </c>
      <c r="AW11" s="44">
        <f>(AU11-AV11)/AV11</f>
        <v>0.365403111840364</v>
      </c>
      <c r="AX11" s="20">
        <v>483301940</v>
      </c>
      <c r="AY11" s="20">
        <v>353962823</v>
      </c>
      <c r="AZ11" s="44">
        <f>(AX11-AY11)/AY11</f>
        <v>0.365403111840364</v>
      </c>
    </row>
    <row r="12" spans="1:52">
      <c r="A12" s="2"/>
      <c r="B12" s="2"/>
      <c r="C12" s="41"/>
      <c r="D12" s="41"/>
      <c r="E12" s="20"/>
      <c r="F12" s="20"/>
      <c r="G12" s="44"/>
      <c r="H12" s="20"/>
      <c r="I12" s="20"/>
      <c r="J12" s="44"/>
      <c r="K12" s="20"/>
      <c r="L12" s="20"/>
      <c r="M12" s="44"/>
      <c r="N12" s="20"/>
      <c r="O12" s="20"/>
      <c r="P12" s="44"/>
      <c r="Q12" s="20"/>
      <c r="R12" s="20"/>
      <c r="S12" s="44"/>
      <c r="T12" s="20"/>
      <c r="U12" s="20"/>
      <c r="V12" s="44"/>
      <c r="W12" s="20"/>
      <c r="X12" s="20"/>
      <c r="Y12" s="44"/>
      <c r="Z12" s="20"/>
      <c r="AA12" s="20"/>
      <c r="AB12" s="44"/>
      <c r="AC12" s="20"/>
      <c r="AD12" s="20"/>
      <c r="AE12" s="311"/>
      <c r="AF12" s="20"/>
      <c r="AG12" s="20"/>
      <c r="AH12" s="44"/>
      <c r="AI12" s="20"/>
      <c r="AJ12" s="20"/>
      <c r="AK12" s="44"/>
      <c r="AL12" s="20"/>
      <c r="AM12" s="20"/>
      <c r="AN12" s="44"/>
      <c r="AO12" s="20"/>
      <c r="AP12" s="20"/>
      <c r="AQ12" s="44"/>
      <c r="AR12" s="20"/>
      <c r="AS12" s="20"/>
      <c r="AT12" s="44"/>
      <c r="AU12" s="20"/>
      <c r="AV12" s="20"/>
      <c r="AW12" s="44"/>
      <c r="AX12" s="20"/>
      <c r="AY12" s="20"/>
      <c r="AZ12" s="44"/>
    </row>
    <row r="13" spans="1:52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  <c r="Z13" s="83"/>
      <c r="AA13" s="2"/>
      <c r="AB13" s="80"/>
      <c r="AC13" s="83"/>
      <c r="AD13" s="2"/>
      <c r="AE13" s="80"/>
      <c r="AF13" s="83"/>
      <c r="AG13" s="2"/>
      <c r="AH13" s="80"/>
      <c r="AI13" s="83"/>
      <c r="AJ13" s="2"/>
      <c r="AK13" s="80"/>
      <c r="AL13" s="83"/>
      <c r="AM13" s="2"/>
      <c r="AN13" s="80"/>
      <c r="AO13" s="83"/>
      <c r="AP13" s="2"/>
      <c r="AQ13" s="80"/>
      <c r="AR13" s="83"/>
      <c r="AS13" s="2"/>
      <c r="AT13" s="80"/>
      <c r="AU13" s="83"/>
      <c r="AV13" s="2"/>
      <c r="AW13" s="80"/>
      <c r="AX13" s="83"/>
      <c r="AY13" s="2"/>
      <c r="AZ13" s="80"/>
    </row>
    <row r="14" spans="1:52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1537431000</v>
      </c>
      <c r="F14" s="20">
        <f>E11</f>
        <v>11976462000</v>
      </c>
      <c r="G14" s="44">
        <f>(E14/F14)</f>
        <v>0.128371049814211</v>
      </c>
      <c r="H14" s="20">
        <f>H3</f>
        <v>1310392590</v>
      </c>
      <c r="I14" s="20">
        <f>H11</f>
        <v>9325945482</v>
      </c>
      <c r="J14" s="38">
        <f>(H14/I14)*100</f>
        <v>14.0510427873419</v>
      </c>
      <c r="K14" s="20">
        <f>K3</f>
        <v>688629944</v>
      </c>
      <c r="L14" s="20">
        <f>K11</f>
        <v>7382787427</v>
      </c>
      <c r="M14" s="38">
        <f>(K14/L14)*100</f>
        <v>9.32750605119109</v>
      </c>
      <c r="N14" s="20">
        <f>N3</f>
        <v>379884859</v>
      </c>
      <c r="O14" s="20">
        <f>N11</f>
        <v>6983955138</v>
      </c>
      <c r="P14" s="38">
        <f>(N14/O14)*100</f>
        <v>5.43939431874398</v>
      </c>
      <c r="Q14" s="20">
        <f>Q3</f>
        <v>635297080</v>
      </c>
      <c r="R14" s="20">
        <f>Q11</f>
        <v>5902715983</v>
      </c>
      <c r="S14" s="38">
        <f>(Q14/R14)*100</f>
        <v>10.7627926166476</v>
      </c>
      <c r="T14" s="20">
        <f>T3</f>
        <v>506665441</v>
      </c>
      <c r="U14" s="20">
        <f>T11</f>
        <v>7133642596</v>
      </c>
      <c r="V14" s="38">
        <f>(T14/U14)*100</f>
        <v>7.10247863110074</v>
      </c>
      <c r="W14" s="20">
        <f>W3</f>
        <v>537095112</v>
      </c>
      <c r="X14" s="20">
        <f>W11</f>
        <v>5573111821</v>
      </c>
      <c r="Y14" s="38">
        <f>(W14/X14)*100</f>
        <v>9.63725705226613</v>
      </c>
      <c r="Z14" s="20">
        <f>Z3</f>
        <v>12378835</v>
      </c>
      <c r="AA14" s="20">
        <f>Z11</f>
        <v>6542791298</v>
      </c>
      <c r="AB14" s="38">
        <f>(Z14/AA14)*100</f>
        <v>0.189198072140616</v>
      </c>
      <c r="AC14" s="20">
        <f>AC3</f>
        <v>-16385856</v>
      </c>
      <c r="AD14" s="20">
        <f>AC11</f>
        <v>715276370</v>
      </c>
      <c r="AE14" s="49">
        <f>(AC14/AD14)*100</f>
        <v>-2.2908426291225</v>
      </c>
      <c r="AF14" s="20">
        <f>AF3</f>
        <v>40901481</v>
      </c>
      <c r="AG14" s="20">
        <f>AF11</f>
        <v>2091326719</v>
      </c>
      <c r="AH14" s="38">
        <f>(AF14/AG14)*100</f>
        <v>1.95576715146439</v>
      </c>
      <c r="AI14" s="20">
        <f>AI3</f>
        <v>130402071</v>
      </c>
      <c r="AJ14" s="20">
        <f>AI11</f>
        <v>1717445665</v>
      </c>
      <c r="AK14" s="38">
        <f>(AI14/AJ14)*100</f>
        <v>7.59279164735613</v>
      </c>
      <c r="AL14" s="20">
        <f>AL3</f>
        <v>76618545</v>
      </c>
      <c r="AM14" s="20">
        <f>AL11</f>
        <v>1717445665</v>
      </c>
      <c r="AN14" s="38">
        <f>(AL14/AM14)*100</f>
        <v>4.46119178972687</v>
      </c>
      <c r="AO14" s="20">
        <f>AO3</f>
        <v>69408395</v>
      </c>
      <c r="AP14" s="20">
        <f>AO11</f>
        <v>695660168</v>
      </c>
      <c r="AQ14" s="38">
        <f>(AO14/AP14)*100</f>
        <v>9.97734212662295</v>
      </c>
      <c r="AR14" s="20">
        <f>AR3</f>
        <v>117878751</v>
      </c>
      <c r="AS14" s="20">
        <f>AR11</f>
        <v>483301940</v>
      </c>
      <c r="AT14" s="38">
        <f>(AR14/AS14)*100</f>
        <v>24.3902912949201</v>
      </c>
      <c r="AU14" s="20">
        <f>AU3</f>
        <v>-25169203</v>
      </c>
      <c r="AV14" s="20">
        <f>AU11</f>
        <v>483301940</v>
      </c>
      <c r="AW14" s="38">
        <f>(AU14/AV14)*100</f>
        <v>-5.20775956330736</v>
      </c>
      <c r="AX14" s="20">
        <f>AX3</f>
        <v>-19829007</v>
      </c>
      <c r="AY14" s="20">
        <f>AX11</f>
        <v>483301940</v>
      </c>
      <c r="AZ14" s="38">
        <f>(AX14/AY14)*100</f>
        <v>-4.10281965762438</v>
      </c>
    </row>
    <row r="15" spans="1:52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38"/>
      <c r="K15" s="20"/>
      <c r="L15" s="2"/>
      <c r="M15" s="38"/>
      <c r="N15" s="20"/>
      <c r="O15" s="2"/>
      <c r="P15" s="38"/>
      <c r="Q15" s="20"/>
      <c r="R15" s="2"/>
      <c r="S15" s="38"/>
      <c r="T15" s="20"/>
      <c r="U15" s="2"/>
      <c r="V15" s="38"/>
      <c r="W15" s="20"/>
      <c r="X15" s="2"/>
      <c r="Y15" s="38"/>
      <c r="Z15" s="20"/>
      <c r="AA15" s="2"/>
      <c r="AB15" s="38"/>
      <c r="AC15" s="20"/>
      <c r="AD15" s="2"/>
      <c r="AE15" s="49"/>
      <c r="AF15" s="20"/>
      <c r="AG15" s="2"/>
      <c r="AH15" s="38"/>
      <c r="AI15" s="20"/>
      <c r="AJ15" s="2"/>
      <c r="AK15" s="38"/>
      <c r="AL15" s="20"/>
      <c r="AM15" s="2"/>
      <c r="AN15" s="38"/>
      <c r="AO15" s="20"/>
      <c r="AP15" s="2"/>
      <c r="AQ15" s="38"/>
      <c r="AR15" s="20"/>
      <c r="AS15" s="2"/>
      <c r="AT15" s="38"/>
      <c r="AU15" s="20"/>
      <c r="AV15" s="2"/>
      <c r="AW15" s="38"/>
      <c r="AX15" s="20"/>
      <c r="AY15" s="2"/>
      <c r="AZ15" s="38"/>
    </row>
    <row r="16" spans="1:52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312" t="s">
        <v>291</v>
      </c>
      <c r="AM16" s="313" t="s">
        <v>292</v>
      </c>
      <c r="AN16" s="38"/>
      <c r="AO16" s="51"/>
      <c r="AP16" s="314"/>
      <c r="AQ16" s="38"/>
      <c r="AR16" s="51"/>
      <c r="AS16" s="314"/>
      <c r="AT16" s="38"/>
      <c r="AU16" s="51"/>
      <c r="AV16" s="314"/>
      <c r="AW16" s="38"/>
      <c r="AX16" s="51"/>
      <c r="AY16" s="314"/>
      <c r="AZ16" s="38"/>
    </row>
    <row r="17" ht="30" spans="1:52">
      <c r="A17" s="2">
        <v>6</v>
      </c>
      <c r="B17" s="2" t="s">
        <v>177</v>
      </c>
      <c r="C17" s="2" t="s">
        <v>171</v>
      </c>
      <c r="D17" s="41" t="s">
        <v>178</v>
      </c>
      <c r="E17" s="20">
        <v>97515825000</v>
      </c>
      <c r="F17" s="20">
        <v>91907309000</v>
      </c>
      <c r="G17" s="38">
        <f>((E17-F17)/F17)*100</f>
        <v>6.10236123875632</v>
      </c>
      <c r="H17" s="20">
        <v>69316485053</v>
      </c>
      <c r="I17" s="20">
        <v>64590517896</v>
      </c>
      <c r="J17" s="38">
        <f>((H17-I17)/I17)*100</f>
        <v>7.31681260802009</v>
      </c>
      <c r="K17" s="20">
        <v>56934168967</v>
      </c>
      <c r="L17" s="20">
        <v>52002767569</v>
      </c>
      <c r="M17" s="38">
        <f>((K17-L17)/L17)*100</f>
        <v>9.48295952029237</v>
      </c>
      <c r="N17" s="20">
        <v>47131413600</v>
      </c>
      <c r="O17" s="20">
        <v>46247417167</v>
      </c>
      <c r="P17" s="38">
        <f>((N17-O17)/O17)*100</f>
        <v>1.91145038393794</v>
      </c>
      <c r="Q17" s="20">
        <v>49967284128</v>
      </c>
      <c r="R17" s="20">
        <v>45979607704</v>
      </c>
      <c r="S17" s="38">
        <f>((Q17-R17)/R17)*100</f>
        <v>8.67270649560825</v>
      </c>
      <c r="T17" s="20">
        <v>42018173718</v>
      </c>
      <c r="U17" s="20">
        <v>40550087131</v>
      </c>
      <c r="V17" s="38">
        <f>((T17-U17)/U17)*100</f>
        <v>3.62042770033327</v>
      </c>
      <c r="W17" s="20">
        <v>43021486725</v>
      </c>
      <c r="X17" s="20">
        <v>41786970569</v>
      </c>
      <c r="Y17" s="38">
        <f>((W17-X17)/X17)*100</f>
        <v>2.95430881729396</v>
      </c>
      <c r="Z17" s="20">
        <v>45066453957</v>
      </c>
      <c r="AA17" s="20">
        <v>49036371930</v>
      </c>
      <c r="AB17" s="288">
        <f>((Z17-AA17)/AA17)*100</f>
        <v>-8.09586398167284</v>
      </c>
      <c r="AC17" s="20">
        <v>1189142030</v>
      </c>
      <c r="AD17" s="20">
        <v>1265600583</v>
      </c>
      <c r="AE17" s="288">
        <f>((AC17-AD17)/AD17)*100</f>
        <v>-6.04128617093091</v>
      </c>
      <c r="AF17" s="20">
        <v>12103836717</v>
      </c>
      <c r="AG17" s="20">
        <v>10833762785</v>
      </c>
      <c r="AH17" s="38">
        <f>((AF17-AG17)/AG17)*100</f>
        <v>11.7232946410687</v>
      </c>
      <c r="AI17" s="20">
        <v>5178625089</v>
      </c>
      <c r="AJ17" s="20">
        <v>3637214541</v>
      </c>
      <c r="AK17" s="38">
        <f>((AI17-AJ17)/AJ17)*100</f>
        <v>42.3788734655232</v>
      </c>
      <c r="AL17" s="20">
        <v>5178625089</v>
      </c>
      <c r="AM17" s="20">
        <v>3637214541</v>
      </c>
      <c r="AN17" s="38">
        <f>((AL17-AM17)/AM17)*100</f>
        <v>42.3788734655232</v>
      </c>
      <c r="AO17" s="20">
        <v>4735020064</v>
      </c>
      <c r="AP17" s="20">
        <v>3945861047</v>
      </c>
      <c r="AQ17" s="38">
        <f>((AO17-AP17)/AP17)*100</f>
        <v>19.9996656648614</v>
      </c>
      <c r="AR17" s="20">
        <v>3252299008</v>
      </c>
      <c r="AS17" s="20">
        <v>3587469306</v>
      </c>
      <c r="AT17" s="38">
        <f>((AR17-AS17)/AS17)*100</f>
        <v>-9.34280601201052</v>
      </c>
      <c r="AU17" s="20">
        <v>3252299008</v>
      </c>
      <c r="AV17" s="20">
        <v>3587469306</v>
      </c>
      <c r="AW17" s="38">
        <f>((AU17-AV17)/AV17)*100</f>
        <v>-9.34280601201052</v>
      </c>
      <c r="AX17" s="20">
        <v>3252299008</v>
      </c>
      <c r="AY17" s="20">
        <v>3587469306</v>
      </c>
      <c r="AZ17" s="38">
        <f>((AX17-AY17)/AY17)*100</f>
        <v>-9.34280601201052</v>
      </c>
    </row>
    <row r="18" spans="1:52">
      <c r="A18" s="2"/>
      <c r="B18" s="2"/>
      <c r="C18" s="2"/>
      <c r="D18" s="2"/>
      <c r="E18" s="20"/>
      <c r="F18" s="2"/>
      <c r="G18" s="38"/>
      <c r="H18" s="20"/>
      <c r="I18" s="2"/>
      <c r="J18" s="38"/>
      <c r="K18" s="20"/>
      <c r="L18" s="2"/>
      <c r="M18" s="38"/>
      <c r="N18" s="20"/>
      <c r="O18" s="2"/>
      <c r="P18" s="38"/>
      <c r="Q18" s="20"/>
      <c r="R18" s="2"/>
      <c r="S18" s="38"/>
      <c r="T18" s="20"/>
      <c r="U18" s="2"/>
      <c r="V18" s="38"/>
      <c r="W18" s="20"/>
      <c r="X18" s="2"/>
      <c r="Y18" s="38"/>
      <c r="Z18" s="20"/>
      <c r="AA18" s="2"/>
      <c r="AB18" s="38"/>
      <c r="AC18" s="20"/>
      <c r="AD18" s="2"/>
      <c r="AE18" s="38"/>
      <c r="AF18" s="20"/>
      <c r="AG18" s="2"/>
      <c r="AH18" s="38"/>
      <c r="AI18" s="20"/>
      <c r="AJ18" s="2"/>
      <c r="AK18" s="38"/>
      <c r="AL18" s="20"/>
      <c r="AM18" s="2"/>
      <c r="AN18" s="38"/>
      <c r="AO18" s="20"/>
      <c r="AP18" s="2"/>
      <c r="AQ18" s="38"/>
      <c r="AR18" s="20"/>
      <c r="AS18" s="2"/>
      <c r="AT18" s="38"/>
      <c r="AU18" s="315" t="s">
        <v>293</v>
      </c>
      <c r="AV18" s="2"/>
      <c r="AW18" s="38"/>
      <c r="AX18" s="315" t="s">
        <v>293</v>
      </c>
      <c r="AY18" s="2"/>
      <c r="AZ18" s="38"/>
    </row>
    <row r="19" spans="1:52">
      <c r="A19" s="2">
        <v>7</v>
      </c>
      <c r="B19" s="6" t="s">
        <v>179</v>
      </c>
      <c r="C19" s="2" t="s">
        <v>171</v>
      </c>
      <c r="D19" s="2" t="s">
        <v>172</v>
      </c>
      <c r="E19" s="20">
        <v>117430719000</v>
      </c>
      <c r="F19" s="20">
        <v>109758876000</v>
      </c>
      <c r="G19" s="38">
        <f>((E19-F19)/F19)*100</f>
        <v>6.98972445745527</v>
      </c>
      <c r="H19" s="20">
        <v>90115629859</v>
      </c>
      <c r="I19" s="20">
        <v>84252756130</v>
      </c>
      <c r="J19" s="38">
        <f>((H19-I19)/I19)*100</f>
        <v>6.95867292454353</v>
      </c>
      <c r="K19" s="20">
        <v>71767128445</v>
      </c>
      <c r="L19" s="20">
        <v>65956224347</v>
      </c>
      <c r="M19" s="38">
        <f>((K19-L19)/L19)*100</f>
        <v>8.81024369652886</v>
      </c>
      <c r="N19" s="20">
        <v>57594111700</v>
      </c>
      <c r="O19" s="20">
        <v>58553113478</v>
      </c>
      <c r="P19" s="38">
        <f>((N19-O19)/O19)*100</f>
        <v>-1.63783225354929</v>
      </c>
      <c r="Q19" s="20">
        <v>62834301164</v>
      </c>
      <c r="R19" s="20">
        <v>59066711728</v>
      </c>
      <c r="S19" s="38">
        <f>((Q19-R19)/R19)*100</f>
        <v>6.37853255374975</v>
      </c>
      <c r="T19" s="20">
        <v>55115470657</v>
      </c>
      <c r="U19" s="20">
        <v>55210282742</v>
      </c>
      <c r="V19" s="43">
        <f>((T19-U19)/U19)*100</f>
        <v>-0.171729033598797</v>
      </c>
      <c r="W19" s="20">
        <v>54668494389</v>
      </c>
      <c r="X19" s="20">
        <v>54028104358</v>
      </c>
      <c r="Y19" s="38">
        <f>((W19-X19)/X19)*100</f>
        <v>1.18529057905985</v>
      </c>
      <c r="Z19" s="20">
        <v>60482530192</v>
      </c>
      <c r="AA19" s="20">
        <v>65848228805</v>
      </c>
      <c r="AB19" s="38">
        <f>((Z19-AA19)/AA19)*100</f>
        <v>-8.14858457148443</v>
      </c>
      <c r="AC19" s="20">
        <v>2133769192</v>
      </c>
      <c r="AD19" s="20">
        <v>1822538236</v>
      </c>
      <c r="AE19" s="38">
        <f>((AC19-AD19)/AD19)*100</f>
        <v>17.0767860916362</v>
      </c>
      <c r="AF19" s="20">
        <v>16498527056</v>
      </c>
      <c r="AG19" s="20">
        <v>14763480976</v>
      </c>
      <c r="AH19" s="38">
        <f>((AF19-AG19)/AG19)*100</f>
        <v>11.7522831019361</v>
      </c>
      <c r="AI19" s="20">
        <v>6506779772</v>
      </c>
      <c r="AJ19" s="20">
        <v>6427135552</v>
      </c>
      <c r="AK19" s="38">
        <f>((AI19-AJ19)/AJ19)*100</f>
        <v>1.2391868719062</v>
      </c>
      <c r="AL19" s="20">
        <v>6506779772</v>
      </c>
      <c r="AM19" s="20">
        <v>6427135552</v>
      </c>
      <c r="AN19" s="38">
        <f>((AL19-AM19)/AM19)*100</f>
        <v>1.2391868719062</v>
      </c>
      <c r="AO19" s="20">
        <v>6376451127</v>
      </c>
      <c r="AP19" s="20">
        <v>4971734256</v>
      </c>
      <c r="AQ19" s="38">
        <f>((AO19-AP19)/AP19)*100</f>
        <v>28.254061835762</v>
      </c>
      <c r="AR19" s="20">
        <v>5680896178</v>
      </c>
      <c r="AS19" s="20">
        <v>5892048223</v>
      </c>
      <c r="AT19" s="38">
        <f>((AR19-AS19)/AS19)*100</f>
        <v>-3.58367815415621</v>
      </c>
      <c r="AU19" s="20">
        <v>5680896178</v>
      </c>
      <c r="AV19" s="20">
        <v>5892048223</v>
      </c>
      <c r="AW19" s="38">
        <f>((AU19-AV19)/AV19)*100</f>
        <v>-3.58367815415621</v>
      </c>
      <c r="AX19" s="20">
        <v>5680896178</v>
      </c>
      <c r="AY19" s="20">
        <v>5892048223</v>
      </c>
      <c r="AZ19" s="38">
        <f>((AX19-AY19)/AY19)*100</f>
        <v>-3.58367815415621</v>
      </c>
    </row>
    <row r="20" spans="1:52">
      <c r="A20" s="2"/>
      <c r="D20" s="2"/>
      <c r="E20" s="20"/>
      <c r="F20" s="20"/>
      <c r="G20" s="80"/>
      <c r="H20" s="20"/>
      <c r="I20" s="20"/>
      <c r="J20" s="80"/>
      <c r="K20" s="20"/>
      <c r="L20" s="20"/>
      <c r="M20" s="80"/>
      <c r="N20" s="20"/>
      <c r="O20" s="20"/>
      <c r="P20" s="80"/>
      <c r="Q20" s="20"/>
      <c r="R20" s="20"/>
      <c r="S20" s="80"/>
      <c r="T20" s="20"/>
      <c r="U20" s="20"/>
      <c r="V20" s="80"/>
      <c r="W20" s="20"/>
      <c r="X20" s="20"/>
      <c r="Y20" s="80"/>
      <c r="Z20" s="20"/>
      <c r="AA20" s="20"/>
      <c r="AB20" s="80"/>
      <c r="AC20" s="20"/>
      <c r="AD20" s="20"/>
      <c r="AE20" s="80"/>
      <c r="AF20" s="20"/>
      <c r="AG20" s="20"/>
      <c r="AH20" s="80"/>
      <c r="AI20" s="20"/>
      <c r="AJ20" s="20"/>
      <c r="AK20" s="80"/>
      <c r="AL20" s="20"/>
      <c r="AM20" s="20"/>
      <c r="AN20" s="80"/>
      <c r="AO20" s="20"/>
      <c r="AP20" s="20"/>
      <c r="AQ20" s="80"/>
      <c r="AR20" s="20"/>
      <c r="AS20" s="20"/>
      <c r="AT20" s="80"/>
      <c r="AU20" s="315" t="s">
        <v>293</v>
      </c>
      <c r="AV20" s="20"/>
      <c r="AW20" s="80"/>
      <c r="AX20" s="315" t="s">
        <v>293</v>
      </c>
      <c r="AY20" s="20"/>
      <c r="AZ20" s="80"/>
    </row>
    <row r="21" spans="1:52">
      <c r="A21" s="2">
        <v>8</v>
      </c>
      <c r="B21" s="2" t="s">
        <v>180</v>
      </c>
      <c r="C21" s="37" t="s">
        <v>176</v>
      </c>
      <c r="D21" s="2" t="s">
        <v>181</v>
      </c>
      <c r="E21" s="20">
        <f>E11</f>
        <v>11976462000</v>
      </c>
      <c r="F21" s="20">
        <f>F3</f>
        <v>70469380</v>
      </c>
      <c r="G21" s="38">
        <f>E21/F21</f>
        <v>169.952708538091</v>
      </c>
      <c r="H21" s="20">
        <f>H11</f>
        <v>9325945482</v>
      </c>
      <c r="I21" s="20">
        <f>I3</f>
        <v>56805173</v>
      </c>
      <c r="J21" s="38">
        <f>H21/I21</f>
        <v>164.174229026642</v>
      </c>
      <c r="K21" s="20">
        <f>K11</f>
        <v>7382787427</v>
      </c>
      <c r="L21" s="20">
        <f>L3</f>
        <v>48757016</v>
      </c>
      <c r="M21" s="38">
        <f>K21/L21</f>
        <v>151.420001318374</v>
      </c>
      <c r="N21" s="20">
        <f>N11</f>
        <v>6983955138</v>
      </c>
      <c r="O21" s="20">
        <f>O3</f>
        <v>36236781</v>
      </c>
      <c r="P21" s="38">
        <f>N21/O21</f>
        <v>192.731113119568</v>
      </c>
      <c r="Q21" s="20">
        <f>Q11</f>
        <v>5902715983</v>
      </c>
      <c r="R21" s="20">
        <f>R3</f>
        <v>35108461</v>
      </c>
      <c r="S21" s="38">
        <f>Q21/R21</f>
        <v>168.128018570794</v>
      </c>
      <c r="T21" s="20">
        <f>T11</f>
        <v>7133642596</v>
      </c>
      <c r="U21" s="20">
        <f>U3</f>
        <v>42964581</v>
      </c>
      <c r="V21" s="38">
        <f>T21/U21</f>
        <v>166.035428019186</v>
      </c>
      <c r="W21" s="20">
        <f>W11</f>
        <v>5573111821</v>
      </c>
      <c r="X21" s="20">
        <f>X3</f>
        <v>35562557</v>
      </c>
      <c r="Y21" s="38">
        <f>W21/X21</f>
        <v>156.71291074486</v>
      </c>
      <c r="Z21" s="20">
        <f>Z11</f>
        <v>6542791298</v>
      </c>
      <c r="AA21" s="20">
        <f>AA3</f>
        <v>43957858</v>
      </c>
      <c r="AB21" s="38">
        <f>Z21/AA21</f>
        <v>148.84235937975</v>
      </c>
      <c r="AC21" s="20">
        <f>AC11</f>
        <v>715276370</v>
      </c>
      <c r="AD21" s="20">
        <f>AD3</f>
        <v>5250000</v>
      </c>
      <c r="AE21" s="38">
        <f>AC21/AD21</f>
        <v>136.243118095238</v>
      </c>
      <c r="AF21" s="20">
        <f>AF11</f>
        <v>2091326719</v>
      </c>
      <c r="AG21" s="20">
        <f>AG3</f>
        <v>12496944</v>
      </c>
      <c r="AH21" s="38">
        <f>AF21/AG21</f>
        <v>167.347050526913</v>
      </c>
      <c r="AI21" s="20">
        <f>AI11</f>
        <v>1717445665</v>
      </c>
      <c r="AJ21" s="20">
        <f>AJ3</f>
        <v>12171000</v>
      </c>
      <c r="AK21" s="38">
        <f>AI21/AJ21</f>
        <v>141.109659436365</v>
      </c>
      <c r="AL21" s="20">
        <f>AL11</f>
        <v>1717445665</v>
      </c>
      <c r="AM21" s="20">
        <f>AM3</f>
        <v>8343384</v>
      </c>
      <c r="AN21" s="38">
        <f>AL21/AM21</f>
        <v>205.845214004294</v>
      </c>
      <c r="AO21" s="20">
        <f>AO11</f>
        <v>695660168</v>
      </c>
      <c r="AP21" s="20">
        <f>AP3</f>
        <v>5696985</v>
      </c>
      <c r="AQ21" s="38">
        <f>AO21/AP21</f>
        <v>122.110233395384</v>
      </c>
      <c r="AR21" s="20">
        <f>AR11</f>
        <v>483301940</v>
      </c>
      <c r="AS21" s="20">
        <f>AS3</f>
        <v>5574560</v>
      </c>
      <c r="AT21" s="38">
        <f>AR21/AS21</f>
        <v>86.6977734565598</v>
      </c>
      <c r="AU21" s="20">
        <f>AU11</f>
        <v>483301940</v>
      </c>
      <c r="AV21" s="20">
        <f>AV3</f>
        <v>2624676</v>
      </c>
      <c r="AW21" s="38">
        <f>AU21/AV21</f>
        <v>184.137752621657</v>
      </c>
      <c r="AX21" s="20">
        <f>AX11</f>
        <v>483301940</v>
      </c>
      <c r="AY21" s="20">
        <f>AY3</f>
        <v>5028300</v>
      </c>
      <c r="AZ21" s="38">
        <f>AX21/AY21</f>
        <v>96.1163693494819</v>
      </c>
    </row>
    <row r="22" spans="1:52">
      <c r="A22" s="2"/>
      <c r="B22" s="2"/>
      <c r="C22" s="6" t="s">
        <v>163</v>
      </c>
      <c r="D22" s="2"/>
      <c r="E22" s="20"/>
      <c r="F22" s="20"/>
      <c r="G22" s="38"/>
      <c r="H22" s="20"/>
      <c r="I22" s="20"/>
      <c r="J22" s="38"/>
      <c r="K22" s="20"/>
      <c r="L22" s="20"/>
      <c r="M22" s="38"/>
      <c r="N22" s="20"/>
      <c r="O22" s="20"/>
      <c r="P22" s="38"/>
      <c r="Q22" s="20"/>
      <c r="R22" s="20"/>
      <c r="S22" s="38"/>
      <c r="T22" s="20"/>
      <c r="U22" s="20"/>
      <c r="V22" s="38"/>
      <c r="W22" s="20"/>
      <c r="X22" s="20"/>
      <c r="Y22" s="38"/>
      <c r="Z22" s="20"/>
      <c r="AA22" s="20"/>
      <c r="AB22" s="38"/>
      <c r="AC22" s="20"/>
      <c r="AD22" s="20"/>
      <c r="AE22" s="38"/>
      <c r="AF22" s="20"/>
      <c r="AG22" s="20"/>
      <c r="AH22" s="38"/>
      <c r="AI22" s="20"/>
      <c r="AJ22" s="20"/>
      <c r="AK22" s="38"/>
      <c r="AL22" s="20"/>
      <c r="AM22" s="20"/>
      <c r="AN22" s="38"/>
      <c r="AO22" s="20"/>
      <c r="AP22" s="20"/>
      <c r="AQ22" s="38"/>
      <c r="AR22" s="20"/>
      <c r="AS22" s="20"/>
      <c r="AT22" s="38"/>
      <c r="AU22" s="20"/>
      <c r="AV22" s="20"/>
      <c r="AW22" s="38"/>
      <c r="AX22" s="20"/>
      <c r="AY22" s="20"/>
      <c r="AZ22" s="38"/>
    </row>
    <row r="23" spans="1:52">
      <c r="A23" s="2"/>
      <c r="B23" s="2"/>
      <c r="C23" s="6"/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0"/>
      <c r="AM23" s="20"/>
      <c r="AN23" s="38"/>
      <c r="AO23" s="20"/>
      <c r="AP23" s="20"/>
      <c r="AQ23" s="38"/>
      <c r="AR23" s="315" t="s">
        <v>291</v>
      </c>
      <c r="AS23" s="20"/>
      <c r="AT23" s="38"/>
      <c r="AU23" s="315" t="s">
        <v>294</v>
      </c>
      <c r="AV23" s="20"/>
      <c r="AW23" s="38"/>
      <c r="AX23" s="315" t="s">
        <v>294</v>
      </c>
      <c r="AY23" s="20"/>
      <c r="AZ23" s="38"/>
    </row>
    <row r="24" spans="1:52">
      <c r="A24" s="2">
        <v>9</v>
      </c>
      <c r="B24" s="2" t="s">
        <v>182</v>
      </c>
      <c r="C24" s="37" t="s">
        <v>183</v>
      </c>
      <c r="D24" s="50" t="s">
        <v>184</v>
      </c>
      <c r="E24" s="20">
        <f>E6</f>
        <v>457</v>
      </c>
      <c r="F24" s="42">
        <f>G21</f>
        <v>169.952708538091</v>
      </c>
      <c r="G24" s="38">
        <f>E24/F24</f>
        <v>2.68898332913343</v>
      </c>
      <c r="H24" s="20">
        <f>H6</f>
        <v>431</v>
      </c>
      <c r="I24" s="42">
        <f>J21</f>
        <v>164.174229026642</v>
      </c>
      <c r="J24" s="38">
        <f>H24/I24</f>
        <v>2.62525977770883</v>
      </c>
      <c r="K24" s="20">
        <f>K6</f>
        <v>431</v>
      </c>
      <c r="L24" s="42">
        <f>M21</f>
        <v>151.420001318374</v>
      </c>
      <c r="M24" s="38">
        <f>K24/L24</f>
        <v>2.84638750658695</v>
      </c>
      <c r="N24" s="20">
        <f>N6</f>
        <v>538</v>
      </c>
      <c r="O24" s="42">
        <f>P21</f>
        <v>192.731113119568</v>
      </c>
      <c r="P24" s="38">
        <f>N24/O24</f>
        <v>2.79145380987984</v>
      </c>
      <c r="Q24" s="20">
        <f>Q6</f>
        <v>523</v>
      </c>
      <c r="R24" s="42">
        <f>S21</f>
        <v>168.128018570794</v>
      </c>
      <c r="S24" s="38">
        <f>Q24/R24</f>
        <v>3.1107248181824</v>
      </c>
      <c r="T24" s="20">
        <f>T6</f>
        <v>398</v>
      </c>
      <c r="U24" s="42">
        <f>V21</f>
        <v>166.035428019186</v>
      </c>
      <c r="V24" s="38">
        <f>T24/U24</f>
        <v>2.39707877257382</v>
      </c>
      <c r="W24" s="20">
        <f>W6</f>
        <v>443</v>
      </c>
      <c r="X24" s="42">
        <f>Y21</f>
        <v>156.71291074486</v>
      </c>
      <c r="Y24" s="38">
        <f>W24/X24</f>
        <v>2.82682516644232</v>
      </c>
      <c r="Z24" s="20">
        <f>Z6</f>
        <v>338</v>
      </c>
      <c r="AA24" s="42">
        <f>AB21</f>
        <v>148.84235937975</v>
      </c>
      <c r="AB24" s="38">
        <f>Z24/AA24</f>
        <v>2.27085892355174</v>
      </c>
      <c r="AC24" s="20">
        <f>AC6</f>
        <v>1922</v>
      </c>
      <c r="AD24" s="42">
        <f>AE21</f>
        <v>136.243118095238</v>
      </c>
      <c r="AE24" s="38">
        <f>AC24/AD24</f>
        <v>14.1071345611487</v>
      </c>
      <c r="AF24" s="20">
        <f>AF6</f>
        <v>629</v>
      </c>
      <c r="AG24" s="42">
        <f>AH21</f>
        <v>167.347050526913</v>
      </c>
      <c r="AH24" s="38">
        <f>AF24/AG24</f>
        <v>3.75865602661963</v>
      </c>
      <c r="AI24" s="20">
        <f>AI6</f>
        <v>623</v>
      </c>
      <c r="AJ24" s="42">
        <f>AK21</f>
        <v>141.109659436365</v>
      </c>
      <c r="AK24" s="38">
        <f>AI24/AJ24</f>
        <v>4.41500604911422</v>
      </c>
      <c r="AL24" s="20">
        <f>AL6</f>
        <v>838</v>
      </c>
      <c r="AM24" s="42">
        <f>AN21</f>
        <v>205.845214004294</v>
      </c>
      <c r="AN24" s="38">
        <f>AL24/AM24</f>
        <v>4.07102008202396</v>
      </c>
      <c r="AO24" s="20">
        <f>AO6</f>
        <v>1158</v>
      </c>
      <c r="AP24" s="42">
        <f>AQ21</f>
        <v>122.110233395384</v>
      </c>
      <c r="AQ24" s="38">
        <f>AO24/AP24</f>
        <v>9.48323467903369</v>
      </c>
      <c r="AR24" s="20">
        <f>AR6</f>
        <v>760</v>
      </c>
      <c r="AS24" s="42">
        <f>AT21</f>
        <v>86.6977734565598</v>
      </c>
      <c r="AT24" s="38">
        <f>AR24/AS24</f>
        <v>8.76608440677892</v>
      </c>
      <c r="AU24" s="20">
        <f>AU6</f>
        <v>1554</v>
      </c>
      <c r="AV24" s="42">
        <f>AW21</f>
        <v>184.137752621657</v>
      </c>
      <c r="AW24" s="38">
        <f>AU24/AV24</f>
        <v>8.43933401963998</v>
      </c>
      <c r="AX24" s="20">
        <f>AX6</f>
        <v>810</v>
      </c>
      <c r="AY24" s="42">
        <f>AZ21</f>
        <v>96.1163693494819</v>
      </c>
      <c r="AZ24" s="38">
        <f>AX24/AY24</f>
        <v>8.4272846080444</v>
      </c>
    </row>
    <row r="25" spans="1:52">
      <c r="A25" s="2"/>
      <c r="B25" s="2"/>
      <c r="C25" s="2" t="s">
        <v>185</v>
      </c>
      <c r="D25" s="2"/>
      <c r="E25" s="20"/>
      <c r="F25" s="42"/>
      <c r="G25" s="38"/>
      <c r="H25" s="20"/>
      <c r="I25" s="42"/>
      <c r="J25" s="38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38"/>
      <c r="W25" s="20"/>
      <c r="X25" s="42"/>
      <c r="Y25" s="38"/>
      <c r="Z25" s="20"/>
      <c r="AA25" s="42"/>
      <c r="AB25" s="38"/>
      <c r="AC25" s="20"/>
      <c r="AD25" s="42"/>
      <c r="AE25" s="38"/>
      <c r="AF25" s="20"/>
      <c r="AG25" s="42"/>
      <c r="AH25" s="38"/>
      <c r="AI25" s="20"/>
      <c r="AJ25" s="42"/>
      <c r="AK25" s="38"/>
      <c r="AL25" s="20"/>
      <c r="AM25" s="42"/>
      <c r="AN25" s="38"/>
      <c r="AO25" s="20"/>
      <c r="AP25" s="42"/>
      <c r="AQ25" s="38"/>
      <c r="AR25" s="20"/>
      <c r="AS25" s="42"/>
      <c r="AT25" s="38"/>
      <c r="AU25" s="20"/>
      <c r="AV25" s="42"/>
      <c r="AW25" s="38"/>
      <c r="AX25" s="20"/>
      <c r="AY25" s="42"/>
      <c r="AZ25" s="38"/>
    </row>
    <row r="26" spans="1:52">
      <c r="A26" s="2"/>
      <c r="B26" s="2"/>
      <c r="C26" s="2"/>
      <c r="D26" s="2"/>
      <c r="E26" s="20"/>
      <c r="F26" s="2"/>
      <c r="G26" s="85"/>
      <c r="H26" s="20"/>
      <c r="I26" s="2"/>
      <c r="J26" s="85"/>
      <c r="K26" s="20"/>
      <c r="L26" s="2"/>
      <c r="M26" s="85"/>
      <c r="N26" s="20"/>
      <c r="O26" s="2"/>
      <c r="P26" s="85"/>
      <c r="Q26" s="20"/>
      <c r="R26" s="2"/>
      <c r="S26" s="85"/>
      <c r="T26" s="20"/>
      <c r="U26" s="2"/>
      <c r="V26" s="85"/>
      <c r="W26" s="20"/>
      <c r="X26" s="2"/>
      <c r="Y26" s="85"/>
      <c r="Z26" s="20"/>
      <c r="AA26" s="2"/>
      <c r="AB26" s="85"/>
      <c r="AC26" s="20"/>
      <c r="AD26" s="2"/>
      <c r="AE26" s="85"/>
      <c r="AF26" s="20"/>
      <c r="AG26" s="2"/>
      <c r="AH26" s="85"/>
      <c r="AI26" s="20"/>
      <c r="AJ26" s="2"/>
      <c r="AK26" s="85"/>
      <c r="AL26" s="20"/>
      <c r="AM26" s="2"/>
      <c r="AN26" s="85"/>
      <c r="AO26" s="20"/>
      <c r="AP26" s="2"/>
      <c r="AQ26" s="85"/>
      <c r="AR26" s="20"/>
      <c r="AS26" s="2"/>
      <c r="AT26" s="85"/>
      <c r="AU26" s="20"/>
      <c r="AV26" s="2"/>
      <c r="AW26" s="85"/>
      <c r="AX26" s="20"/>
      <c r="AY26" s="2"/>
      <c r="AZ26" s="85"/>
    </row>
    <row r="27" spans="1:52">
      <c r="A27" s="2">
        <v>10</v>
      </c>
      <c r="B27" s="2" t="s">
        <v>186</v>
      </c>
      <c r="C27" s="37" t="s">
        <v>187</v>
      </c>
      <c r="D27" s="41" t="s">
        <v>295</v>
      </c>
      <c r="E27" s="42">
        <v>0</v>
      </c>
      <c r="F27" s="20">
        <f>E6</f>
        <v>457</v>
      </c>
      <c r="G27" s="38">
        <f>(E27/F27)*100</f>
        <v>0</v>
      </c>
      <c r="H27" s="42">
        <v>5</v>
      </c>
      <c r="I27" s="20">
        <f>H6</f>
        <v>431</v>
      </c>
      <c r="J27" s="38">
        <f>(H27/I27)*100</f>
        <v>1.16009280742459</v>
      </c>
      <c r="K27" s="42">
        <v>8</v>
      </c>
      <c r="L27" s="20">
        <f>K6</f>
        <v>431</v>
      </c>
      <c r="M27" s="38">
        <f>(K27/L27)*100</f>
        <v>1.85614849187935</v>
      </c>
      <c r="N27" s="42">
        <v>7</v>
      </c>
      <c r="O27" s="20">
        <f>N6</f>
        <v>538</v>
      </c>
      <c r="P27" s="38">
        <f>(N27/O27)*100</f>
        <v>1.30111524163569</v>
      </c>
      <c r="Q27" s="42">
        <v>12</v>
      </c>
      <c r="R27" s="20">
        <f>Q6</f>
        <v>523</v>
      </c>
      <c r="S27" s="38">
        <f>(Q27/R27)*100</f>
        <v>2.29445506692161</v>
      </c>
      <c r="T27" s="42">
        <v>7</v>
      </c>
      <c r="U27" s="20">
        <f>T6</f>
        <v>398</v>
      </c>
      <c r="V27" s="38">
        <f>(T27/U27)*100</f>
        <v>1.75879396984925</v>
      </c>
      <c r="W27" s="42">
        <v>3.84</v>
      </c>
      <c r="X27" s="20">
        <f>W6</f>
        <v>443</v>
      </c>
      <c r="Y27" s="38">
        <f>(W27/X27)*100</f>
        <v>0.866817155756208</v>
      </c>
      <c r="Z27" s="42">
        <v>0</v>
      </c>
      <c r="AA27" s="20">
        <f>Z6</f>
        <v>338</v>
      </c>
      <c r="AB27" s="38">
        <f>(Z27/AA27)*100</f>
        <v>0</v>
      </c>
      <c r="AC27" s="42">
        <v>0</v>
      </c>
      <c r="AD27" s="20">
        <f>AC6</f>
        <v>1922</v>
      </c>
      <c r="AE27" s="38">
        <f>(AC27/AD27)*100</f>
        <v>0</v>
      </c>
      <c r="AF27" s="42">
        <v>0</v>
      </c>
      <c r="AG27" s="20">
        <f>AF6</f>
        <v>629</v>
      </c>
      <c r="AH27" s="38">
        <f>(AF27/AG27)*100</f>
        <v>0</v>
      </c>
      <c r="AI27" s="42">
        <v>10</v>
      </c>
      <c r="AJ27" s="20">
        <f>AI6</f>
        <v>623</v>
      </c>
      <c r="AK27" s="38">
        <f>(AI27/AJ27)*100</f>
        <v>1.60513643659711</v>
      </c>
      <c r="AL27" s="42">
        <v>0</v>
      </c>
      <c r="AM27" s="20">
        <f>AL6</f>
        <v>838</v>
      </c>
      <c r="AN27" s="38">
        <f>(AL27/AM27)*100</f>
        <v>0</v>
      </c>
      <c r="AO27" s="42">
        <v>6.05</v>
      </c>
      <c r="AP27" s="20">
        <f>AO6</f>
        <v>1158</v>
      </c>
      <c r="AQ27" s="38">
        <f>(AO27/AP27)*100</f>
        <v>0.522452504317789</v>
      </c>
      <c r="AR27" s="42">
        <v>0</v>
      </c>
      <c r="AS27" s="20">
        <f>AR6</f>
        <v>760</v>
      </c>
      <c r="AT27" s="38">
        <f>(AR27/AS27)*100</f>
        <v>0</v>
      </c>
      <c r="AU27" s="42">
        <v>0</v>
      </c>
      <c r="AV27" s="20">
        <f>AU6</f>
        <v>1554</v>
      </c>
      <c r="AW27" s="38">
        <f>(AU27/AV27)*100</f>
        <v>0</v>
      </c>
      <c r="AX27" s="42">
        <v>0</v>
      </c>
      <c r="AY27" s="20">
        <f>AX6</f>
        <v>810</v>
      </c>
      <c r="AZ27" s="38">
        <f>(AX27/AY27)*100</f>
        <v>0</v>
      </c>
    </row>
    <row r="28" spans="1:52">
      <c r="A28" s="2"/>
      <c r="B28" s="2"/>
      <c r="C28" s="2" t="s">
        <v>189</v>
      </c>
      <c r="D28" s="41"/>
      <c r="E28" s="42"/>
      <c r="F28" s="20"/>
      <c r="G28" s="38"/>
      <c r="H28" s="42"/>
      <c r="I28" s="20"/>
      <c r="J28" s="38"/>
      <c r="K28" s="42"/>
      <c r="L28" s="20"/>
      <c r="M28" s="38"/>
      <c r="N28" s="42"/>
      <c r="O28" s="20"/>
      <c r="P28" s="38"/>
      <c r="Q28" s="42"/>
      <c r="R28" s="20"/>
      <c r="S28" s="38"/>
      <c r="T28" s="42"/>
      <c r="U28" s="20"/>
      <c r="V28" s="38"/>
      <c r="W28" s="42"/>
      <c r="X28" s="20"/>
      <c r="Y28" s="38"/>
      <c r="Z28" s="42"/>
      <c r="AA28" s="20"/>
      <c r="AB28" s="38"/>
      <c r="AC28" s="42"/>
      <c r="AD28" s="20"/>
      <c r="AE28" s="38"/>
      <c r="AF28" s="42"/>
      <c r="AG28" s="20"/>
      <c r="AH28" s="38"/>
      <c r="AI28" s="42"/>
      <c r="AJ28" s="20"/>
      <c r="AK28" s="38"/>
      <c r="AL28" s="42"/>
      <c r="AM28" s="20"/>
      <c r="AN28" s="38"/>
      <c r="AO28" s="42"/>
      <c r="AP28" s="20"/>
      <c r="AQ28" s="38"/>
      <c r="AR28" s="42"/>
      <c r="AS28" s="20"/>
      <c r="AT28" s="38"/>
      <c r="AU28" s="42"/>
      <c r="AV28" s="20"/>
      <c r="AW28" s="38"/>
      <c r="AX28" s="42"/>
      <c r="AY28" s="20"/>
      <c r="AZ28" s="38"/>
    </row>
    <row r="29" spans="1:52">
      <c r="A29" s="2"/>
      <c r="B29" s="2"/>
      <c r="C29" s="2"/>
      <c r="D29" s="41"/>
      <c r="E29" s="86"/>
      <c r="F29" s="20"/>
      <c r="G29" s="38"/>
      <c r="H29" s="86"/>
      <c r="I29" s="20"/>
      <c r="J29" s="38"/>
      <c r="K29" s="86"/>
      <c r="L29" s="20"/>
      <c r="M29" s="38"/>
      <c r="N29" s="86"/>
      <c r="O29" s="20"/>
      <c r="P29" s="38"/>
      <c r="Q29" s="86"/>
      <c r="R29" s="20"/>
      <c r="S29" s="38"/>
      <c r="T29" s="86"/>
      <c r="U29" s="20"/>
      <c r="V29" s="38"/>
      <c r="W29" s="86"/>
      <c r="X29" s="20"/>
      <c r="Y29" s="38"/>
      <c r="Z29" s="86" t="s">
        <v>296</v>
      </c>
      <c r="AA29" s="20"/>
      <c r="AB29" s="38"/>
      <c r="AC29" s="86" t="s">
        <v>296</v>
      </c>
      <c r="AD29" s="20"/>
      <c r="AE29" s="38"/>
      <c r="AF29" s="86" t="s">
        <v>296</v>
      </c>
      <c r="AG29" s="20"/>
      <c r="AH29" s="38"/>
      <c r="AI29" s="86"/>
      <c r="AJ29" s="20"/>
      <c r="AK29" s="38"/>
      <c r="AL29" s="86"/>
      <c r="AM29" s="20"/>
      <c r="AN29" s="38"/>
      <c r="AO29" s="86"/>
      <c r="AP29" s="20"/>
      <c r="AQ29" s="38"/>
      <c r="AR29" s="86"/>
      <c r="AS29" s="20"/>
      <c r="AT29" s="38"/>
      <c r="AU29" s="86"/>
      <c r="AV29" s="20"/>
      <c r="AW29" s="38"/>
      <c r="AX29" s="86"/>
      <c r="AY29" s="20"/>
      <c r="AZ29" s="38"/>
    </row>
    <row r="30" ht="30" spans="1:52">
      <c r="A30" s="2">
        <v>11</v>
      </c>
      <c r="B30" s="2" t="s">
        <v>192</v>
      </c>
      <c r="C30" s="41" t="s">
        <v>193</v>
      </c>
      <c r="D30" s="2" t="s">
        <v>194</v>
      </c>
      <c r="E30" s="2">
        <v>12.99</v>
      </c>
      <c r="F30" s="42">
        <v>11.69</v>
      </c>
      <c r="G30" s="232">
        <f>E30</f>
        <v>12.99</v>
      </c>
      <c r="H30" s="2">
        <v>13.47</v>
      </c>
      <c r="I30" s="42">
        <v>13.29</v>
      </c>
      <c r="J30" s="232">
        <f>H30</f>
        <v>13.47</v>
      </c>
      <c r="K30" s="2">
        <v>12.58</v>
      </c>
      <c r="L30" s="42">
        <v>12.64</v>
      </c>
      <c r="M30" s="232">
        <f>K30</f>
        <v>12.58</v>
      </c>
      <c r="N30" s="2">
        <v>13.5</v>
      </c>
      <c r="O30" s="42">
        <v>13.4</v>
      </c>
      <c r="P30" s="232">
        <f>N30</f>
        <v>13.5</v>
      </c>
      <c r="Q30" s="2">
        <v>13.2</v>
      </c>
      <c r="R30" s="42">
        <v>12.5</v>
      </c>
      <c r="S30" s="232">
        <f>Q30</f>
        <v>13.2</v>
      </c>
      <c r="T30" s="2">
        <v>17.49</v>
      </c>
      <c r="U30" s="42">
        <v>14.93</v>
      </c>
      <c r="V30" s="232">
        <f>T30</f>
        <v>17.49</v>
      </c>
      <c r="W30" s="2">
        <v>11.03</v>
      </c>
      <c r="X30" s="42">
        <v>10.14</v>
      </c>
      <c r="Y30" s="232">
        <f>W30</f>
        <v>11.03</v>
      </c>
      <c r="Z30" s="2">
        <v>13.61</v>
      </c>
      <c r="AA30" s="42">
        <v>12.39</v>
      </c>
      <c r="AB30" s="232">
        <f>Z30</f>
        <v>13.61</v>
      </c>
      <c r="AC30" s="2">
        <v>28.54</v>
      </c>
      <c r="AD30" s="42">
        <v>37.1</v>
      </c>
      <c r="AE30" s="232">
        <f>AC30</f>
        <v>28.54</v>
      </c>
      <c r="AF30" s="2">
        <v>12.84</v>
      </c>
      <c r="AG30" s="42">
        <v>12.73</v>
      </c>
      <c r="AH30" s="232">
        <f>AF30</f>
        <v>12.84</v>
      </c>
      <c r="AI30" s="2">
        <v>31.54</v>
      </c>
      <c r="AJ30" s="42">
        <v>37.83</v>
      </c>
      <c r="AK30" s="232">
        <f>AI30</f>
        <v>31.54</v>
      </c>
      <c r="AL30" s="2">
        <v>31.54</v>
      </c>
      <c r="AM30" s="42">
        <v>37.83</v>
      </c>
      <c r="AN30" s="232">
        <f>AL30</f>
        <v>31.54</v>
      </c>
      <c r="AO30" s="2">
        <v>14.77</v>
      </c>
      <c r="AP30" s="42">
        <v>14.26</v>
      </c>
      <c r="AQ30" s="232">
        <f>AO30</f>
        <v>14.77</v>
      </c>
      <c r="AR30" s="2">
        <v>12.8</v>
      </c>
      <c r="AS30" s="42">
        <v>6.73</v>
      </c>
      <c r="AT30" s="232">
        <f>AR30</f>
        <v>12.8</v>
      </c>
      <c r="AU30" s="2">
        <v>12.8</v>
      </c>
      <c r="AV30" s="42">
        <v>6.73</v>
      </c>
      <c r="AW30" s="232">
        <f>AU30</f>
        <v>12.8</v>
      </c>
      <c r="AX30" s="2">
        <v>12.8</v>
      </c>
      <c r="AY30" s="42">
        <v>6.73</v>
      </c>
      <c r="AZ30" s="232">
        <f>AX30</f>
        <v>12.8</v>
      </c>
    </row>
    <row r="31" spans="1:52">
      <c r="A31" s="2"/>
      <c r="B31" s="2"/>
      <c r="D31" s="41"/>
      <c r="E31" s="42"/>
      <c r="F31" s="20"/>
      <c r="G31" s="38"/>
      <c r="H31" s="42"/>
      <c r="I31" s="20"/>
      <c r="J31" s="38"/>
      <c r="K31" s="42"/>
      <c r="L31" s="20"/>
      <c r="M31" s="38"/>
      <c r="N31" s="42"/>
      <c r="O31" s="20"/>
      <c r="P31" s="38"/>
      <c r="Q31" s="42"/>
      <c r="R31" s="20"/>
      <c r="S31" s="38"/>
      <c r="T31" s="42"/>
      <c r="U31" s="20"/>
      <c r="V31" s="38"/>
      <c r="W31" s="42"/>
      <c r="X31" s="20"/>
      <c r="Y31" s="38"/>
      <c r="Z31" s="42"/>
      <c r="AA31" s="20"/>
      <c r="AB31" s="38"/>
      <c r="AC31" s="42"/>
      <c r="AD31" s="20"/>
      <c r="AE31" s="38"/>
      <c r="AF31" s="42"/>
      <c r="AG31" s="20"/>
      <c r="AH31" s="38"/>
      <c r="AI31" s="42"/>
      <c r="AJ31" s="20"/>
      <c r="AK31" s="38"/>
      <c r="AL31" s="42"/>
      <c r="AM31" s="20"/>
      <c r="AN31" s="38"/>
      <c r="AO31" s="42"/>
      <c r="AP31" s="20"/>
      <c r="AQ31" s="38"/>
      <c r="AR31" s="42"/>
      <c r="AS31" s="20"/>
      <c r="AT31" s="38"/>
      <c r="AU31" s="42"/>
      <c r="AV31" s="20"/>
      <c r="AW31" s="38"/>
      <c r="AX31" s="42"/>
      <c r="AY31" s="20"/>
      <c r="AZ31" s="38"/>
    </row>
    <row r="32" ht="30" spans="1:52">
      <c r="A32" s="2">
        <v>12</v>
      </c>
      <c r="B32" s="23" t="s">
        <v>196</v>
      </c>
      <c r="C32" s="2" t="s">
        <v>197</v>
      </c>
      <c r="D32" s="2" t="s">
        <v>198</v>
      </c>
      <c r="E32" s="42">
        <v>2.75</v>
      </c>
      <c r="F32" s="42">
        <v>2.37</v>
      </c>
      <c r="G32" s="38">
        <f>E32</f>
        <v>2.75</v>
      </c>
      <c r="H32" s="42">
        <v>4.72</v>
      </c>
      <c r="I32" s="42">
        <v>4.85</v>
      </c>
      <c r="J32" s="38">
        <f>H32</f>
        <v>4.72</v>
      </c>
      <c r="K32" s="42">
        <v>4.24</v>
      </c>
      <c r="L32" s="42">
        <v>3.43</v>
      </c>
      <c r="M32" s="38">
        <f>K32</f>
        <v>4.24</v>
      </c>
      <c r="N32" s="42">
        <v>4.55</v>
      </c>
      <c r="O32" s="42">
        <v>3.29</v>
      </c>
      <c r="P32" s="38">
        <f>N32</f>
        <v>4.55</v>
      </c>
      <c r="Q32" s="42">
        <v>3.38</v>
      </c>
      <c r="R32" s="42">
        <v>3.36</v>
      </c>
      <c r="S32" s="38">
        <f>Q32</f>
        <v>3.38</v>
      </c>
      <c r="T32" s="42">
        <v>4.86</v>
      </c>
      <c r="U32" s="42">
        <v>4.07</v>
      </c>
      <c r="V32" s="38">
        <f>T32</f>
        <v>4.86</v>
      </c>
      <c r="W32" s="42">
        <v>5.64</v>
      </c>
      <c r="X32" s="42">
        <v>3.93</v>
      </c>
      <c r="Y32" s="38">
        <f>W32</f>
        <v>5.64</v>
      </c>
      <c r="Z32" s="42">
        <v>7.98</v>
      </c>
      <c r="AA32" s="42">
        <v>5.29</v>
      </c>
      <c r="AB32" s="38">
        <f>Z32</f>
        <v>7.98</v>
      </c>
      <c r="AC32" s="42">
        <v>12.36</v>
      </c>
      <c r="AD32" s="42">
        <v>11.56</v>
      </c>
      <c r="AE32" s="38">
        <f>AC32</f>
        <v>12.36</v>
      </c>
      <c r="AF32" s="42">
        <v>6.71</v>
      </c>
      <c r="AG32" s="42">
        <v>6.16</v>
      </c>
      <c r="AH32" s="38">
        <f>AF32</f>
        <v>6.71</v>
      </c>
      <c r="AI32" s="42">
        <v>0.28</v>
      </c>
      <c r="AJ32" s="42">
        <v>0.81</v>
      </c>
      <c r="AK32" s="38">
        <f>AI32</f>
        <v>0.28</v>
      </c>
      <c r="AL32" s="42">
        <v>0.28</v>
      </c>
      <c r="AM32" s="42">
        <v>0.81</v>
      </c>
      <c r="AN32" s="38">
        <f>AL32</f>
        <v>0.28</v>
      </c>
      <c r="AO32" s="42">
        <v>3.33</v>
      </c>
      <c r="AP32" s="42">
        <v>3.18</v>
      </c>
      <c r="AQ32" s="38">
        <f>AO32</f>
        <v>3.33</v>
      </c>
      <c r="AR32" s="42">
        <v>6.03</v>
      </c>
      <c r="AS32" s="42">
        <v>10.63</v>
      </c>
      <c r="AT32" s="38">
        <f>AR32</f>
        <v>6.03</v>
      </c>
      <c r="AU32" s="42">
        <v>6.03</v>
      </c>
      <c r="AV32" s="42">
        <v>10.63</v>
      </c>
      <c r="AW32" s="38">
        <f>AU32</f>
        <v>6.03</v>
      </c>
      <c r="AX32" s="42">
        <v>6.03</v>
      </c>
      <c r="AY32" s="42">
        <v>10.63</v>
      </c>
      <c r="AZ32" s="38">
        <f>AX32</f>
        <v>6.03</v>
      </c>
    </row>
    <row r="33" spans="1:52">
      <c r="A33" s="2"/>
      <c r="B33" s="23"/>
      <c r="C33" s="2"/>
      <c r="D33" s="2"/>
      <c r="E33" s="82"/>
      <c r="F33" s="82"/>
      <c r="G33" s="38"/>
      <c r="H33" s="82"/>
      <c r="I33" s="82"/>
      <c r="J33" s="38"/>
      <c r="K33" s="82"/>
      <c r="L33" s="82"/>
      <c r="M33" s="38"/>
      <c r="N33" s="82"/>
      <c r="O33" s="82"/>
      <c r="P33" s="38"/>
      <c r="Q33" s="82"/>
      <c r="R33" s="82"/>
      <c r="S33" s="38"/>
      <c r="T33" s="82"/>
      <c r="U33" s="82"/>
      <c r="V33" s="38"/>
      <c r="W33" s="82"/>
      <c r="X33" s="82"/>
      <c r="Y33" s="38"/>
      <c r="Z33" s="82"/>
      <c r="AA33" s="82"/>
      <c r="AB33" s="38"/>
      <c r="AC33" s="82"/>
      <c r="AD33" s="82"/>
      <c r="AE33" s="38"/>
      <c r="AF33" s="82"/>
      <c r="AG33" s="82"/>
      <c r="AH33" s="38"/>
      <c r="AI33" s="82"/>
      <c r="AJ33" s="82"/>
      <c r="AK33" s="38"/>
      <c r="AL33" s="82"/>
      <c r="AM33" s="82"/>
      <c r="AN33" s="38"/>
      <c r="AO33" s="82"/>
      <c r="AP33" s="82"/>
      <c r="AQ33" s="38"/>
      <c r="AR33" s="82"/>
      <c r="AS33" s="82"/>
      <c r="AT33" s="38"/>
      <c r="AU33" s="82"/>
      <c r="AV33" s="82"/>
      <c r="AW33" s="38"/>
      <c r="AX33" s="82"/>
      <c r="AY33" s="82"/>
      <c r="AZ33" s="38"/>
    </row>
    <row r="34" ht="30" spans="1:52">
      <c r="A34" s="2">
        <v>13</v>
      </c>
      <c r="B34" s="23" t="s">
        <v>199</v>
      </c>
      <c r="C34" s="41" t="s">
        <v>200</v>
      </c>
      <c r="D34" s="2" t="s">
        <v>201</v>
      </c>
      <c r="E34" s="42">
        <v>85.72</v>
      </c>
      <c r="F34" s="42">
        <v>85.09</v>
      </c>
      <c r="G34" s="38">
        <f>E34</f>
        <v>85.72</v>
      </c>
      <c r="H34" s="42">
        <v>85.13</v>
      </c>
      <c r="I34" s="42">
        <v>82.72</v>
      </c>
      <c r="J34" s="38">
        <f>H34</f>
        <v>85.13</v>
      </c>
      <c r="K34" s="42">
        <v>82.6</v>
      </c>
      <c r="L34" s="42">
        <v>82.05</v>
      </c>
      <c r="M34" s="38">
        <f>K34</f>
        <v>82.6</v>
      </c>
      <c r="N34" s="42">
        <v>84.42</v>
      </c>
      <c r="O34" s="42">
        <v>80.63</v>
      </c>
      <c r="P34" s="38">
        <f>N34</f>
        <v>84.42</v>
      </c>
      <c r="Q34" s="42">
        <v>85.37</v>
      </c>
      <c r="R34" s="42">
        <v>83.28</v>
      </c>
      <c r="S34" s="38">
        <f>Q34</f>
        <v>85.37</v>
      </c>
      <c r="T34" s="42">
        <v>83.98</v>
      </c>
      <c r="U34" s="42">
        <v>82.67</v>
      </c>
      <c r="V34" s="38">
        <f>T34</f>
        <v>83.98</v>
      </c>
      <c r="W34" s="42">
        <v>83.07</v>
      </c>
      <c r="X34" s="42">
        <v>80.93</v>
      </c>
      <c r="Y34" s="38">
        <f>W34</f>
        <v>83.07</v>
      </c>
      <c r="Z34" s="42">
        <v>83.23</v>
      </c>
      <c r="AA34" s="42">
        <v>78.69</v>
      </c>
      <c r="AB34" s="38">
        <f>Z34</f>
        <v>83.23</v>
      </c>
      <c r="AC34" s="42">
        <v>63.04</v>
      </c>
      <c r="AD34" s="42">
        <v>71.98</v>
      </c>
      <c r="AE34" s="38">
        <f>AC34</f>
        <v>63.04</v>
      </c>
      <c r="AF34" s="42">
        <v>76.66</v>
      </c>
      <c r="AG34" s="42">
        <v>76.53</v>
      </c>
      <c r="AH34" s="38">
        <f>AF34</f>
        <v>76.66</v>
      </c>
      <c r="AI34" s="42">
        <v>89.62</v>
      </c>
      <c r="AJ34" s="42">
        <v>60.56</v>
      </c>
      <c r="AK34" s="38">
        <f>AI34</f>
        <v>89.62</v>
      </c>
      <c r="AL34" s="42">
        <v>89.62</v>
      </c>
      <c r="AM34" s="42">
        <v>60.56</v>
      </c>
      <c r="AN34" s="38">
        <f>AL34</f>
        <v>89.62</v>
      </c>
      <c r="AO34" s="42">
        <v>76.32</v>
      </c>
      <c r="AP34" s="42">
        <v>83</v>
      </c>
      <c r="AQ34" s="38">
        <f>AO34</f>
        <v>76.32</v>
      </c>
      <c r="AR34" s="42">
        <v>62.87</v>
      </c>
      <c r="AS34" s="42">
        <v>71.13</v>
      </c>
      <c r="AT34" s="38">
        <f>AR34</f>
        <v>62.87</v>
      </c>
      <c r="AU34" s="42">
        <v>62.87</v>
      </c>
      <c r="AV34" s="42">
        <v>71.13</v>
      </c>
      <c r="AW34" s="38">
        <f>AU34</f>
        <v>62.87</v>
      </c>
      <c r="AX34" s="42">
        <v>62.87</v>
      </c>
      <c r="AY34" s="42">
        <v>71.13</v>
      </c>
      <c r="AZ34" s="38">
        <f>AX34</f>
        <v>62.87</v>
      </c>
    </row>
    <row r="35" spans="1:52">
      <c r="A35" s="2"/>
      <c r="B35" s="2"/>
      <c r="C35" s="2"/>
      <c r="D35" s="41"/>
      <c r="E35" s="42"/>
      <c r="F35" s="20"/>
      <c r="G35" s="38"/>
      <c r="H35" s="42"/>
      <c r="I35" s="20"/>
      <c r="J35" s="38"/>
      <c r="K35" s="42"/>
      <c r="L35" s="20"/>
      <c r="M35" s="38"/>
      <c r="N35" s="42"/>
      <c r="O35" s="20"/>
      <c r="P35" s="38"/>
      <c r="Q35" s="42"/>
      <c r="R35" s="20"/>
      <c r="S35" s="38"/>
      <c r="T35" s="42"/>
      <c r="U35" s="20"/>
      <c r="V35" s="38"/>
      <c r="W35" s="42"/>
      <c r="X35" s="20"/>
      <c r="Y35" s="38"/>
      <c r="Z35" s="42"/>
      <c r="AA35" s="20"/>
      <c r="AB35" s="38"/>
      <c r="AC35" s="42"/>
      <c r="AD35" s="20"/>
      <c r="AE35" s="38"/>
      <c r="AF35" s="42"/>
      <c r="AG35" s="20"/>
      <c r="AH35" s="38"/>
      <c r="AI35" s="42"/>
      <c r="AJ35" s="20"/>
      <c r="AK35" s="38"/>
      <c r="AL35" s="42"/>
      <c r="AM35" s="20"/>
      <c r="AN35" s="38"/>
      <c r="AO35" s="42"/>
      <c r="AP35" s="20"/>
      <c r="AQ35" s="38"/>
      <c r="AR35" s="42"/>
      <c r="AS35" s="20"/>
      <c r="AT35" s="38"/>
      <c r="AU35" s="42"/>
      <c r="AV35" s="20"/>
      <c r="AW35" s="38"/>
      <c r="AX35" s="42"/>
      <c r="AY35" s="20"/>
      <c r="AZ35" s="38"/>
    </row>
    <row r="36" spans="1:52">
      <c r="A36" s="2">
        <v>14</v>
      </c>
      <c r="B36" s="2" t="s">
        <v>297</v>
      </c>
      <c r="C36" s="37" t="s">
        <v>298</v>
      </c>
      <c r="D36" s="2" t="s">
        <v>299</v>
      </c>
      <c r="E36" s="239"/>
      <c r="F36" s="239"/>
      <c r="G36" s="44">
        <v>0.2557</v>
      </c>
      <c r="H36" s="239"/>
      <c r="I36" s="239"/>
      <c r="J36" s="44">
        <v>0.1347</v>
      </c>
      <c r="K36" s="239"/>
      <c r="L36" s="239"/>
      <c r="M36" s="44">
        <v>0.2734</v>
      </c>
      <c r="N36" s="239"/>
      <c r="O36" s="239"/>
      <c r="P36" s="44">
        <v>0.2833</v>
      </c>
      <c r="Q36" s="239"/>
      <c r="R36" s="239"/>
      <c r="S36" s="44">
        <v>0.132</v>
      </c>
      <c r="T36" s="239"/>
      <c r="U36" s="239"/>
      <c r="V36" s="44">
        <v>0.2938</v>
      </c>
      <c r="W36" s="239"/>
      <c r="X36" s="239"/>
      <c r="Y36" s="44">
        <v>0.1441</v>
      </c>
      <c r="Z36" s="239"/>
      <c r="AA36" s="239"/>
      <c r="AB36" s="44">
        <v>0.2655</v>
      </c>
      <c r="AC36" s="239"/>
      <c r="AD36" s="239"/>
      <c r="AE36" s="44">
        <v>0.6219</v>
      </c>
      <c r="AF36" s="239"/>
      <c r="AG36" s="239"/>
      <c r="AH36" s="44">
        <v>0.3229</v>
      </c>
      <c r="AI36" s="239"/>
      <c r="AJ36" s="239"/>
      <c r="AK36" s="44">
        <v>0.3154</v>
      </c>
      <c r="AL36" s="239"/>
      <c r="AM36" s="239"/>
      <c r="AN36" s="44">
        <v>0.3154</v>
      </c>
      <c r="AO36" s="239"/>
      <c r="AP36" s="239"/>
      <c r="AQ36" s="44">
        <v>0.3333</v>
      </c>
      <c r="AR36" s="239"/>
      <c r="AS36" s="239"/>
      <c r="AT36" s="44">
        <v>0.4372</v>
      </c>
      <c r="AU36" s="239"/>
      <c r="AV36" s="239"/>
      <c r="AW36" s="44">
        <v>0.4372</v>
      </c>
      <c r="AX36" s="239"/>
      <c r="AY36" s="239"/>
      <c r="AZ36" s="44">
        <v>0.4372</v>
      </c>
    </row>
    <row r="37" spans="1:52">
      <c r="A37" s="2"/>
      <c r="B37" s="2"/>
      <c r="C37" s="6" t="s">
        <v>300</v>
      </c>
      <c r="D37" s="2"/>
      <c r="E37" s="239"/>
      <c r="F37" s="240"/>
      <c r="G37" s="44"/>
      <c r="H37" s="239"/>
      <c r="I37" s="239"/>
      <c r="J37" s="44"/>
      <c r="K37" s="239"/>
      <c r="L37" s="240"/>
      <c r="M37" s="44"/>
      <c r="N37" s="239"/>
      <c r="O37" s="240"/>
      <c r="P37" s="44"/>
      <c r="Q37" s="239"/>
      <c r="R37" s="240"/>
      <c r="S37" s="44"/>
      <c r="T37" s="239"/>
      <c r="U37" s="240"/>
      <c r="V37" s="44"/>
      <c r="W37" s="239"/>
      <c r="X37" s="240"/>
      <c r="Y37" s="44"/>
      <c r="Z37" s="239"/>
      <c r="AA37" s="240"/>
      <c r="AB37" s="44"/>
      <c r="AC37" s="239"/>
      <c r="AD37" s="240"/>
      <c r="AE37" s="44"/>
      <c r="AF37" s="239"/>
      <c r="AG37" s="240"/>
      <c r="AH37" s="44"/>
      <c r="AI37" s="239"/>
      <c r="AJ37" s="240"/>
      <c r="AK37" s="44"/>
      <c r="AL37" s="239"/>
      <c r="AM37" s="240"/>
      <c r="AN37" s="44"/>
      <c r="AO37" s="239"/>
      <c r="AP37" s="240"/>
      <c r="AQ37" s="44"/>
      <c r="AR37" s="239"/>
      <c r="AS37" s="240"/>
      <c r="AT37" s="44"/>
      <c r="AU37" s="239"/>
      <c r="AV37" s="240"/>
      <c r="AW37" s="44"/>
      <c r="AX37" s="239"/>
      <c r="AY37" s="240"/>
      <c r="AZ37" s="44"/>
    </row>
    <row r="42" spans="1:52">
      <c r="A42" s="280" t="s">
        <v>0</v>
      </c>
      <c r="B42" s="319" t="s">
        <v>204</v>
      </c>
      <c r="C42" s="319"/>
      <c r="D42" s="319" t="s">
        <v>205</v>
      </c>
      <c r="E42" s="319"/>
      <c r="F42" s="319"/>
      <c r="G42" s="319"/>
      <c r="H42" s="319"/>
      <c r="I42" s="319"/>
      <c r="J42" s="319"/>
      <c r="K42" s="319"/>
      <c r="L42" s="319"/>
      <c r="M42" s="319"/>
      <c r="P42"/>
      <c r="S42"/>
      <c r="V42"/>
      <c r="Y42"/>
      <c r="AB42"/>
      <c r="AE42"/>
      <c r="AH42"/>
      <c r="AK42"/>
      <c r="AN42"/>
      <c r="AQ42"/>
      <c r="AT42"/>
      <c r="AW42"/>
      <c r="AZ42"/>
    </row>
    <row r="43" spans="1:52">
      <c r="A43" s="6">
        <v>1</v>
      </c>
      <c r="B43" s="320" t="s">
        <v>192</v>
      </c>
      <c r="C43" s="320"/>
      <c r="D43" s="3" t="s">
        <v>206</v>
      </c>
      <c r="E43" s="3"/>
      <c r="F43" s="3"/>
      <c r="G43" s="3"/>
      <c r="H43" s="3"/>
      <c r="I43" s="3"/>
      <c r="J43" s="3"/>
      <c r="K43" s="3"/>
      <c r="L43" s="3"/>
      <c r="M43" s="3"/>
      <c r="P43"/>
      <c r="S43"/>
      <c r="V43"/>
      <c r="Y43"/>
      <c r="AB43"/>
      <c r="AE43"/>
      <c r="AH43"/>
      <c r="AK43"/>
      <c r="AN43"/>
      <c r="AQ43"/>
      <c r="AT43"/>
      <c r="AW43"/>
      <c r="AZ43"/>
    </row>
    <row r="44" spans="1:52">
      <c r="A44" s="6">
        <v>2</v>
      </c>
      <c r="B44" s="3" t="s">
        <v>207</v>
      </c>
      <c r="C44" s="3"/>
      <c r="D44" s="3" t="s">
        <v>208</v>
      </c>
      <c r="E44" s="3"/>
      <c r="F44" s="3"/>
      <c r="G44" s="3"/>
      <c r="H44" s="3"/>
      <c r="I44" s="3"/>
      <c r="J44" s="3"/>
      <c r="K44" s="3"/>
      <c r="L44" s="3"/>
      <c r="M44" s="3"/>
      <c r="P44"/>
      <c r="S44"/>
      <c r="V44"/>
      <c r="Y44"/>
      <c r="AB44"/>
      <c r="AE44"/>
      <c r="AH44"/>
      <c r="AK44"/>
      <c r="AN44"/>
      <c r="AQ44"/>
      <c r="AT44"/>
      <c r="AW44"/>
      <c r="AZ44"/>
    </row>
    <row r="45" spans="1:52">
      <c r="A45" s="6">
        <v>3</v>
      </c>
      <c r="B45" s="3" t="s">
        <v>209</v>
      </c>
      <c r="C45" s="3"/>
      <c r="D45" s="3" t="s">
        <v>210</v>
      </c>
      <c r="E45" s="3"/>
      <c r="F45" s="3"/>
      <c r="G45" s="3"/>
      <c r="H45" s="3"/>
      <c r="I45" s="3"/>
      <c r="J45" s="3"/>
      <c r="K45" s="3"/>
      <c r="L45" s="3"/>
      <c r="M45" s="3"/>
      <c r="P45"/>
      <c r="S45"/>
      <c r="V45"/>
      <c r="Y45"/>
      <c r="AB45"/>
      <c r="AE45"/>
      <c r="AH45"/>
      <c r="AK45"/>
      <c r="AN45"/>
      <c r="AQ45"/>
      <c r="AT45"/>
      <c r="AW45"/>
      <c r="AZ45"/>
    </row>
    <row r="46" spans="1:52">
      <c r="A46" s="6">
        <v>4</v>
      </c>
      <c r="B46" s="321" t="s">
        <v>211</v>
      </c>
      <c r="D46" s="3" t="s">
        <v>212</v>
      </c>
      <c r="E46" s="3"/>
      <c r="F46" s="3"/>
      <c r="G46" s="3"/>
      <c r="H46" s="3"/>
      <c r="I46" s="3"/>
      <c r="J46" s="3"/>
      <c r="K46" s="3"/>
      <c r="L46" s="3"/>
      <c r="M46" s="3"/>
      <c r="P46"/>
      <c r="S46"/>
      <c r="V46"/>
      <c r="Y46"/>
      <c r="AB46"/>
      <c r="AE46"/>
      <c r="AH46"/>
      <c r="AK46"/>
      <c r="AN46"/>
      <c r="AQ46"/>
      <c r="AT46"/>
      <c r="AW46"/>
      <c r="AZ46"/>
    </row>
    <row r="47" spans="1:52">
      <c r="A47" s="6">
        <v>5</v>
      </c>
      <c r="B47" s="3" t="s">
        <v>213</v>
      </c>
      <c r="C47" s="3"/>
      <c r="D47" s="3" t="s">
        <v>214</v>
      </c>
      <c r="E47" s="3"/>
      <c r="F47" s="3"/>
      <c r="G47" s="3"/>
      <c r="H47" s="3"/>
      <c r="I47" s="3"/>
      <c r="J47" s="3"/>
      <c r="K47" s="3"/>
      <c r="L47" s="3"/>
      <c r="M47" s="3"/>
      <c r="P47"/>
      <c r="S47"/>
      <c r="V47"/>
      <c r="Y47"/>
      <c r="AB47"/>
      <c r="AE47"/>
      <c r="AH47"/>
      <c r="AK47"/>
      <c r="AN47"/>
      <c r="AQ47"/>
      <c r="AT47"/>
      <c r="AW47"/>
      <c r="AZ47"/>
    </row>
    <row r="48" spans="1:52">
      <c r="A48" s="6">
        <v>6</v>
      </c>
      <c r="B48" s="3" t="s">
        <v>215</v>
      </c>
      <c r="C48" s="3"/>
      <c r="D48" s="3" t="s">
        <v>216</v>
      </c>
      <c r="E48" s="3"/>
      <c r="F48" s="3"/>
      <c r="G48" s="3"/>
      <c r="H48" s="3"/>
      <c r="I48" s="3"/>
      <c r="J48" s="3"/>
      <c r="K48" s="3"/>
      <c r="L48" s="3"/>
      <c r="M48" s="3"/>
      <c r="P48"/>
      <c r="S48"/>
      <c r="V48"/>
      <c r="Y48"/>
      <c r="AB48"/>
      <c r="AE48"/>
      <c r="AH48"/>
      <c r="AK48"/>
      <c r="AN48"/>
      <c r="AQ48"/>
      <c r="AT48"/>
      <c r="AW48"/>
      <c r="AZ48"/>
    </row>
    <row r="49" spans="1:52">
      <c r="A49" s="6">
        <v>7</v>
      </c>
      <c r="B49" s="3" t="s">
        <v>217</v>
      </c>
      <c r="C49" s="3"/>
      <c r="D49" s="3" t="s">
        <v>218</v>
      </c>
      <c r="E49" s="3"/>
      <c r="F49" s="3"/>
      <c r="G49" s="3"/>
      <c r="H49" s="3"/>
      <c r="I49" s="3"/>
      <c r="J49" s="3"/>
      <c r="K49" s="3"/>
      <c r="L49" s="3"/>
      <c r="M49" s="3"/>
      <c r="P49"/>
      <c r="S49"/>
      <c r="V49"/>
      <c r="Y49"/>
      <c r="AB49"/>
      <c r="AE49"/>
      <c r="AH49"/>
      <c r="AK49"/>
      <c r="AN49"/>
      <c r="AQ49"/>
      <c r="AT49"/>
      <c r="AW49"/>
      <c r="AZ49"/>
    </row>
    <row r="50" spans="1:52">
      <c r="A50" s="6">
        <v>8</v>
      </c>
      <c r="B50" s="322" t="s">
        <v>199</v>
      </c>
      <c r="C50" s="322"/>
      <c r="D50" s="3" t="s">
        <v>219</v>
      </c>
      <c r="E50" s="3"/>
      <c r="F50" s="3"/>
      <c r="G50" s="3"/>
      <c r="H50" s="3"/>
      <c r="I50" s="3"/>
      <c r="J50" s="3"/>
      <c r="K50" s="3"/>
      <c r="L50" s="3"/>
      <c r="M50" s="3"/>
      <c r="P50"/>
      <c r="S50"/>
      <c r="V50"/>
      <c r="Y50"/>
      <c r="AB50"/>
      <c r="AE50"/>
      <c r="AH50"/>
      <c r="AK50"/>
      <c r="AN50"/>
      <c r="AQ50"/>
      <c r="AT50"/>
      <c r="AW50"/>
      <c r="AZ50"/>
    </row>
    <row r="51" spans="1:52">
      <c r="A51" s="6">
        <v>9</v>
      </c>
      <c r="B51" s="3" t="s">
        <v>220</v>
      </c>
      <c r="C51" s="3"/>
      <c r="D51" s="3" t="s">
        <v>221</v>
      </c>
      <c r="E51" s="3"/>
      <c r="F51" s="3"/>
      <c r="G51" s="3"/>
      <c r="H51" s="3"/>
      <c r="I51" s="3"/>
      <c r="J51" s="3"/>
      <c r="K51" s="3"/>
      <c r="L51" s="3"/>
      <c r="M51" s="3"/>
      <c r="P51"/>
      <c r="S51"/>
      <c r="V51"/>
      <c r="Y51"/>
      <c r="AB51"/>
      <c r="AE51"/>
      <c r="AH51"/>
      <c r="AK51"/>
      <c r="AN51"/>
      <c r="AQ51"/>
      <c r="AT51"/>
      <c r="AW51"/>
      <c r="AZ51"/>
    </row>
    <row r="52" spans="1:52">
      <c r="A52" s="6">
        <v>10</v>
      </c>
      <c r="B52" s="3" t="s">
        <v>222</v>
      </c>
      <c r="C52" s="3"/>
      <c r="D52" s="3" t="s">
        <v>223</v>
      </c>
      <c r="E52" s="3"/>
      <c r="F52" s="3"/>
      <c r="G52" s="3"/>
      <c r="H52" s="3"/>
      <c r="I52" s="3"/>
      <c r="J52" s="3"/>
      <c r="K52" s="3"/>
      <c r="L52" s="3"/>
      <c r="M52" s="3"/>
      <c r="P52"/>
      <c r="S52"/>
      <c r="V52"/>
      <c r="Y52"/>
      <c r="AB52"/>
      <c r="AE52"/>
      <c r="AH52"/>
      <c r="AK52"/>
      <c r="AN52"/>
      <c r="AQ52"/>
      <c r="AT52"/>
      <c r="AW52"/>
      <c r="AZ52"/>
    </row>
    <row r="53" spans="1:52">
      <c r="A53" s="6">
        <v>11</v>
      </c>
      <c r="B53" s="3" t="s">
        <v>224</v>
      </c>
      <c r="C53" s="3"/>
      <c r="D53" s="3" t="s">
        <v>225</v>
      </c>
      <c r="E53" s="3"/>
      <c r="F53" s="3"/>
      <c r="G53" s="3"/>
      <c r="H53" s="3"/>
      <c r="I53" s="3"/>
      <c r="J53" s="3"/>
      <c r="K53" s="3"/>
      <c r="L53" s="3"/>
      <c r="M53" s="3"/>
      <c r="P53"/>
      <c r="S53"/>
      <c r="V53"/>
      <c r="Y53"/>
      <c r="AB53"/>
      <c r="AE53"/>
      <c r="AH53"/>
      <c r="AK53"/>
      <c r="AN53"/>
      <c r="AQ53"/>
      <c r="AT53"/>
      <c r="AW53"/>
      <c r="AZ53"/>
    </row>
    <row r="54" spans="1:52">
      <c r="A54" s="6">
        <v>12</v>
      </c>
      <c r="B54" s="3" t="s">
        <v>226</v>
      </c>
      <c r="C54" s="3"/>
      <c r="D54" s="3" t="s">
        <v>227</v>
      </c>
      <c r="E54" s="3"/>
      <c r="F54" s="3"/>
      <c r="G54" s="3"/>
      <c r="H54" s="3"/>
      <c r="I54" s="3"/>
      <c r="J54" s="3"/>
      <c r="K54" s="3"/>
      <c r="L54" s="3"/>
      <c r="M54" s="3"/>
      <c r="P54"/>
      <c r="S54"/>
      <c r="V54"/>
      <c r="Y54"/>
      <c r="AB54"/>
      <c r="AE54"/>
      <c r="AH54"/>
      <c r="AK54"/>
      <c r="AN54"/>
      <c r="AQ54"/>
      <c r="AT54"/>
      <c r="AW54"/>
      <c r="AZ54"/>
    </row>
    <row r="55" spans="1:52">
      <c r="B55" s="57" t="s">
        <v>228</v>
      </c>
      <c r="C55" s="57"/>
      <c r="D55" s="57" t="s">
        <v>229</v>
      </c>
      <c r="E55" s="57"/>
      <c r="F55" s="57"/>
      <c r="G55" s="57"/>
      <c r="J55"/>
      <c r="M55"/>
      <c r="P55"/>
      <c r="S55"/>
      <c r="V55"/>
      <c r="Y55"/>
      <c r="AB55"/>
      <c r="AE55"/>
      <c r="AH55"/>
      <c r="AK55"/>
      <c r="AN55"/>
      <c r="AQ55"/>
      <c r="AT55"/>
      <c r="AW55"/>
      <c r="AZ55"/>
    </row>
    <row r="56" spans="1:52">
      <c r="C56" s="3"/>
      <c r="D56" s="3"/>
      <c r="E56" s="3"/>
      <c r="F56" s="3"/>
      <c r="G56" s="3"/>
      <c r="J56"/>
      <c r="M56"/>
      <c r="P56"/>
      <c r="S56"/>
      <c r="V56"/>
      <c r="Y56"/>
      <c r="AB56"/>
      <c r="AE56"/>
      <c r="AH56"/>
      <c r="AK56"/>
      <c r="AN56"/>
      <c r="AQ56"/>
      <c r="AT56"/>
      <c r="AW56"/>
      <c r="AZ56"/>
    </row>
    <row r="57" spans="1:52">
      <c r="C57" s="3"/>
      <c r="D57" s="3"/>
      <c r="E57" s="3"/>
      <c r="F57" s="3"/>
      <c r="G57" s="3"/>
      <c r="J57"/>
      <c r="M57"/>
      <c r="P57"/>
      <c r="S57"/>
      <c r="V57"/>
      <c r="Y57"/>
      <c r="AB57"/>
      <c r="AE57"/>
      <c r="AH57"/>
      <c r="AK57"/>
      <c r="AN57"/>
      <c r="AQ57"/>
      <c r="AT57"/>
      <c r="AW57"/>
      <c r="AZ57"/>
    </row>
  </sheetData>
  <mergeCells count="459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AX5:AY5"/>
    <mergeCell ref="AL8:AM8"/>
    <mergeCell ref="AU8:AV8"/>
    <mergeCell ref="AX8:AY8"/>
    <mergeCell ref="B42:C42"/>
    <mergeCell ref="D42:M42"/>
    <mergeCell ref="B43:C43"/>
    <mergeCell ref="D43:M43"/>
    <mergeCell ref="B44:C44"/>
    <mergeCell ref="D44:M44"/>
    <mergeCell ref="B45:C45"/>
    <mergeCell ref="D45:M45"/>
    <mergeCell ref="D46:M46"/>
    <mergeCell ref="B47:C47"/>
    <mergeCell ref="D47:M47"/>
    <mergeCell ref="B48:C48"/>
    <mergeCell ref="D48:M48"/>
    <mergeCell ref="B49:C49"/>
    <mergeCell ref="D49:M49"/>
    <mergeCell ref="B50:C50"/>
    <mergeCell ref="D50:M50"/>
    <mergeCell ref="B51:C51"/>
    <mergeCell ref="D51:M51"/>
    <mergeCell ref="B52:C52"/>
    <mergeCell ref="D52:M52"/>
    <mergeCell ref="B53:C53"/>
    <mergeCell ref="D53:M53"/>
    <mergeCell ref="B54:C54"/>
    <mergeCell ref="D54:M54"/>
    <mergeCell ref="B55:C55"/>
    <mergeCell ref="D55:G55"/>
    <mergeCell ref="C56:G56"/>
    <mergeCell ref="C57:G57"/>
    <mergeCell ref="A3:A4"/>
    <mergeCell ref="A6:A7"/>
    <mergeCell ref="A11:A12"/>
    <mergeCell ref="A14:A15"/>
    <mergeCell ref="A21:A22"/>
    <mergeCell ref="A24:A25"/>
    <mergeCell ref="A27:A28"/>
    <mergeCell ref="A36:A37"/>
    <mergeCell ref="B3:B4"/>
    <mergeCell ref="B6:B7"/>
    <mergeCell ref="B11:B12"/>
    <mergeCell ref="B14:B15"/>
    <mergeCell ref="B21:B22"/>
    <mergeCell ref="B24:B25"/>
    <mergeCell ref="B27:B28"/>
    <mergeCell ref="B36:B37"/>
    <mergeCell ref="C11:C12"/>
    <mergeCell ref="D3:D4"/>
    <mergeCell ref="D6:D7"/>
    <mergeCell ref="D11:D12"/>
    <mergeCell ref="D14:D15"/>
    <mergeCell ref="D21:D22"/>
    <mergeCell ref="D24:D25"/>
    <mergeCell ref="D27:D28"/>
    <mergeCell ref="D36:D37"/>
    <mergeCell ref="E3:E4"/>
    <mergeCell ref="E6:E7"/>
    <mergeCell ref="E11:E12"/>
    <mergeCell ref="E14:E15"/>
    <mergeCell ref="E21:E22"/>
    <mergeCell ref="E24:E25"/>
    <mergeCell ref="E27:E28"/>
    <mergeCell ref="E36:E37"/>
    <mergeCell ref="F3:F4"/>
    <mergeCell ref="F6:F7"/>
    <mergeCell ref="F11:F12"/>
    <mergeCell ref="F14:F15"/>
    <mergeCell ref="F21:F22"/>
    <mergeCell ref="F24:F25"/>
    <mergeCell ref="F27:F28"/>
    <mergeCell ref="F36:F37"/>
    <mergeCell ref="G3:G4"/>
    <mergeCell ref="G6:G7"/>
    <mergeCell ref="G11:G12"/>
    <mergeCell ref="G14:G15"/>
    <mergeCell ref="G21:G22"/>
    <mergeCell ref="G24:G25"/>
    <mergeCell ref="G27:G28"/>
    <mergeCell ref="G36:G37"/>
    <mergeCell ref="H3:H4"/>
    <mergeCell ref="H6:H7"/>
    <mergeCell ref="H11:H12"/>
    <mergeCell ref="H14:H15"/>
    <mergeCell ref="H21:H22"/>
    <mergeCell ref="H24:H25"/>
    <mergeCell ref="H27:H28"/>
    <mergeCell ref="H36:H37"/>
    <mergeCell ref="I3:I4"/>
    <mergeCell ref="I6:I7"/>
    <mergeCell ref="I11:I12"/>
    <mergeCell ref="I14:I15"/>
    <mergeCell ref="I21:I22"/>
    <mergeCell ref="I24:I25"/>
    <mergeCell ref="I27:I28"/>
    <mergeCell ref="I36:I37"/>
    <mergeCell ref="J3:J4"/>
    <mergeCell ref="J6:J7"/>
    <mergeCell ref="J11:J12"/>
    <mergeCell ref="J14:J15"/>
    <mergeCell ref="J21:J22"/>
    <mergeCell ref="J24:J25"/>
    <mergeCell ref="J27:J28"/>
    <mergeCell ref="J36:J37"/>
    <mergeCell ref="K3:K4"/>
    <mergeCell ref="K6:K7"/>
    <mergeCell ref="K11:K12"/>
    <mergeCell ref="K14:K15"/>
    <mergeCell ref="K21:K22"/>
    <mergeCell ref="K24:K25"/>
    <mergeCell ref="K27:K28"/>
    <mergeCell ref="K36:K37"/>
    <mergeCell ref="L3:L4"/>
    <mergeCell ref="L6:L7"/>
    <mergeCell ref="L11:L12"/>
    <mergeCell ref="L14:L15"/>
    <mergeCell ref="L21:L22"/>
    <mergeCell ref="L24:L25"/>
    <mergeCell ref="L27:L28"/>
    <mergeCell ref="L36:L37"/>
    <mergeCell ref="M3:M4"/>
    <mergeCell ref="M6:M7"/>
    <mergeCell ref="M11:M12"/>
    <mergeCell ref="M14:M15"/>
    <mergeCell ref="M21:M22"/>
    <mergeCell ref="M24:M25"/>
    <mergeCell ref="M27:M28"/>
    <mergeCell ref="M36:M37"/>
    <mergeCell ref="N3:N4"/>
    <mergeCell ref="N6:N7"/>
    <mergeCell ref="N11:N12"/>
    <mergeCell ref="N14:N15"/>
    <mergeCell ref="N21:N22"/>
    <mergeCell ref="N24:N25"/>
    <mergeCell ref="N27:N28"/>
    <mergeCell ref="N36:N37"/>
    <mergeCell ref="O3:O4"/>
    <mergeCell ref="O6:O7"/>
    <mergeCell ref="O11:O12"/>
    <mergeCell ref="O14:O15"/>
    <mergeCell ref="O21:O22"/>
    <mergeCell ref="O24:O25"/>
    <mergeCell ref="O27:O28"/>
    <mergeCell ref="O36:O37"/>
    <mergeCell ref="P3:P4"/>
    <mergeCell ref="P6:P7"/>
    <mergeCell ref="P11:P12"/>
    <mergeCell ref="P14:P15"/>
    <mergeCell ref="P21:P22"/>
    <mergeCell ref="P24:P25"/>
    <mergeCell ref="P27:P28"/>
    <mergeCell ref="P36:P37"/>
    <mergeCell ref="Q3:Q4"/>
    <mergeCell ref="Q6:Q7"/>
    <mergeCell ref="Q11:Q12"/>
    <mergeCell ref="Q14:Q15"/>
    <mergeCell ref="Q21:Q22"/>
    <mergeCell ref="Q24:Q25"/>
    <mergeCell ref="Q27:Q28"/>
    <mergeCell ref="Q36:Q37"/>
    <mergeCell ref="R3:R4"/>
    <mergeCell ref="R6:R7"/>
    <mergeCell ref="R11:R12"/>
    <mergeCell ref="R14:R15"/>
    <mergeCell ref="R21:R22"/>
    <mergeCell ref="R24:R25"/>
    <mergeCell ref="R27:R28"/>
    <mergeCell ref="R36:R37"/>
    <mergeCell ref="S3:S4"/>
    <mergeCell ref="S6:S7"/>
    <mergeCell ref="S11:S12"/>
    <mergeCell ref="S14:S15"/>
    <mergeCell ref="S21:S22"/>
    <mergeCell ref="S24:S25"/>
    <mergeCell ref="S27:S28"/>
    <mergeCell ref="S36:S37"/>
    <mergeCell ref="T3:T4"/>
    <mergeCell ref="T6:T7"/>
    <mergeCell ref="T11:T12"/>
    <mergeCell ref="T14:T15"/>
    <mergeCell ref="T21:T22"/>
    <mergeCell ref="T24:T25"/>
    <mergeCell ref="T27:T28"/>
    <mergeCell ref="T36:T37"/>
    <mergeCell ref="U3:U4"/>
    <mergeCell ref="U6:U7"/>
    <mergeCell ref="U11:U12"/>
    <mergeCell ref="U14:U15"/>
    <mergeCell ref="U21:U22"/>
    <mergeCell ref="U24:U25"/>
    <mergeCell ref="U27:U28"/>
    <mergeCell ref="U36:U37"/>
    <mergeCell ref="V3:V4"/>
    <mergeCell ref="V6:V7"/>
    <mergeCell ref="V11:V12"/>
    <mergeCell ref="V14:V15"/>
    <mergeCell ref="V21:V22"/>
    <mergeCell ref="V24:V25"/>
    <mergeCell ref="V27:V28"/>
    <mergeCell ref="V36:V37"/>
    <mergeCell ref="W3:W4"/>
    <mergeCell ref="W6:W7"/>
    <mergeCell ref="W11:W12"/>
    <mergeCell ref="W14:W15"/>
    <mergeCell ref="W21:W22"/>
    <mergeCell ref="W24:W25"/>
    <mergeCell ref="W27:W28"/>
    <mergeCell ref="W36:W37"/>
    <mergeCell ref="X3:X4"/>
    <mergeCell ref="X6:X7"/>
    <mergeCell ref="X11:X12"/>
    <mergeCell ref="X14:X15"/>
    <mergeCell ref="X21:X22"/>
    <mergeCell ref="X24:X25"/>
    <mergeCell ref="X27:X28"/>
    <mergeCell ref="X36:X37"/>
    <mergeCell ref="Y3:Y4"/>
    <mergeCell ref="Y6:Y7"/>
    <mergeCell ref="Y11:Y12"/>
    <mergeCell ref="Y14:Y15"/>
    <mergeCell ref="Y21:Y22"/>
    <mergeCell ref="Y24:Y25"/>
    <mergeCell ref="Y27:Y28"/>
    <mergeCell ref="Y36:Y37"/>
    <mergeCell ref="Z3:Z4"/>
    <mergeCell ref="Z6:Z7"/>
    <mergeCell ref="Z11:Z12"/>
    <mergeCell ref="Z14:Z15"/>
    <mergeCell ref="Z21:Z22"/>
    <mergeCell ref="Z24:Z25"/>
    <mergeCell ref="Z27:Z28"/>
    <mergeCell ref="Z36:Z37"/>
    <mergeCell ref="AA3:AA4"/>
    <mergeCell ref="AA6:AA7"/>
    <mergeCell ref="AA11:AA12"/>
    <mergeCell ref="AA14:AA15"/>
    <mergeCell ref="AA21:AA22"/>
    <mergeCell ref="AA24:AA25"/>
    <mergeCell ref="AA27:AA28"/>
    <mergeCell ref="AA36:AA37"/>
    <mergeCell ref="AB3:AB4"/>
    <mergeCell ref="AB6:AB7"/>
    <mergeCell ref="AB11:AB12"/>
    <mergeCell ref="AB14:AB15"/>
    <mergeCell ref="AB21:AB22"/>
    <mergeCell ref="AB24:AB25"/>
    <mergeCell ref="AB27:AB28"/>
    <mergeCell ref="AB36:AB37"/>
    <mergeCell ref="AC3:AC4"/>
    <mergeCell ref="AC6:AC7"/>
    <mergeCell ref="AC11:AC12"/>
    <mergeCell ref="AC14:AC15"/>
    <mergeCell ref="AC21:AC22"/>
    <mergeCell ref="AC24:AC25"/>
    <mergeCell ref="AC27:AC28"/>
    <mergeCell ref="AC36:AC37"/>
    <mergeCell ref="AD3:AD4"/>
    <mergeCell ref="AD6:AD7"/>
    <mergeCell ref="AD11:AD12"/>
    <mergeCell ref="AD14:AD15"/>
    <mergeCell ref="AD21:AD22"/>
    <mergeCell ref="AD24:AD25"/>
    <mergeCell ref="AD27:AD28"/>
    <mergeCell ref="AD36:AD37"/>
    <mergeCell ref="AE3:AE4"/>
    <mergeCell ref="AE6:AE7"/>
    <mergeCell ref="AE11:AE12"/>
    <mergeCell ref="AE14:AE15"/>
    <mergeCell ref="AE21:AE22"/>
    <mergeCell ref="AE24:AE25"/>
    <mergeCell ref="AE27:AE28"/>
    <mergeCell ref="AE36:AE37"/>
    <mergeCell ref="AF3:AF4"/>
    <mergeCell ref="AF6:AF7"/>
    <mergeCell ref="AF11:AF12"/>
    <mergeCell ref="AF14:AF15"/>
    <mergeCell ref="AF21:AF22"/>
    <mergeCell ref="AF24:AF25"/>
    <mergeCell ref="AF27:AF28"/>
    <mergeCell ref="AF36:AF37"/>
    <mergeCell ref="AG3:AG4"/>
    <mergeCell ref="AG6:AG7"/>
    <mergeCell ref="AG11:AG12"/>
    <mergeCell ref="AG14:AG15"/>
    <mergeCell ref="AG21:AG22"/>
    <mergeCell ref="AG24:AG25"/>
    <mergeCell ref="AG27:AG28"/>
    <mergeCell ref="AG36:AG37"/>
    <mergeCell ref="AH3:AH4"/>
    <mergeCell ref="AH6:AH7"/>
    <mergeCell ref="AH11:AH12"/>
    <mergeCell ref="AH14:AH15"/>
    <mergeCell ref="AH21:AH22"/>
    <mergeCell ref="AH24:AH25"/>
    <mergeCell ref="AH27:AH28"/>
    <mergeCell ref="AH36:AH37"/>
    <mergeCell ref="AI3:AI4"/>
    <mergeCell ref="AI6:AI7"/>
    <mergeCell ref="AI11:AI12"/>
    <mergeCell ref="AI14:AI15"/>
    <mergeCell ref="AI21:AI22"/>
    <mergeCell ref="AI24:AI25"/>
    <mergeCell ref="AI27:AI28"/>
    <mergeCell ref="AI36:AI37"/>
    <mergeCell ref="AJ3:AJ4"/>
    <mergeCell ref="AJ6:AJ7"/>
    <mergeCell ref="AJ11:AJ12"/>
    <mergeCell ref="AJ14:AJ15"/>
    <mergeCell ref="AJ21:AJ22"/>
    <mergeCell ref="AJ24:AJ25"/>
    <mergeCell ref="AJ27:AJ28"/>
    <mergeCell ref="AJ36:AJ37"/>
    <mergeCell ref="AK3:AK4"/>
    <mergeCell ref="AK6:AK7"/>
    <mergeCell ref="AK11:AK12"/>
    <mergeCell ref="AK14:AK15"/>
    <mergeCell ref="AK21:AK22"/>
    <mergeCell ref="AK24:AK25"/>
    <mergeCell ref="AK27:AK28"/>
    <mergeCell ref="AK36:AK37"/>
    <mergeCell ref="AL3:AL4"/>
    <mergeCell ref="AL6:AL7"/>
    <mergeCell ref="AL11:AL12"/>
    <mergeCell ref="AL14:AL15"/>
    <mergeCell ref="AL21:AL22"/>
    <mergeCell ref="AL24:AL25"/>
    <mergeCell ref="AL27:AL28"/>
    <mergeCell ref="AL36:AL37"/>
    <mergeCell ref="AM3:AM4"/>
    <mergeCell ref="AM6:AM7"/>
    <mergeCell ref="AM11:AM12"/>
    <mergeCell ref="AM14:AM15"/>
    <mergeCell ref="AM21:AM22"/>
    <mergeCell ref="AM24:AM25"/>
    <mergeCell ref="AM27:AM28"/>
    <mergeCell ref="AM36:AM37"/>
    <mergeCell ref="AN3:AN4"/>
    <mergeCell ref="AN6:AN7"/>
    <mergeCell ref="AN11:AN12"/>
    <mergeCell ref="AN14:AN15"/>
    <mergeCell ref="AN21:AN22"/>
    <mergeCell ref="AN24:AN25"/>
    <mergeCell ref="AN27:AN28"/>
    <mergeCell ref="AN36:AN37"/>
    <mergeCell ref="AO3:AO4"/>
    <mergeCell ref="AO6:AO7"/>
    <mergeCell ref="AO11:AO12"/>
    <mergeCell ref="AO14:AO15"/>
    <mergeCell ref="AO21:AO22"/>
    <mergeCell ref="AO24:AO25"/>
    <mergeCell ref="AO27:AO28"/>
    <mergeCell ref="AO36:AO37"/>
    <mergeCell ref="AP3:AP4"/>
    <mergeCell ref="AP6:AP7"/>
    <mergeCell ref="AP11:AP12"/>
    <mergeCell ref="AP14:AP15"/>
    <mergeCell ref="AP21:AP22"/>
    <mergeCell ref="AP24:AP25"/>
    <mergeCell ref="AP27:AP28"/>
    <mergeCell ref="AP36:AP37"/>
    <mergeCell ref="AQ3:AQ4"/>
    <mergeCell ref="AQ6:AQ7"/>
    <mergeCell ref="AQ11:AQ12"/>
    <mergeCell ref="AQ14:AQ15"/>
    <mergeCell ref="AQ21:AQ22"/>
    <mergeCell ref="AQ24:AQ25"/>
    <mergeCell ref="AQ27:AQ28"/>
    <mergeCell ref="AQ36:AQ37"/>
    <mergeCell ref="AR3:AR4"/>
    <mergeCell ref="AR6:AR7"/>
    <mergeCell ref="AR11:AR12"/>
    <mergeCell ref="AR14:AR15"/>
    <mergeCell ref="AR21:AR22"/>
    <mergeCell ref="AR24:AR25"/>
    <mergeCell ref="AR27:AR28"/>
    <mergeCell ref="AR36:AR37"/>
    <mergeCell ref="AS3:AS4"/>
    <mergeCell ref="AS6:AS7"/>
    <mergeCell ref="AS11:AS12"/>
    <mergeCell ref="AS14:AS15"/>
    <mergeCell ref="AS21:AS22"/>
    <mergeCell ref="AS24:AS25"/>
    <mergeCell ref="AS27:AS28"/>
    <mergeCell ref="AS36:AS37"/>
    <mergeCell ref="AT3:AT4"/>
    <mergeCell ref="AT6:AT7"/>
    <mergeCell ref="AT11:AT12"/>
    <mergeCell ref="AT14:AT15"/>
    <mergeCell ref="AT21:AT22"/>
    <mergeCell ref="AT24:AT25"/>
    <mergeCell ref="AT27:AT28"/>
    <mergeCell ref="AT36:AT37"/>
    <mergeCell ref="AU3:AU4"/>
    <mergeCell ref="AU6:AU7"/>
    <mergeCell ref="AU11:AU12"/>
    <mergeCell ref="AU14:AU15"/>
    <mergeCell ref="AU21:AU22"/>
    <mergeCell ref="AU24:AU25"/>
    <mergeCell ref="AU27:AU28"/>
    <mergeCell ref="AU36:AU37"/>
    <mergeCell ref="AV3:AV4"/>
    <mergeCell ref="AV6:AV7"/>
    <mergeCell ref="AV11:AV12"/>
    <mergeCell ref="AV14:AV15"/>
    <mergeCell ref="AV21:AV22"/>
    <mergeCell ref="AV24:AV25"/>
    <mergeCell ref="AV27:AV28"/>
    <mergeCell ref="AV36:AV37"/>
    <mergeCell ref="AW3:AW4"/>
    <mergeCell ref="AW6:AW7"/>
    <mergeCell ref="AW11:AW12"/>
    <mergeCell ref="AW14:AW15"/>
    <mergeCell ref="AW21:AW22"/>
    <mergeCell ref="AW24:AW25"/>
    <mergeCell ref="AW27:AW28"/>
    <mergeCell ref="AW36:AW37"/>
    <mergeCell ref="AX3:AX4"/>
    <mergeCell ref="AX6:AX7"/>
    <mergeCell ref="AX11:AX12"/>
    <mergeCell ref="AX14:AX15"/>
    <mergeCell ref="AX21:AX22"/>
    <mergeCell ref="AX24:AX25"/>
    <mergeCell ref="AX27:AX28"/>
    <mergeCell ref="AX36:AX37"/>
    <mergeCell ref="AY3:AY4"/>
    <mergeCell ref="AY6:AY7"/>
    <mergeCell ref="AY11:AY12"/>
    <mergeCell ref="AY14:AY15"/>
    <mergeCell ref="AY21:AY22"/>
    <mergeCell ref="AY24:AY25"/>
    <mergeCell ref="AY27:AY28"/>
    <mergeCell ref="AY36:AY37"/>
    <mergeCell ref="AZ3:AZ4"/>
    <mergeCell ref="AZ6:AZ7"/>
    <mergeCell ref="AZ11:AZ12"/>
    <mergeCell ref="AZ14:AZ15"/>
    <mergeCell ref="AZ21:AZ22"/>
    <mergeCell ref="AZ24:AZ25"/>
    <mergeCell ref="AZ27:AZ28"/>
    <mergeCell ref="AZ36:AZ37"/>
  </mergeCells>
  <pageMargins left="0.7" right="0.7" top="0.75" bottom="0.75" header="0.3" footer="0.3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59"/>
  <sheetViews>
    <sheetView zoomScale="110" zoomScaleNormal="110" topLeftCell="B1" workbookViewId="0">
      <selection activeCell="P64" sqref="P64"/>
    </sheetView>
  </sheetViews>
  <sheetFormatPr defaultColWidth="9" defaultRowHeight="15"/>
  <cols>
    <col min="1" max="1" width="4.26666666666667" hidden="1" customWidth="1"/>
    <col min="2" max="2" width="32.7238095238095" customWidth="1"/>
    <col min="3" max="3" width="21" hidden="1" customWidth="1"/>
    <col min="4" max="4" width="9.72380952380952" customWidth="1"/>
    <col min="5" max="5" width="14.2666666666667" hidden="1" customWidth="1"/>
    <col min="6" max="6" width="14.1809523809524" hidden="1" customWidth="1"/>
    <col min="7" max="7" width="9.90476190476191" style="6" customWidth="1"/>
    <col min="8" max="8" width="14.2666666666667" hidden="1" customWidth="1"/>
    <col min="9" max="9" width="14.1809523809524" hidden="1" customWidth="1"/>
    <col min="10" max="10" width="9.90476190476191" style="6" customWidth="1"/>
    <col min="11" max="11" width="14.2666666666667" hidden="1" customWidth="1"/>
    <col min="12" max="12" width="14.1809523809524" hidden="1" customWidth="1"/>
    <col min="13" max="13" width="9.90476190476191" style="6" customWidth="1"/>
    <col min="14" max="14" width="14.2666666666667" hidden="1" customWidth="1"/>
    <col min="15" max="15" width="14.1809523809524" hidden="1" customWidth="1"/>
    <col min="16" max="16" width="11.4571428571429" style="6" customWidth="1"/>
    <col min="17" max="17" width="14.2666666666667" hidden="1" customWidth="1"/>
    <col min="18" max="18" width="14.1809523809524" hidden="1" customWidth="1"/>
    <col min="19" max="19" width="11.3619047619048" style="6" customWidth="1"/>
    <col min="20" max="20" width="14.2666666666667" hidden="1" customWidth="1"/>
    <col min="21" max="21" width="14.1809523809524" hidden="1" customWidth="1"/>
    <col min="22" max="22" width="9.90476190476191" style="6" customWidth="1"/>
    <col min="23" max="23" width="14.2666666666667" hidden="1" customWidth="1"/>
    <col min="24" max="24" width="14.1809523809524" hidden="1" customWidth="1"/>
    <col min="25" max="25" width="9.90476190476191" style="6" customWidth="1"/>
    <col min="26" max="26" width="14.2666666666667" hidden="1" customWidth="1"/>
    <col min="27" max="27" width="14.1809523809524" hidden="1" customWidth="1"/>
    <col min="28" max="28" width="9.90476190476191" style="6" hidden="1" customWidth="1"/>
    <col min="29" max="29" width="14.2666666666667" hidden="1" customWidth="1"/>
    <col min="30" max="30" width="14.1809523809524" hidden="1" customWidth="1"/>
    <col min="31" max="31" width="9.90476190476191" style="6" hidden="1" customWidth="1"/>
    <col min="32" max="32" width="14.2666666666667" hidden="1" customWidth="1"/>
    <col min="33" max="33" width="14.1809523809524" hidden="1" customWidth="1"/>
    <col min="34" max="34" width="9.90476190476191" style="6" customWidth="1"/>
    <col min="35" max="35" width="14.2666666666667" hidden="1" customWidth="1"/>
    <col min="36" max="36" width="14.1809523809524" hidden="1" customWidth="1"/>
    <col min="37" max="37" width="9.90476190476191" style="6" customWidth="1"/>
    <col min="38" max="38" width="14.2666666666667" hidden="1" customWidth="1"/>
    <col min="39" max="39" width="14.1809523809524" hidden="1" customWidth="1"/>
    <col min="40" max="40" width="9.90476190476191" style="6" hidden="1" customWidth="1"/>
    <col min="41" max="41" width="14.2666666666667" hidden="1" customWidth="1"/>
    <col min="42" max="42" width="14.1809523809524" hidden="1" customWidth="1"/>
    <col min="43" max="43" width="9.90476190476191" style="6" customWidth="1"/>
    <col min="44" max="44" width="14.2666666666667" hidden="1" customWidth="1"/>
    <col min="45" max="45" width="14.1809523809524" hidden="1" customWidth="1"/>
    <col min="46" max="46" width="9.90476190476191" style="6" customWidth="1"/>
    <col min="47" max="47" width="14.2666666666667" hidden="1" customWidth="1"/>
    <col min="48" max="48" width="14.1809523809524" hidden="1" customWidth="1"/>
    <col min="49" max="49" width="9.90476190476191" style="6" hidden="1" customWidth="1"/>
    <col min="50" max="50" width="14.2666666666667" hidden="1" customWidth="1"/>
    <col min="51" max="51" width="14.1809523809524" hidden="1" customWidth="1"/>
    <col min="52" max="52" width="9.90476190476191" style="6" hidden="1" customWidth="1"/>
  </cols>
  <sheetData>
    <row r="1" s="27" customFormat="1" ht="84" customHeight="1" spans="1:52">
      <c r="A1" s="74" t="s">
        <v>267</v>
      </c>
      <c r="B1" s="75"/>
      <c r="C1" s="75"/>
      <c r="D1" s="76"/>
      <c r="E1" s="31" t="s">
        <v>268</v>
      </c>
      <c r="F1" s="32"/>
      <c r="G1" s="33"/>
      <c r="H1" s="31" t="s">
        <v>269</v>
      </c>
      <c r="I1" s="32"/>
      <c r="J1" s="33"/>
      <c r="K1" s="31" t="s">
        <v>270</v>
      </c>
      <c r="L1" s="32"/>
      <c r="M1" s="33"/>
      <c r="N1" s="31" t="s">
        <v>271</v>
      </c>
      <c r="O1" s="32"/>
      <c r="P1" s="33"/>
      <c r="Q1" s="31" t="s">
        <v>272</v>
      </c>
      <c r="R1" s="32"/>
      <c r="S1" s="33"/>
      <c r="T1" s="31" t="s">
        <v>273</v>
      </c>
      <c r="U1" s="32"/>
      <c r="V1" s="33"/>
      <c r="W1" s="31" t="s">
        <v>274</v>
      </c>
      <c r="X1" s="32"/>
      <c r="Y1" s="33"/>
      <c r="Z1" s="31" t="s">
        <v>275</v>
      </c>
      <c r="AA1" s="32"/>
      <c r="AB1" s="33"/>
      <c r="AC1" s="31" t="s">
        <v>276</v>
      </c>
      <c r="AD1" s="32"/>
      <c r="AE1" s="33"/>
      <c r="AF1" s="31" t="s">
        <v>277</v>
      </c>
      <c r="AG1" s="32"/>
      <c r="AH1" s="33"/>
      <c r="AI1" s="31" t="s">
        <v>278</v>
      </c>
      <c r="AJ1" s="32"/>
      <c r="AK1" s="33"/>
      <c r="AL1" s="31" t="s">
        <v>279</v>
      </c>
      <c r="AM1" s="32"/>
      <c r="AN1" s="33"/>
      <c r="AO1" s="31" t="s">
        <v>280</v>
      </c>
      <c r="AP1" s="32"/>
      <c r="AQ1" s="33"/>
      <c r="AR1" s="31" t="s">
        <v>281</v>
      </c>
      <c r="AS1" s="32"/>
      <c r="AT1" s="33"/>
      <c r="AU1" s="118" t="s">
        <v>282</v>
      </c>
      <c r="AV1" s="119"/>
      <c r="AW1" s="120"/>
      <c r="AX1" s="118" t="s">
        <v>283</v>
      </c>
      <c r="AY1" s="119"/>
      <c r="AZ1" s="120"/>
    </row>
    <row r="2" ht="15.75" spans="1:52">
      <c r="A2" s="77" t="s">
        <v>0</v>
      </c>
      <c r="B2" s="77" t="s">
        <v>301</v>
      </c>
      <c r="C2" s="77" t="s">
        <v>156</v>
      </c>
      <c r="D2" s="77"/>
      <c r="E2" s="35" t="s">
        <v>158</v>
      </c>
      <c r="F2" s="35" t="s">
        <v>159</v>
      </c>
      <c r="G2" s="36">
        <v>1</v>
      </c>
      <c r="H2" s="36"/>
      <c r="I2" s="36"/>
      <c r="J2" s="36">
        <v>2</v>
      </c>
      <c r="K2" s="36"/>
      <c r="L2" s="36"/>
      <c r="M2" s="36"/>
      <c r="N2" s="36"/>
      <c r="O2" s="36"/>
      <c r="P2" s="36"/>
      <c r="Q2" s="36"/>
      <c r="R2" s="36"/>
      <c r="S2" s="36">
        <v>3</v>
      </c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5" t="s">
        <v>158</v>
      </c>
      <c r="AV2" s="35" t="s">
        <v>159</v>
      </c>
      <c r="AW2" s="35" t="s">
        <v>160</v>
      </c>
      <c r="AX2" s="35" t="s">
        <v>158</v>
      </c>
      <c r="AY2" s="35" t="s">
        <v>159</v>
      </c>
      <c r="AZ2" s="35" t="s">
        <v>160</v>
      </c>
    </row>
    <row r="3" spans="1:52">
      <c r="A3" s="2">
        <v>1</v>
      </c>
      <c r="B3" s="2" t="s">
        <v>65</v>
      </c>
      <c r="C3" s="37" t="s">
        <v>161</v>
      </c>
      <c r="D3" s="2" t="s">
        <v>302</v>
      </c>
      <c r="E3" s="20">
        <v>1537431000</v>
      </c>
      <c r="F3" s="20">
        <v>70469380</v>
      </c>
      <c r="G3" s="96">
        <f>E3/F3</f>
        <v>21.8170076138033</v>
      </c>
      <c r="H3" s="20">
        <v>1310392590</v>
      </c>
      <c r="I3" s="20">
        <v>56805173</v>
      </c>
      <c r="J3" s="96">
        <f>H3/I3</f>
        <v>23.0681911663221</v>
      </c>
      <c r="K3" s="20">
        <v>688629944</v>
      </c>
      <c r="L3" s="20">
        <v>48757016</v>
      </c>
      <c r="M3" s="38">
        <f>K3/L3</f>
        <v>14.123709785685</v>
      </c>
      <c r="N3" s="20">
        <v>379884859</v>
      </c>
      <c r="O3" s="20">
        <v>36236781</v>
      </c>
      <c r="P3" s="38">
        <f>N3/O3</f>
        <v>10.4834052174778</v>
      </c>
      <c r="Q3" s="20">
        <v>635297080</v>
      </c>
      <c r="R3" s="20">
        <v>35108461</v>
      </c>
      <c r="S3" s="96">
        <f>Q3/R3</f>
        <v>18.0952699692533</v>
      </c>
      <c r="T3" s="20">
        <v>506665441</v>
      </c>
      <c r="U3" s="20">
        <v>42964581</v>
      </c>
      <c r="V3" s="38">
        <f>T3/U3</f>
        <v>11.7926307951194</v>
      </c>
      <c r="W3" s="20">
        <v>537095112</v>
      </c>
      <c r="X3" s="20">
        <v>35562557</v>
      </c>
      <c r="Y3" s="96">
        <f>W3/X3</f>
        <v>15.1028260425706</v>
      </c>
      <c r="Z3" s="20">
        <v>12378835</v>
      </c>
      <c r="AA3" s="20">
        <v>43957858</v>
      </c>
      <c r="AB3" s="288">
        <f>Z3/AA3</f>
        <v>0.281606874475094</v>
      </c>
      <c r="AC3" s="20">
        <v>-16385856</v>
      </c>
      <c r="AD3" s="20">
        <v>5250000</v>
      </c>
      <c r="AE3" s="288">
        <f>AC3/AD3</f>
        <v>-3.12111542857143</v>
      </c>
      <c r="AF3" s="20">
        <v>40901481</v>
      </c>
      <c r="AG3" s="20">
        <v>12496944</v>
      </c>
      <c r="AH3" s="38">
        <f>AF3/AG3</f>
        <v>3.27291864314988</v>
      </c>
      <c r="AI3" s="20">
        <v>130402071</v>
      </c>
      <c r="AJ3" s="20">
        <v>12171000</v>
      </c>
      <c r="AK3" s="38">
        <f>AI3/AJ3</f>
        <v>10.714162435297</v>
      </c>
      <c r="AL3" s="20">
        <v>76618545</v>
      </c>
      <c r="AM3" s="20">
        <v>8343384</v>
      </c>
      <c r="AN3" s="38">
        <f>AL3/AM3</f>
        <v>9.18314978670525</v>
      </c>
      <c r="AO3" s="20">
        <v>69408395</v>
      </c>
      <c r="AP3" s="20">
        <v>5696985</v>
      </c>
      <c r="AQ3" s="38">
        <f>AO3/AP3</f>
        <v>12.1833557574752</v>
      </c>
      <c r="AR3" s="20">
        <v>117878751</v>
      </c>
      <c r="AS3" s="20">
        <v>5574560</v>
      </c>
      <c r="AT3" s="96">
        <f>AR3/AS3</f>
        <v>21.1458394922649</v>
      </c>
      <c r="AU3" s="20">
        <v>-25169203</v>
      </c>
      <c r="AV3" s="20">
        <v>2624676</v>
      </c>
      <c r="AW3" s="39">
        <f>AU3/AV3</f>
        <v>-9.58945142181359</v>
      </c>
      <c r="AX3" s="20">
        <v>-19829007</v>
      </c>
      <c r="AY3" s="20">
        <v>5028300</v>
      </c>
      <c r="AZ3" s="39">
        <f>AX3/AY3</f>
        <v>-3.9434812958654</v>
      </c>
    </row>
    <row r="4" ht="6" customHeight="1" spans="1:52">
      <c r="A4" s="2"/>
      <c r="B4" s="2"/>
      <c r="C4" s="2" t="s">
        <v>163</v>
      </c>
      <c r="D4" s="2"/>
      <c r="E4" s="20"/>
      <c r="F4" s="20"/>
      <c r="G4" s="96"/>
      <c r="H4" s="20"/>
      <c r="I4" s="20"/>
      <c r="J4" s="96"/>
      <c r="K4" s="20"/>
      <c r="L4" s="20"/>
      <c r="M4" s="38"/>
      <c r="N4" s="20"/>
      <c r="O4" s="20"/>
      <c r="P4" s="38"/>
      <c r="Q4" s="20"/>
      <c r="R4" s="20"/>
      <c r="S4" s="96"/>
      <c r="T4" s="20"/>
      <c r="U4" s="20"/>
      <c r="V4" s="38"/>
      <c r="W4" s="20"/>
      <c r="X4" s="20"/>
      <c r="Y4" s="96"/>
      <c r="Z4" s="20"/>
      <c r="AA4" s="20"/>
      <c r="AB4" s="288"/>
      <c r="AC4" s="20"/>
      <c r="AD4" s="20"/>
      <c r="AE4" s="288"/>
      <c r="AF4" s="20"/>
      <c r="AG4" s="20"/>
      <c r="AH4" s="38"/>
      <c r="AI4" s="20"/>
      <c r="AJ4" s="20"/>
      <c r="AK4" s="38"/>
      <c r="AL4" s="20"/>
      <c r="AM4" s="20"/>
      <c r="AN4" s="38"/>
      <c r="AO4" s="20"/>
      <c r="AP4" s="20"/>
      <c r="AQ4" s="38"/>
      <c r="AR4" s="20"/>
      <c r="AS4" s="20"/>
      <c r="AT4" s="96"/>
      <c r="AU4" s="20"/>
      <c r="AV4" s="20"/>
      <c r="AW4" s="39"/>
      <c r="AX4" s="20"/>
      <c r="AY4" s="20"/>
      <c r="AZ4" s="39"/>
    </row>
    <row r="5" hidden="1" spans="1:52">
      <c r="A5" s="2"/>
      <c r="D5" s="2"/>
      <c r="E5" s="78"/>
      <c r="F5" s="20"/>
      <c r="G5" s="38"/>
      <c r="H5" s="78"/>
      <c r="I5" s="20"/>
      <c r="J5" s="38"/>
      <c r="K5" s="78"/>
      <c r="L5" s="20"/>
      <c r="M5" s="38"/>
      <c r="N5" s="78" t="s">
        <v>284</v>
      </c>
      <c r="O5" s="20"/>
      <c r="P5" s="38"/>
      <c r="Q5" s="78"/>
      <c r="R5" s="20"/>
      <c r="S5" s="38"/>
      <c r="T5" s="78"/>
      <c r="U5" s="20"/>
      <c r="V5" s="38"/>
      <c r="W5" s="78"/>
      <c r="X5" s="20"/>
      <c r="Y5" s="38"/>
      <c r="Z5" s="78"/>
      <c r="AA5" s="20"/>
      <c r="AB5" s="38"/>
      <c r="AC5" s="78"/>
      <c r="AD5" s="20"/>
      <c r="AE5" s="38"/>
      <c r="AF5" s="78"/>
      <c r="AG5" s="20"/>
      <c r="AH5" s="38"/>
      <c r="AI5" s="78"/>
      <c r="AJ5" s="20"/>
      <c r="AK5" s="38"/>
      <c r="AL5" s="306" t="s">
        <v>285</v>
      </c>
      <c r="AM5" s="307" t="s">
        <v>286</v>
      </c>
      <c r="AN5" s="38"/>
      <c r="AO5" s="78"/>
      <c r="AP5" s="222"/>
      <c r="AQ5" s="38"/>
      <c r="AR5" s="78"/>
      <c r="AS5" s="222"/>
      <c r="AT5" s="38"/>
      <c r="AU5" s="308" t="s">
        <v>287</v>
      </c>
      <c r="AV5" s="222"/>
      <c r="AW5" s="38"/>
      <c r="AX5" s="308" t="s">
        <v>288</v>
      </c>
      <c r="AY5" s="308"/>
      <c r="AZ5" s="38"/>
    </row>
    <row r="6" spans="1:52">
      <c r="A6" s="2">
        <v>2</v>
      </c>
      <c r="B6" s="41" t="s">
        <v>166</v>
      </c>
      <c r="C6" s="37" t="s">
        <v>167</v>
      </c>
      <c r="D6" s="2" t="s">
        <v>233</v>
      </c>
      <c r="E6" s="20">
        <v>457</v>
      </c>
      <c r="F6" s="42">
        <f>G3</f>
        <v>21.8170076138033</v>
      </c>
      <c r="G6" s="96">
        <f>E6/F6</f>
        <v>20.9469606505918</v>
      </c>
      <c r="H6" s="20">
        <v>431</v>
      </c>
      <c r="I6" s="42">
        <f>J3</f>
        <v>23.0681911663221</v>
      </c>
      <c r="J6" s="96">
        <f>H6/I6</f>
        <v>18.6837362709751</v>
      </c>
      <c r="K6" s="20">
        <v>431</v>
      </c>
      <c r="L6" s="42">
        <f>M3</f>
        <v>14.123709785685</v>
      </c>
      <c r="M6" s="38">
        <f>K6/L6</f>
        <v>30.5160617528999</v>
      </c>
      <c r="N6" s="20">
        <v>538</v>
      </c>
      <c r="O6" s="42">
        <f>P3</f>
        <v>10.4834052174778</v>
      </c>
      <c r="P6" s="43">
        <f>N6/O6</f>
        <v>51.3192029535455</v>
      </c>
      <c r="Q6" s="20">
        <v>523</v>
      </c>
      <c r="R6" s="42">
        <f>S3</f>
        <v>18.0952699692533</v>
      </c>
      <c r="S6" s="38">
        <f>Q6/R6</f>
        <v>28.9025806682442</v>
      </c>
      <c r="T6" s="20">
        <v>398</v>
      </c>
      <c r="U6" s="42">
        <f>V3</f>
        <v>11.7926307951194</v>
      </c>
      <c r="V6" s="38">
        <f>T6/U6</f>
        <v>33.7498906660184</v>
      </c>
      <c r="W6" s="20">
        <v>443</v>
      </c>
      <c r="X6" s="42">
        <f>Y3</f>
        <v>15.1028260425706</v>
      </c>
      <c r="Y6" s="38">
        <f>W6/X6</f>
        <v>29.3322586614789</v>
      </c>
      <c r="Z6" s="20">
        <v>338</v>
      </c>
      <c r="AA6" s="42">
        <f>AB3</f>
        <v>0.281606874475094</v>
      </c>
      <c r="AB6" s="288">
        <f>Z6/AA6</f>
        <v>1200.25479005092</v>
      </c>
      <c r="AC6" s="20">
        <v>1922</v>
      </c>
      <c r="AD6" s="42">
        <f>AE3</f>
        <v>-3.12111542857143</v>
      </c>
      <c r="AE6" s="39">
        <f>AC6/AD6</f>
        <v>-615.805484925536</v>
      </c>
      <c r="AF6" s="20">
        <v>629</v>
      </c>
      <c r="AG6" s="42">
        <f>AH3</f>
        <v>3.27291864314988</v>
      </c>
      <c r="AH6" s="43">
        <f>AF6/AG6</f>
        <v>192.183206666771</v>
      </c>
      <c r="AI6" s="20">
        <v>623</v>
      </c>
      <c r="AJ6" s="42">
        <f>AK3</f>
        <v>10.714162435297</v>
      </c>
      <c r="AK6" s="38">
        <f>AI6/AJ6</f>
        <v>58.1473357121759</v>
      </c>
      <c r="AL6" s="20">
        <v>838</v>
      </c>
      <c r="AM6" s="42">
        <f>AN3</f>
        <v>9.18314978670525</v>
      </c>
      <c r="AN6" s="70">
        <f>AL6/AM6</f>
        <v>91.2540924915763</v>
      </c>
      <c r="AO6" s="20">
        <v>1158</v>
      </c>
      <c r="AP6" s="42">
        <f>AQ3</f>
        <v>12.1833557574752</v>
      </c>
      <c r="AQ6" s="70">
        <f>AO6/AP6</f>
        <v>95.0477046760698</v>
      </c>
      <c r="AR6" s="20">
        <v>760</v>
      </c>
      <c r="AS6" s="42">
        <f>AT3</f>
        <v>21.1458394922649</v>
      </c>
      <c r="AT6" s="70">
        <f>AR6/AS6</f>
        <v>35.9408762313744</v>
      </c>
      <c r="AU6" s="20">
        <v>1554</v>
      </c>
      <c r="AV6" s="42">
        <f>AW3</f>
        <v>-9.58945142181359</v>
      </c>
      <c r="AW6" s="39">
        <f>AU6/AV6</f>
        <v>-162.053065565882</v>
      </c>
      <c r="AX6" s="20">
        <v>810</v>
      </c>
      <c r="AY6" s="42">
        <f>AZ3</f>
        <v>-3.9434812958654</v>
      </c>
      <c r="AZ6" s="39">
        <f>AX6/AY6</f>
        <v>-205.4022674963</v>
      </c>
    </row>
    <row r="7" ht="5" customHeight="1" spans="1:52">
      <c r="A7" s="2"/>
      <c r="B7" s="41"/>
      <c r="C7" s="2" t="s">
        <v>169</v>
      </c>
      <c r="D7" s="2"/>
      <c r="E7" s="20"/>
      <c r="F7" s="42"/>
      <c r="G7" s="96"/>
      <c r="H7" s="20"/>
      <c r="I7" s="42"/>
      <c r="J7" s="96"/>
      <c r="K7" s="20"/>
      <c r="L7" s="42"/>
      <c r="M7" s="38"/>
      <c r="N7" s="20"/>
      <c r="O7" s="42"/>
      <c r="P7" s="43"/>
      <c r="Q7" s="20"/>
      <c r="R7" s="42"/>
      <c r="S7" s="38"/>
      <c r="T7" s="20"/>
      <c r="U7" s="42"/>
      <c r="V7" s="38"/>
      <c r="W7" s="20"/>
      <c r="X7" s="42"/>
      <c r="Y7" s="38"/>
      <c r="Z7" s="20"/>
      <c r="AA7" s="42"/>
      <c r="AB7" s="288"/>
      <c r="AC7" s="20"/>
      <c r="AD7" s="42"/>
      <c r="AE7" s="39"/>
      <c r="AF7" s="20"/>
      <c r="AG7" s="42"/>
      <c r="AH7" s="43"/>
      <c r="AI7" s="20"/>
      <c r="AJ7" s="42"/>
      <c r="AK7" s="38"/>
      <c r="AL7" s="20"/>
      <c r="AM7" s="42"/>
      <c r="AN7" s="70"/>
      <c r="AO7" s="20"/>
      <c r="AP7" s="42"/>
      <c r="AQ7" s="70"/>
      <c r="AR7" s="20"/>
      <c r="AS7" s="42"/>
      <c r="AT7" s="70"/>
      <c r="AU7" s="20"/>
      <c r="AV7" s="42"/>
      <c r="AW7" s="39"/>
      <c r="AX7" s="20"/>
      <c r="AY7" s="42"/>
      <c r="AZ7" s="39"/>
    </row>
    <row r="8" hidden="1" spans="1:52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  <c r="AI8" s="20"/>
      <c r="AJ8" s="42"/>
      <c r="AK8" s="38"/>
      <c r="AL8" s="309" t="s">
        <v>289</v>
      </c>
      <c r="AM8" s="309"/>
      <c r="AN8" s="38"/>
      <c r="AO8" s="267"/>
      <c r="AP8" s="267"/>
      <c r="AQ8" s="38"/>
      <c r="AR8" s="267"/>
      <c r="AS8" s="267"/>
      <c r="AT8" s="38"/>
      <c r="AU8" s="310" t="s">
        <v>290</v>
      </c>
      <c r="AV8" s="310"/>
      <c r="AW8" s="38"/>
      <c r="AX8" s="310" t="s">
        <v>290</v>
      </c>
      <c r="AY8" s="310"/>
      <c r="AZ8" s="38"/>
    </row>
    <row r="9" ht="13" customHeight="1" spans="1:52">
      <c r="A9" s="2">
        <v>3</v>
      </c>
      <c r="B9" s="2" t="s">
        <v>170</v>
      </c>
      <c r="C9" s="2" t="s">
        <v>171</v>
      </c>
      <c r="D9" s="2" t="s">
        <v>234</v>
      </c>
      <c r="E9" s="82">
        <f>E3</f>
        <v>1537431000</v>
      </c>
      <c r="F9" s="82">
        <v>1176335000</v>
      </c>
      <c r="G9" s="96">
        <f>((E9-F9)/F9)*100</f>
        <v>30.6966977944208</v>
      </c>
      <c r="H9" s="82">
        <f>H3</f>
        <v>1310392590</v>
      </c>
      <c r="I9" s="82">
        <v>433951860</v>
      </c>
      <c r="J9" s="96">
        <f>((H9-I9)/I9)*100</f>
        <v>201.967271208378</v>
      </c>
      <c r="K9" s="82">
        <f>K3</f>
        <v>688629944</v>
      </c>
      <c r="L9" s="82">
        <v>685321449</v>
      </c>
      <c r="M9" s="38">
        <f>((K9-L9)/L9)*100</f>
        <v>0.482765424141861</v>
      </c>
      <c r="N9" s="82">
        <f>N3</f>
        <v>379884859</v>
      </c>
      <c r="O9" s="82">
        <v>543667622</v>
      </c>
      <c r="P9" s="151">
        <f>((N9-O9)/O9)*100</f>
        <v>-30.1255319192063</v>
      </c>
      <c r="Q9" s="82">
        <f>Q3</f>
        <v>635297080</v>
      </c>
      <c r="R9" s="82">
        <v>581831823</v>
      </c>
      <c r="S9" s="96">
        <f>((Q9-R9)/R9)*100</f>
        <v>9.18912560064629</v>
      </c>
      <c r="T9" s="82">
        <f>T3</f>
        <v>506665441</v>
      </c>
      <c r="U9" s="82">
        <v>500364925</v>
      </c>
      <c r="V9" s="38">
        <f>((T9-U9)/U9)*100</f>
        <v>1.259184184423</v>
      </c>
      <c r="W9" s="82">
        <f>W3</f>
        <v>537095112</v>
      </c>
      <c r="X9" s="82">
        <v>504280453</v>
      </c>
      <c r="Y9" s="38">
        <f>((W9-X9)/X9)*100</f>
        <v>6.50722406644622</v>
      </c>
      <c r="Z9" s="82">
        <f>Z3</f>
        <v>12378835</v>
      </c>
      <c r="AA9" s="82">
        <v>170503581</v>
      </c>
      <c r="AB9" s="288">
        <f>((Z9-AA9)/AA9)*100</f>
        <v>-92.7398387016869</v>
      </c>
      <c r="AC9" s="82">
        <f>AC3</f>
        <v>-16385856</v>
      </c>
      <c r="AD9" s="20">
        <v>20190183</v>
      </c>
      <c r="AE9" s="288">
        <f>((AC9-AD9)/AD9)*100</f>
        <v>-181.157540771176</v>
      </c>
      <c r="AF9" s="82">
        <f>AF3</f>
        <v>40901481</v>
      </c>
      <c r="AG9" s="20">
        <v>43494885</v>
      </c>
      <c r="AH9" s="49">
        <f>((AF9-AG9)/AG9)*100</f>
        <v>-5.96254938942821</v>
      </c>
      <c r="AI9" s="82">
        <f>AI3</f>
        <v>130402071</v>
      </c>
      <c r="AJ9" s="20">
        <v>144950940</v>
      </c>
      <c r="AK9" s="49">
        <f>((AI9-AJ9)/AJ9)*100</f>
        <v>-10.0370987590698</v>
      </c>
      <c r="AL9" s="82">
        <f>AL3</f>
        <v>76618545</v>
      </c>
      <c r="AM9" s="20">
        <v>22520437</v>
      </c>
      <c r="AN9" s="38">
        <f>((AL9-AM9)/AM9)*100</f>
        <v>240.217843019654</v>
      </c>
      <c r="AO9" s="82">
        <f>AO3</f>
        <v>69408395</v>
      </c>
      <c r="AP9" s="20">
        <v>38661247</v>
      </c>
      <c r="AQ9" s="96">
        <f>((AO9-AP9)/AP9)*100</f>
        <v>79.5296333819755</v>
      </c>
      <c r="AR9" s="82">
        <f>AR3</f>
        <v>117878751</v>
      </c>
      <c r="AS9" s="20">
        <v>30412863</v>
      </c>
      <c r="AT9" s="96">
        <f>((AR9-AS9)/AS9)*100</f>
        <v>287.595048187341</v>
      </c>
      <c r="AU9" s="82">
        <f>AU3</f>
        <v>-25169203</v>
      </c>
      <c r="AV9" s="20">
        <v>30412863</v>
      </c>
      <c r="AW9" s="38">
        <f>((AU9-AV9)/AV9)*100</f>
        <v>-182.758413767227</v>
      </c>
      <c r="AX9" s="82">
        <f>AX3</f>
        <v>-19829007</v>
      </c>
      <c r="AY9" s="20">
        <v>30412863</v>
      </c>
      <c r="AZ9" s="38">
        <f>((AX9-AY9)/AY9)*100</f>
        <v>-165.199409210504</v>
      </c>
    </row>
    <row r="10" hidden="1" spans="1:52">
      <c r="A10" s="2"/>
      <c r="E10" s="45"/>
      <c r="G10" s="40"/>
      <c r="H10" s="45"/>
      <c r="J10" s="40"/>
      <c r="K10" s="45"/>
      <c r="M10" s="40"/>
      <c r="N10" s="45"/>
      <c r="P10" s="40"/>
      <c r="Q10" s="45"/>
      <c r="S10" s="40"/>
      <c r="T10" s="45"/>
      <c r="V10" s="40"/>
      <c r="W10" s="45"/>
      <c r="Y10" s="40"/>
      <c r="Z10" s="45"/>
      <c r="AB10" s="40"/>
      <c r="AC10" s="45"/>
      <c r="AE10" s="40"/>
      <c r="AF10" s="45"/>
      <c r="AH10" s="40"/>
      <c r="AI10" s="45"/>
      <c r="AK10" s="40"/>
      <c r="AN10" s="40"/>
      <c r="AQ10" s="40"/>
      <c r="AT10" s="40"/>
      <c r="AW10" s="40"/>
      <c r="AZ10" s="40"/>
    </row>
    <row r="11" spans="1:52">
      <c r="A11" s="2">
        <v>4</v>
      </c>
      <c r="B11" s="2" t="s">
        <v>173</v>
      </c>
      <c r="C11" s="41" t="s">
        <v>174</v>
      </c>
      <c r="D11" s="41" t="s">
        <v>234</v>
      </c>
      <c r="E11" s="20">
        <v>11976462000</v>
      </c>
      <c r="F11" s="20">
        <v>10429508000</v>
      </c>
      <c r="G11" s="44">
        <f>(E11-F11)/F11</f>
        <v>0.148324734014299</v>
      </c>
      <c r="H11" s="20">
        <v>9325945482</v>
      </c>
      <c r="I11" s="20">
        <v>8258063874</v>
      </c>
      <c r="J11" s="44">
        <f>(H11-I11)/I11</f>
        <v>0.129313798523908</v>
      </c>
      <c r="K11" s="20">
        <v>7382787427</v>
      </c>
      <c r="L11" s="20">
        <v>6891904765</v>
      </c>
      <c r="M11" s="44">
        <f>(K11-L11)/L11</f>
        <v>0.0712259787008244</v>
      </c>
      <c r="N11" s="20">
        <v>6983955138</v>
      </c>
      <c r="O11" s="20">
        <v>6687408352</v>
      </c>
      <c r="P11" s="44">
        <f>(N11-O11)/O11</f>
        <v>0.0443440523429845</v>
      </c>
      <c r="Q11" s="20">
        <v>5902715983</v>
      </c>
      <c r="R11" s="20">
        <v>5384343357</v>
      </c>
      <c r="S11" s="44">
        <f>(Q11-R11)/R11</f>
        <v>0.0962740656808377</v>
      </c>
      <c r="T11" s="20">
        <v>7133642596</v>
      </c>
      <c r="U11" s="20">
        <v>6744129684</v>
      </c>
      <c r="V11" s="44">
        <f>(T11-U11)/U11</f>
        <v>0.057755845490945</v>
      </c>
      <c r="W11" s="20">
        <v>5573111821</v>
      </c>
      <c r="X11" s="20">
        <v>4984375687</v>
      </c>
      <c r="Y11" s="113">
        <f>(W11-X11)/X11</f>
        <v>0.118116324083578</v>
      </c>
      <c r="Z11" s="20">
        <v>6542791298</v>
      </c>
      <c r="AA11" s="20">
        <v>6292640311</v>
      </c>
      <c r="AB11" s="44">
        <f>(Z11-AA11)/AA11</f>
        <v>0.0397529454468767</v>
      </c>
      <c r="AC11" s="20">
        <v>715276370</v>
      </c>
      <c r="AD11" s="20">
        <v>723030246</v>
      </c>
      <c r="AE11" s="311">
        <f>(AC11-AD11)/AD11</f>
        <v>-0.0107241378115183</v>
      </c>
      <c r="AF11" s="20">
        <v>2091326719</v>
      </c>
      <c r="AG11" s="20">
        <v>1938573049</v>
      </c>
      <c r="AH11" s="44">
        <f>(AF11-AG11)/AG11</f>
        <v>0.0787969636113516</v>
      </c>
      <c r="AI11" s="20">
        <v>1717445665</v>
      </c>
      <c r="AJ11" s="20">
        <v>1592978582</v>
      </c>
      <c r="AK11" s="44">
        <f>(AI11-AJ11)/AJ11</f>
        <v>0.0781348126123142</v>
      </c>
      <c r="AL11" s="20">
        <v>1717445665</v>
      </c>
      <c r="AM11" s="20">
        <v>1592978582</v>
      </c>
      <c r="AN11" s="44">
        <f>(AL11-AM11)/AM11</f>
        <v>0.0781348126123142</v>
      </c>
      <c r="AO11" s="20">
        <v>695660168</v>
      </c>
      <c r="AP11" s="20">
        <v>628253566</v>
      </c>
      <c r="AQ11" s="44">
        <f>(AO11-AP11)/AP11</f>
        <v>0.107292032465758</v>
      </c>
      <c r="AR11" s="20">
        <v>483301940</v>
      </c>
      <c r="AS11" s="20">
        <v>353962823</v>
      </c>
      <c r="AT11" s="44">
        <f>(AR11-AS11)/AS11</f>
        <v>0.365403111840364</v>
      </c>
      <c r="AU11" s="20">
        <v>483301940</v>
      </c>
      <c r="AV11" s="20">
        <v>353962823</v>
      </c>
      <c r="AW11" s="44">
        <f>(AU11-AV11)/AV11</f>
        <v>0.365403111840364</v>
      </c>
      <c r="AX11" s="20">
        <v>483301940</v>
      </c>
      <c r="AY11" s="20">
        <v>353962823</v>
      </c>
      <c r="AZ11" s="44">
        <f>(AX11-AY11)/AY11</f>
        <v>0.365403111840364</v>
      </c>
    </row>
    <row r="12" ht="5.5" customHeight="1" spans="1:52">
      <c r="A12" s="2"/>
      <c r="B12" s="2"/>
      <c r="C12" s="41"/>
      <c r="D12" s="41"/>
      <c r="E12" s="20"/>
      <c r="F12" s="20"/>
      <c r="G12" s="44"/>
      <c r="H12" s="20"/>
      <c r="I12" s="20"/>
      <c r="J12" s="44"/>
      <c r="K12" s="20"/>
      <c r="L12" s="20"/>
      <c r="M12" s="44"/>
      <c r="N12" s="20"/>
      <c r="O12" s="20"/>
      <c r="P12" s="44"/>
      <c r="Q12" s="20"/>
      <c r="R12" s="20"/>
      <c r="S12" s="44"/>
      <c r="T12" s="20"/>
      <c r="U12" s="20"/>
      <c r="V12" s="44"/>
      <c r="W12" s="20"/>
      <c r="X12" s="20"/>
      <c r="Y12" s="113"/>
      <c r="Z12" s="20"/>
      <c r="AA12" s="20"/>
      <c r="AB12" s="44"/>
      <c r="AC12" s="20"/>
      <c r="AD12" s="20"/>
      <c r="AE12" s="311"/>
      <c r="AF12" s="20"/>
      <c r="AG12" s="20"/>
      <c r="AH12" s="44"/>
      <c r="AI12" s="20"/>
      <c r="AJ12" s="20"/>
      <c r="AK12" s="44"/>
      <c r="AL12" s="20"/>
      <c r="AM12" s="20"/>
      <c r="AN12" s="44"/>
      <c r="AO12" s="20"/>
      <c r="AP12" s="20"/>
      <c r="AQ12" s="44"/>
      <c r="AR12" s="20"/>
      <c r="AS12" s="20"/>
      <c r="AT12" s="44"/>
      <c r="AU12" s="20"/>
      <c r="AV12" s="20"/>
      <c r="AW12" s="44"/>
      <c r="AX12" s="20"/>
      <c r="AY12" s="20"/>
      <c r="AZ12" s="44"/>
    </row>
    <row r="13" hidden="1" spans="1:52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  <c r="Z13" s="83"/>
      <c r="AA13" s="2"/>
      <c r="AB13" s="80"/>
      <c r="AC13" s="83"/>
      <c r="AD13" s="2"/>
      <c r="AE13" s="80"/>
      <c r="AF13" s="83"/>
      <c r="AG13" s="2"/>
      <c r="AH13" s="80"/>
      <c r="AI13" s="83"/>
      <c r="AJ13" s="2"/>
      <c r="AK13" s="80"/>
      <c r="AL13" s="83"/>
      <c r="AM13" s="2"/>
      <c r="AN13" s="80"/>
      <c r="AO13" s="83"/>
      <c r="AP13" s="2"/>
      <c r="AQ13" s="80"/>
      <c r="AR13" s="83"/>
      <c r="AS13" s="2"/>
      <c r="AT13" s="80"/>
      <c r="AU13" s="83"/>
      <c r="AV13" s="2"/>
      <c r="AW13" s="80"/>
      <c r="AX13" s="83"/>
      <c r="AY13" s="2"/>
      <c r="AZ13" s="80"/>
    </row>
    <row r="14" spans="1:52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1537431000</v>
      </c>
      <c r="F14" s="20">
        <f>E11</f>
        <v>11976462000</v>
      </c>
      <c r="G14" s="113">
        <f>(E14/F14)</f>
        <v>0.128371049814211</v>
      </c>
      <c r="H14" s="20">
        <f>H3</f>
        <v>1310392590</v>
      </c>
      <c r="I14" s="20">
        <f>H11</f>
        <v>9325945482</v>
      </c>
      <c r="J14" s="96">
        <f>(H14/I14)*100</f>
        <v>14.0510427873419</v>
      </c>
      <c r="K14" s="20">
        <f>K3</f>
        <v>688629944</v>
      </c>
      <c r="L14" s="20">
        <f>K11</f>
        <v>7382787427</v>
      </c>
      <c r="M14" s="38">
        <f>(K14/L14)*100</f>
        <v>9.32750605119109</v>
      </c>
      <c r="N14" s="20">
        <f>N3</f>
        <v>379884859</v>
      </c>
      <c r="O14" s="20">
        <f>N11</f>
        <v>6983955138</v>
      </c>
      <c r="P14" s="38">
        <f>(N14/O14)*100</f>
        <v>5.43939431874398</v>
      </c>
      <c r="Q14" s="20">
        <f>Q3</f>
        <v>635297080</v>
      </c>
      <c r="R14" s="20">
        <f>Q11</f>
        <v>5902715983</v>
      </c>
      <c r="S14" s="96">
        <f>(Q14/R14)*100</f>
        <v>10.7627926166476</v>
      </c>
      <c r="T14" s="20">
        <f>T3</f>
        <v>506665441</v>
      </c>
      <c r="U14" s="20">
        <f>T11</f>
        <v>7133642596</v>
      </c>
      <c r="V14" s="38">
        <f>(T14/U14)*100</f>
        <v>7.10247863110074</v>
      </c>
      <c r="W14" s="20">
        <f>W3</f>
        <v>537095112</v>
      </c>
      <c r="X14" s="20">
        <f>W11</f>
        <v>5573111821</v>
      </c>
      <c r="Y14" s="38">
        <f>(W14/X14)*100</f>
        <v>9.63725705226613</v>
      </c>
      <c r="Z14" s="20">
        <f>Z3</f>
        <v>12378835</v>
      </c>
      <c r="AA14" s="20">
        <f>Z11</f>
        <v>6542791298</v>
      </c>
      <c r="AB14" s="38">
        <f>(Z14/AA14)*100</f>
        <v>0.189198072140616</v>
      </c>
      <c r="AC14" s="20">
        <f>AC3</f>
        <v>-16385856</v>
      </c>
      <c r="AD14" s="20">
        <f>AC11</f>
        <v>715276370</v>
      </c>
      <c r="AE14" s="49">
        <f>(AC14/AD14)*100</f>
        <v>-2.2908426291225</v>
      </c>
      <c r="AF14" s="20">
        <f>AF3</f>
        <v>40901481</v>
      </c>
      <c r="AG14" s="20">
        <f>AF11</f>
        <v>2091326719</v>
      </c>
      <c r="AH14" s="38">
        <f>(AF14/AG14)*100</f>
        <v>1.95576715146439</v>
      </c>
      <c r="AI14" s="20">
        <f>AI3</f>
        <v>130402071</v>
      </c>
      <c r="AJ14" s="20">
        <f>AI11</f>
        <v>1717445665</v>
      </c>
      <c r="AK14" s="38">
        <f>(AI14/AJ14)*100</f>
        <v>7.59279164735613</v>
      </c>
      <c r="AL14" s="20">
        <f>AL3</f>
        <v>76618545</v>
      </c>
      <c r="AM14" s="20">
        <f>AL11</f>
        <v>1717445665</v>
      </c>
      <c r="AN14" s="38">
        <f>(AL14/AM14)*100</f>
        <v>4.46119178972687</v>
      </c>
      <c r="AO14" s="20">
        <f>AO3</f>
        <v>69408395</v>
      </c>
      <c r="AP14" s="20">
        <f>AO11</f>
        <v>695660168</v>
      </c>
      <c r="AQ14" s="96">
        <f>(AO14/AP14)*100</f>
        <v>9.97734212662295</v>
      </c>
      <c r="AR14" s="20">
        <f>AR3</f>
        <v>117878751</v>
      </c>
      <c r="AS14" s="20">
        <f>AR11</f>
        <v>483301940</v>
      </c>
      <c r="AT14" s="96">
        <f>(AR14/AS14)*100</f>
        <v>24.3902912949201</v>
      </c>
      <c r="AU14" s="20">
        <f>AU3</f>
        <v>-25169203</v>
      </c>
      <c r="AV14" s="20">
        <f>AU11</f>
        <v>483301940</v>
      </c>
      <c r="AW14" s="38">
        <f>(AU14/AV14)*100</f>
        <v>-5.20775956330736</v>
      </c>
      <c r="AX14" s="20">
        <f>AX3</f>
        <v>-19829007</v>
      </c>
      <c r="AY14" s="20">
        <f>AX11</f>
        <v>483301940</v>
      </c>
      <c r="AZ14" s="38">
        <f>(AX14/AY14)*100</f>
        <v>-4.10281965762438</v>
      </c>
    </row>
    <row r="15" ht="5" customHeight="1" spans="1:52">
      <c r="A15" s="2"/>
      <c r="B15" s="2"/>
      <c r="C15" s="2" t="s">
        <v>176</v>
      </c>
      <c r="D15" s="2"/>
      <c r="E15" s="20"/>
      <c r="F15" s="2"/>
      <c r="G15" s="113"/>
      <c r="H15" s="20"/>
      <c r="I15" s="2"/>
      <c r="J15" s="96"/>
      <c r="K15" s="20"/>
      <c r="L15" s="2"/>
      <c r="M15" s="38"/>
      <c r="N15" s="20"/>
      <c r="O15" s="2"/>
      <c r="P15" s="38"/>
      <c r="Q15" s="20"/>
      <c r="R15" s="2"/>
      <c r="S15" s="96"/>
      <c r="T15" s="20"/>
      <c r="U15" s="2"/>
      <c r="V15" s="38"/>
      <c r="W15" s="20"/>
      <c r="X15" s="2"/>
      <c r="Y15" s="38"/>
      <c r="Z15" s="20"/>
      <c r="AA15" s="2"/>
      <c r="AB15" s="38"/>
      <c r="AC15" s="20"/>
      <c r="AD15" s="2"/>
      <c r="AE15" s="49"/>
      <c r="AF15" s="20"/>
      <c r="AG15" s="2"/>
      <c r="AH15" s="38"/>
      <c r="AI15" s="20"/>
      <c r="AJ15" s="2"/>
      <c r="AK15" s="38"/>
      <c r="AL15" s="20"/>
      <c r="AM15" s="2"/>
      <c r="AN15" s="38"/>
      <c r="AO15" s="20"/>
      <c r="AP15" s="2"/>
      <c r="AQ15" s="96"/>
      <c r="AR15" s="20"/>
      <c r="AS15" s="2"/>
      <c r="AT15" s="96"/>
      <c r="AU15" s="20"/>
      <c r="AV15" s="2"/>
      <c r="AW15" s="38"/>
      <c r="AX15" s="20"/>
      <c r="AY15" s="2"/>
      <c r="AZ15" s="38"/>
    </row>
    <row r="16" hidden="1" spans="1:52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312" t="s">
        <v>291</v>
      </c>
      <c r="AM16" s="313" t="s">
        <v>292</v>
      </c>
      <c r="AN16" s="38"/>
      <c r="AO16" s="51"/>
      <c r="AP16" s="314"/>
      <c r="AQ16" s="38"/>
      <c r="AR16" s="51"/>
      <c r="AS16" s="314"/>
      <c r="AT16" s="38"/>
      <c r="AU16" s="51"/>
      <c r="AV16" s="314"/>
      <c r="AW16" s="38"/>
      <c r="AX16" s="51"/>
      <c r="AY16" s="314"/>
      <c r="AZ16" s="38"/>
    </row>
    <row r="17" ht="16.5" customHeight="1" spans="1:52">
      <c r="A17" s="2">
        <v>6</v>
      </c>
      <c r="B17" s="2" t="s">
        <v>177</v>
      </c>
      <c r="C17" s="2" t="s">
        <v>171</v>
      </c>
      <c r="D17" s="41" t="s">
        <v>235</v>
      </c>
      <c r="E17" s="20">
        <v>97515825000</v>
      </c>
      <c r="F17" s="20">
        <v>91907309000</v>
      </c>
      <c r="G17" s="96">
        <f>((E17-F17)/F17)*100</f>
        <v>6.10236123875632</v>
      </c>
      <c r="H17" s="20">
        <v>69316485053</v>
      </c>
      <c r="I17" s="20">
        <v>64590517896</v>
      </c>
      <c r="J17" s="96">
        <f>((H17-I17)/I17)*100</f>
        <v>7.31681260802009</v>
      </c>
      <c r="K17" s="20">
        <v>56934168967</v>
      </c>
      <c r="L17" s="20">
        <v>52002767569</v>
      </c>
      <c r="M17" s="96">
        <f>((K17-L17)/L17)*100</f>
        <v>9.48295952029237</v>
      </c>
      <c r="N17" s="20">
        <v>47131413600</v>
      </c>
      <c r="O17" s="20">
        <v>46247417167</v>
      </c>
      <c r="P17" s="38">
        <f>((N17-O17)/O17)*100</f>
        <v>1.91145038393794</v>
      </c>
      <c r="Q17" s="20">
        <v>49967284128</v>
      </c>
      <c r="R17" s="20">
        <v>45979607704</v>
      </c>
      <c r="S17" s="96">
        <f>((Q17-R17)/R17)*100</f>
        <v>8.67270649560825</v>
      </c>
      <c r="T17" s="20">
        <v>42018173718</v>
      </c>
      <c r="U17" s="20">
        <v>40550087131</v>
      </c>
      <c r="V17" s="38">
        <f>((T17-U17)/U17)*100</f>
        <v>3.62042770033327</v>
      </c>
      <c r="W17" s="20">
        <v>43021486725</v>
      </c>
      <c r="X17" s="20">
        <v>41786970569</v>
      </c>
      <c r="Y17" s="38">
        <f>((W17-X17)/X17)*100</f>
        <v>2.95430881729396</v>
      </c>
      <c r="Z17" s="20">
        <v>45066453957</v>
      </c>
      <c r="AA17" s="20">
        <v>49036371930</v>
      </c>
      <c r="AB17" s="288">
        <f>((Z17-AA17)/AA17)*100</f>
        <v>-8.09586398167284</v>
      </c>
      <c r="AC17" s="20">
        <v>1189142030</v>
      </c>
      <c r="AD17" s="20">
        <v>1265600583</v>
      </c>
      <c r="AE17" s="288">
        <f>((AC17-AD17)/AD17)*100</f>
        <v>-6.04128617093091</v>
      </c>
      <c r="AF17" s="20">
        <v>12103836717</v>
      </c>
      <c r="AG17" s="20">
        <v>10833762785</v>
      </c>
      <c r="AH17" s="96">
        <f>((AF17-AG17)/AG17)*100</f>
        <v>11.7232946410687</v>
      </c>
      <c r="AI17" s="20">
        <v>5178625089</v>
      </c>
      <c r="AJ17" s="20">
        <v>3637214541</v>
      </c>
      <c r="AK17" s="96">
        <f>((AI17-AJ17)/AJ17)*100</f>
        <v>42.3788734655232</v>
      </c>
      <c r="AL17" s="20">
        <v>5178625089</v>
      </c>
      <c r="AM17" s="20">
        <v>3637214541</v>
      </c>
      <c r="AN17" s="96">
        <f>((AL17-AM17)/AM17)*100</f>
        <v>42.3788734655232</v>
      </c>
      <c r="AO17" s="20">
        <v>4735020064</v>
      </c>
      <c r="AP17" s="20">
        <v>3945861047</v>
      </c>
      <c r="AQ17" s="96">
        <f>((AO17-AP17)/AP17)*100</f>
        <v>19.9996656648614</v>
      </c>
      <c r="AR17" s="20">
        <v>3252299008</v>
      </c>
      <c r="AS17" s="20">
        <v>3587469306</v>
      </c>
      <c r="AT17" s="49">
        <f>((AR17-AS17)/AS17)*100</f>
        <v>-9.34280601201052</v>
      </c>
      <c r="AU17" s="20">
        <v>3252299008</v>
      </c>
      <c r="AV17" s="20">
        <v>3587469306</v>
      </c>
      <c r="AW17" s="38">
        <f>((AU17-AV17)/AV17)*100</f>
        <v>-9.34280601201052</v>
      </c>
      <c r="AX17" s="20">
        <v>3252299008</v>
      </c>
      <c r="AY17" s="20">
        <v>3587469306</v>
      </c>
      <c r="AZ17" s="38">
        <f>((AX17-AY17)/AY17)*100</f>
        <v>-9.34280601201052</v>
      </c>
    </row>
    <row r="18" hidden="1" spans="1:52">
      <c r="A18" s="2"/>
      <c r="B18" s="2"/>
      <c r="C18" s="2"/>
      <c r="D18" s="2"/>
      <c r="E18" s="20"/>
      <c r="F18" s="2"/>
      <c r="G18" s="38"/>
      <c r="H18" s="20"/>
      <c r="I18" s="2"/>
      <c r="J18" s="38"/>
      <c r="K18" s="20"/>
      <c r="L18" s="2"/>
      <c r="M18" s="38"/>
      <c r="N18" s="20"/>
      <c r="O18" s="2"/>
      <c r="P18" s="38"/>
      <c r="Q18" s="20"/>
      <c r="R18" s="2"/>
      <c r="S18" s="38"/>
      <c r="T18" s="20"/>
      <c r="U18" s="2"/>
      <c r="V18" s="38"/>
      <c r="W18" s="20"/>
      <c r="X18" s="2"/>
      <c r="Y18" s="38"/>
      <c r="Z18" s="20"/>
      <c r="AA18" s="2"/>
      <c r="AB18" s="38"/>
      <c r="AC18" s="20"/>
      <c r="AD18" s="2"/>
      <c r="AE18" s="38"/>
      <c r="AF18" s="20"/>
      <c r="AG18" s="2"/>
      <c r="AH18" s="38"/>
      <c r="AI18" s="20"/>
      <c r="AJ18" s="2"/>
      <c r="AK18" s="38"/>
      <c r="AL18" s="20"/>
      <c r="AM18" s="2"/>
      <c r="AN18" s="38"/>
      <c r="AO18" s="20"/>
      <c r="AP18" s="2"/>
      <c r="AQ18" s="38"/>
      <c r="AR18" s="20"/>
      <c r="AS18" s="2"/>
      <c r="AT18" s="49"/>
      <c r="AU18" s="315" t="s">
        <v>293</v>
      </c>
      <c r="AV18" s="2"/>
      <c r="AW18" s="38"/>
      <c r="AX18" s="315" t="s">
        <v>293</v>
      </c>
      <c r="AY18" s="2"/>
      <c r="AZ18" s="38"/>
    </row>
    <row r="19" spans="1:52">
      <c r="A19" s="2">
        <v>7</v>
      </c>
      <c r="B19" s="6" t="s">
        <v>179</v>
      </c>
      <c r="C19" s="2" t="s">
        <v>171</v>
      </c>
      <c r="D19" s="2" t="s">
        <v>235</v>
      </c>
      <c r="E19" s="20">
        <v>117430719000</v>
      </c>
      <c r="F19" s="20">
        <v>109758876000</v>
      </c>
      <c r="G19" s="96">
        <f>((E19-F19)/F19)*100</f>
        <v>6.98972445745527</v>
      </c>
      <c r="H19" s="20">
        <v>90115629859</v>
      </c>
      <c r="I19" s="20">
        <v>84252756130</v>
      </c>
      <c r="J19" s="96">
        <f>((H19-I19)/I19)*100</f>
        <v>6.95867292454353</v>
      </c>
      <c r="K19" s="20">
        <v>71767128445</v>
      </c>
      <c r="L19" s="20">
        <v>65956224347</v>
      </c>
      <c r="M19" s="96">
        <f>((K19-L19)/L19)*100</f>
        <v>8.81024369652886</v>
      </c>
      <c r="N19" s="20">
        <v>57594111700</v>
      </c>
      <c r="O19" s="20">
        <v>58553113478</v>
      </c>
      <c r="P19" s="49">
        <f>((N19-O19)/O19)*100</f>
        <v>-1.63783225354929</v>
      </c>
      <c r="Q19" s="20">
        <v>62834301164</v>
      </c>
      <c r="R19" s="20">
        <v>59066711728</v>
      </c>
      <c r="S19" s="96">
        <f>((Q19-R19)/R19)*100</f>
        <v>6.37853255374975</v>
      </c>
      <c r="T19" s="20">
        <v>55115470657</v>
      </c>
      <c r="U19" s="20">
        <v>55210282742</v>
      </c>
      <c r="V19" s="43">
        <f>((T19-U19)/U19)*100</f>
        <v>-0.171729033598797</v>
      </c>
      <c r="W19" s="20">
        <v>54668494389</v>
      </c>
      <c r="X19" s="20">
        <v>54028104358</v>
      </c>
      <c r="Y19" s="38">
        <f>((W19-X19)/X19)*100</f>
        <v>1.18529057905985</v>
      </c>
      <c r="Z19" s="20">
        <v>60482530192</v>
      </c>
      <c r="AA19" s="20">
        <v>65848228805</v>
      </c>
      <c r="AB19" s="38">
        <f>((Z19-AA19)/AA19)*100</f>
        <v>-8.14858457148443</v>
      </c>
      <c r="AC19" s="20">
        <v>2133769192</v>
      </c>
      <c r="AD19" s="20">
        <v>1822538236</v>
      </c>
      <c r="AE19" s="38">
        <f>((AC19-AD19)/AD19)*100</f>
        <v>17.0767860916362</v>
      </c>
      <c r="AF19" s="20">
        <v>16498527056</v>
      </c>
      <c r="AG19" s="20">
        <v>14763480976</v>
      </c>
      <c r="AH19" s="96">
        <f>((AF19-AG19)/AG19)*100</f>
        <v>11.7522831019361</v>
      </c>
      <c r="AI19" s="20">
        <v>6506779772</v>
      </c>
      <c r="AJ19" s="20">
        <v>6427135552</v>
      </c>
      <c r="AK19" s="38">
        <f>((AI19-AJ19)/AJ19)*100</f>
        <v>1.2391868719062</v>
      </c>
      <c r="AL19" s="20">
        <v>6506779772</v>
      </c>
      <c r="AM19" s="20">
        <v>6427135552</v>
      </c>
      <c r="AN19" s="38">
        <f>((AL19-AM19)/AM19)*100</f>
        <v>1.2391868719062</v>
      </c>
      <c r="AO19" s="20">
        <v>6376451127</v>
      </c>
      <c r="AP19" s="20">
        <v>4971734256</v>
      </c>
      <c r="AQ19" s="96">
        <f>((AO19-AP19)/AP19)*100</f>
        <v>28.254061835762</v>
      </c>
      <c r="AR19" s="20">
        <v>5680896178</v>
      </c>
      <c r="AS19" s="20">
        <v>5892048223</v>
      </c>
      <c r="AT19" s="49">
        <f>((AR19-AS19)/AS19)*100</f>
        <v>-3.58367815415621</v>
      </c>
      <c r="AU19" s="20">
        <v>5680896178</v>
      </c>
      <c r="AV19" s="20">
        <v>5892048223</v>
      </c>
      <c r="AW19" s="38">
        <f>((AU19-AV19)/AV19)*100</f>
        <v>-3.58367815415621</v>
      </c>
      <c r="AX19" s="20">
        <v>5680896178</v>
      </c>
      <c r="AY19" s="20">
        <v>5892048223</v>
      </c>
      <c r="AZ19" s="38">
        <f>((AX19-AY19)/AY19)*100</f>
        <v>-3.58367815415621</v>
      </c>
    </row>
    <row r="20" hidden="1" spans="1:52">
      <c r="A20" s="2"/>
      <c r="D20" s="2"/>
      <c r="E20" s="20"/>
      <c r="F20" s="20"/>
      <c r="G20" s="80"/>
      <c r="H20" s="20"/>
      <c r="I20" s="20"/>
      <c r="J20" s="80"/>
      <c r="K20" s="20"/>
      <c r="L20" s="20"/>
      <c r="M20" s="80"/>
      <c r="N20" s="20"/>
      <c r="O20" s="20"/>
      <c r="P20" s="80"/>
      <c r="Q20" s="20"/>
      <c r="R20" s="20"/>
      <c r="S20" s="80"/>
      <c r="T20" s="20"/>
      <c r="U20" s="20"/>
      <c r="V20" s="80"/>
      <c r="W20" s="20"/>
      <c r="X20" s="20"/>
      <c r="Y20" s="80"/>
      <c r="Z20" s="20"/>
      <c r="AA20" s="20"/>
      <c r="AB20" s="80"/>
      <c r="AC20" s="20"/>
      <c r="AD20" s="20"/>
      <c r="AE20" s="80"/>
      <c r="AF20" s="20"/>
      <c r="AG20" s="20"/>
      <c r="AH20" s="80"/>
      <c r="AI20" s="20"/>
      <c r="AJ20" s="20"/>
      <c r="AK20" s="80"/>
      <c r="AL20" s="20"/>
      <c r="AM20" s="20"/>
      <c r="AN20" s="80"/>
      <c r="AO20" s="20"/>
      <c r="AP20" s="20"/>
      <c r="AQ20" s="80"/>
      <c r="AR20" s="20"/>
      <c r="AS20" s="20"/>
      <c r="AT20" s="80"/>
      <c r="AU20" s="315" t="s">
        <v>293</v>
      </c>
      <c r="AV20" s="20"/>
      <c r="AW20" s="80"/>
      <c r="AX20" s="315" t="s">
        <v>293</v>
      </c>
      <c r="AY20" s="20"/>
      <c r="AZ20" s="80"/>
    </row>
    <row r="21" hidden="1" spans="1:52">
      <c r="A21" s="2">
        <v>8</v>
      </c>
      <c r="B21" s="2" t="s">
        <v>180</v>
      </c>
      <c r="C21" s="37" t="s">
        <v>176</v>
      </c>
      <c r="D21" s="2" t="s">
        <v>181</v>
      </c>
      <c r="E21" s="20">
        <f>E11</f>
        <v>11976462000</v>
      </c>
      <c r="F21" s="20">
        <f>F3</f>
        <v>70469380</v>
      </c>
      <c r="G21" s="38">
        <f>E21/F21</f>
        <v>169.952708538091</v>
      </c>
      <c r="H21" s="20">
        <f>H11</f>
        <v>9325945482</v>
      </c>
      <c r="I21" s="20">
        <f>I3</f>
        <v>56805173</v>
      </c>
      <c r="J21" s="38">
        <f>H21/I21</f>
        <v>164.174229026642</v>
      </c>
      <c r="K21" s="20">
        <f>K11</f>
        <v>7382787427</v>
      </c>
      <c r="L21" s="20">
        <f>L3</f>
        <v>48757016</v>
      </c>
      <c r="M21" s="38">
        <f>K21/L21</f>
        <v>151.420001318374</v>
      </c>
      <c r="N21" s="20">
        <f>N11</f>
        <v>6983955138</v>
      </c>
      <c r="O21" s="20">
        <f>O3</f>
        <v>36236781</v>
      </c>
      <c r="P21" s="38">
        <f>N21/O21</f>
        <v>192.731113119568</v>
      </c>
      <c r="Q21" s="20">
        <f>Q11</f>
        <v>5902715983</v>
      </c>
      <c r="R21" s="20">
        <f>R3</f>
        <v>35108461</v>
      </c>
      <c r="S21" s="38">
        <f>Q21/R21</f>
        <v>168.128018570794</v>
      </c>
      <c r="T21" s="20">
        <f>T11</f>
        <v>7133642596</v>
      </c>
      <c r="U21" s="20">
        <f>U3</f>
        <v>42964581</v>
      </c>
      <c r="V21" s="38">
        <f>T21/U21</f>
        <v>166.035428019186</v>
      </c>
      <c r="W21" s="20">
        <f>W11</f>
        <v>5573111821</v>
      </c>
      <c r="X21" s="20">
        <f>X3</f>
        <v>35562557</v>
      </c>
      <c r="Y21" s="38">
        <f>W21/X21</f>
        <v>156.71291074486</v>
      </c>
      <c r="Z21" s="20">
        <f>Z11</f>
        <v>6542791298</v>
      </c>
      <c r="AA21" s="20">
        <f>AA3</f>
        <v>43957858</v>
      </c>
      <c r="AB21" s="38">
        <f>Z21/AA21</f>
        <v>148.84235937975</v>
      </c>
      <c r="AC21" s="20">
        <f>AC11</f>
        <v>715276370</v>
      </c>
      <c r="AD21" s="20">
        <f>AD3</f>
        <v>5250000</v>
      </c>
      <c r="AE21" s="38">
        <f>AC21/AD21</f>
        <v>136.243118095238</v>
      </c>
      <c r="AF21" s="20">
        <f>AF11</f>
        <v>2091326719</v>
      </c>
      <c r="AG21" s="20">
        <f>AG3</f>
        <v>12496944</v>
      </c>
      <c r="AH21" s="38">
        <f>AF21/AG21</f>
        <v>167.347050526913</v>
      </c>
      <c r="AI21" s="20">
        <f>AI11</f>
        <v>1717445665</v>
      </c>
      <c r="AJ21" s="20">
        <f>AJ3</f>
        <v>12171000</v>
      </c>
      <c r="AK21" s="38">
        <f>AI21/AJ21</f>
        <v>141.109659436365</v>
      </c>
      <c r="AL21" s="20">
        <f>AL11</f>
        <v>1717445665</v>
      </c>
      <c r="AM21" s="20">
        <f>AM3</f>
        <v>8343384</v>
      </c>
      <c r="AN21" s="38">
        <f>AL21/AM21</f>
        <v>205.845214004294</v>
      </c>
      <c r="AO21" s="20">
        <f>AO11</f>
        <v>695660168</v>
      </c>
      <c r="AP21" s="20">
        <f>AP3</f>
        <v>5696985</v>
      </c>
      <c r="AQ21" s="38">
        <f>AO21/AP21</f>
        <v>122.110233395384</v>
      </c>
      <c r="AR21" s="20">
        <f>AR11</f>
        <v>483301940</v>
      </c>
      <c r="AS21" s="20">
        <f>AS3</f>
        <v>5574560</v>
      </c>
      <c r="AT21" s="38">
        <f>AR21/AS21</f>
        <v>86.6977734565598</v>
      </c>
      <c r="AU21" s="20">
        <f>AU11</f>
        <v>483301940</v>
      </c>
      <c r="AV21" s="20">
        <f>AV3</f>
        <v>2624676</v>
      </c>
      <c r="AW21" s="38">
        <f>AU21/AV21</f>
        <v>184.137752621657</v>
      </c>
      <c r="AX21" s="20">
        <f>AX11</f>
        <v>483301940</v>
      </c>
      <c r="AY21" s="20">
        <f>AY3</f>
        <v>5028300</v>
      </c>
      <c r="AZ21" s="38">
        <f>AX21/AY21</f>
        <v>96.1163693494819</v>
      </c>
    </row>
    <row r="22" ht="5.5" hidden="1" customHeight="1" spans="1:52">
      <c r="A22" s="2"/>
      <c r="B22" s="2"/>
      <c r="C22" s="6" t="s">
        <v>163</v>
      </c>
      <c r="D22" s="2"/>
      <c r="E22" s="20"/>
      <c r="F22" s="20"/>
      <c r="G22" s="38"/>
      <c r="H22" s="20"/>
      <c r="I22" s="20"/>
      <c r="J22" s="38"/>
      <c r="K22" s="20"/>
      <c r="L22" s="20"/>
      <c r="M22" s="38"/>
      <c r="N22" s="20"/>
      <c r="O22" s="20"/>
      <c r="P22" s="38"/>
      <c r="Q22" s="20"/>
      <c r="R22" s="20"/>
      <c r="S22" s="38"/>
      <c r="T22" s="20"/>
      <c r="U22" s="20"/>
      <c r="V22" s="38"/>
      <c r="W22" s="20"/>
      <c r="X22" s="20"/>
      <c r="Y22" s="38"/>
      <c r="Z22" s="20"/>
      <c r="AA22" s="20"/>
      <c r="AB22" s="38"/>
      <c r="AC22" s="20"/>
      <c r="AD22" s="20"/>
      <c r="AE22" s="38"/>
      <c r="AF22" s="20"/>
      <c r="AG22" s="20"/>
      <c r="AH22" s="38"/>
      <c r="AI22" s="20"/>
      <c r="AJ22" s="20"/>
      <c r="AK22" s="38"/>
      <c r="AL22" s="20"/>
      <c r="AM22" s="20"/>
      <c r="AN22" s="38"/>
      <c r="AO22" s="20"/>
      <c r="AP22" s="20"/>
      <c r="AQ22" s="38"/>
      <c r="AR22" s="20"/>
      <c r="AS22" s="20"/>
      <c r="AT22" s="38"/>
      <c r="AU22" s="20"/>
      <c r="AV22" s="20"/>
      <c r="AW22" s="38"/>
      <c r="AX22" s="20"/>
      <c r="AY22" s="20"/>
      <c r="AZ22" s="38"/>
    </row>
    <row r="23" hidden="1" spans="1:52">
      <c r="A23" s="2"/>
      <c r="B23" s="2"/>
      <c r="C23" s="6"/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0"/>
      <c r="AM23" s="20"/>
      <c r="AN23" s="38"/>
      <c r="AO23" s="20"/>
      <c r="AP23" s="20"/>
      <c r="AQ23" s="38"/>
      <c r="AR23" s="315" t="s">
        <v>291</v>
      </c>
      <c r="AS23" s="20"/>
      <c r="AT23" s="38"/>
      <c r="AU23" s="315" t="s">
        <v>294</v>
      </c>
      <c r="AV23" s="20"/>
      <c r="AW23" s="38"/>
      <c r="AX23" s="315" t="s">
        <v>294</v>
      </c>
      <c r="AY23" s="20"/>
      <c r="AZ23" s="38"/>
    </row>
    <row r="24" spans="1:52">
      <c r="A24" s="2">
        <v>9</v>
      </c>
      <c r="B24" s="2" t="s">
        <v>182</v>
      </c>
      <c r="C24" s="37" t="s">
        <v>183</v>
      </c>
      <c r="D24" s="50" t="s">
        <v>236</v>
      </c>
      <c r="E24" s="20">
        <f>E6</f>
        <v>457</v>
      </c>
      <c r="F24" s="42">
        <f>G21</f>
        <v>169.952708538091</v>
      </c>
      <c r="G24" s="96">
        <f>E24/F24</f>
        <v>2.68898332913343</v>
      </c>
      <c r="H24" s="20">
        <f>H6</f>
        <v>431</v>
      </c>
      <c r="I24" s="42">
        <f>J21</f>
        <v>164.174229026642</v>
      </c>
      <c r="J24" s="96">
        <f>H24/I24</f>
        <v>2.62525977770883</v>
      </c>
      <c r="K24" s="20">
        <f>K6</f>
        <v>431</v>
      </c>
      <c r="L24" s="42">
        <f>M21</f>
        <v>151.420001318374</v>
      </c>
      <c r="M24" s="96">
        <f>K24/L24</f>
        <v>2.84638750658695</v>
      </c>
      <c r="N24" s="20">
        <f>N6</f>
        <v>538</v>
      </c>
      <c r="O24" s="42">
        <f>P21</f>
        <v>192.731113119568</v>
      </c>
      <c r="P24" s="96">
        <f>N24/O24</f>
        <v>2.79145380987984</v>
      </c>
      <c r="Q24" s="20">
        <f>Q6</f>
        <v>523</v>
      </c>
      <c r="R24" s="42">
        <f>S21</f>
        <v>168.128018570794</v>
      </c>
      <c r="S24" s="38">
        <f>Q24/R24</f>
        <v>3.1107248181824</v>
      </c>
      <c r="T24" s="20">
        <f>T6</f>
        <v>398</v>
      </c>
      <c r="U24" s="42">
        <f>V21</f>
        <v>166.035428019186</v>
      </c>
      <c r="V24" s="96">
        <f>T24/U24</f>
        <v>2.39707877257382</v>
      </c>
      <c r="W24" s="20">
        <f>W6</f>
        <v>443</v>
      </c>
      <c r="X24" s="42">
        <f>Y21</f>
        <v>156.71291074486</v>
      </c>
      <c r="Y24" s="96">
        <f>W24/X24</f>
        <v>2.82682516644232</v>
      </c>
      <c r="Z24" s="20">
        <f>Z6</f>
        <v>338</v>
      </c>
      <c r="AA24" s="42">
        <f>AB21</f>
        <v>148.84235937975</v>
      </c>
      <c r="AB24" s="38">
        <f>Z24/AA24</f>
        <v>2.27085892355174</v>
      </c>
      <c r="AC24" s="20">
        <f>AC6</f>
        <v>1922</v>
      </c>
      <c r="AD24" s="42">
        <f>AE21</f>
        <v>136.243118095238</v>
      </c>
      <c r="AE24" s="38">
        <f>AC24/AD24</f>
        <v>14.1071345611487</v>
      </c>
      <c r="AF24" s="20">
        <f>AF6</f>
        <v>629</v>
      </c>
      <c r="AG24" s="42">
        <f>AH21</f>
        <v>167.347050526913</v>
      </c>
      <c r="AH24" s="38">
        <f>AF24/AG24</f>
        <v>3.75865602661963</v>
      </c>
      <c r="AI24" s="20">
        <f>AI6</f>
        <v>623</v>
      </c>
      <c r="AJ24" s="42">
        <f>AK21</f>
        <v>141.109659436365</v>
      </c>
      <c r="AK24" s="38">
        <f>AI24/AJ24</f>
        <v>4.41500604911422</v>
      </c>
      <c r="AL24" s="20">
        <f>AL6</f>
        <v>838</v>
      </c>
      <c r="AM24" s="42">
        <f>AN21</f>
        <v>205.845214004294</v>
      </c>
      <c r="AN24" s="38">
        <f>AL24/AM24</f>
        <v>4.07102008202396</v>
      </c>
      <c r="AO24" s="20">
        <f>AO6</f>
        <v>1158</v>
      </c>
      <c r="AP24" s="42">
        <f>AQ21</f>
        <v>122.110233395384</v>
      </c>
      <c r="AQ24" s="38">
        <f>AO24/AP24</f>
        <v>9.48323467903369</v>
      </c>
      <c r="AR24" s="20">
        <f>AR6</f>
        <v>760</v>
      </c>
      <c r="AS24" s="42">
        <f>AT21</f>
        <v>86.6977734565598</v>
      </c>
      <c r="AT24" s="38">
        <f>AR24/AS24</f>
        <v>8.76608440677892</v>
      </c>
      <c r="AU24" s="20">
        <f>AU6</f>
        <v>1554</v>
      </c>
      <c r="AV24" s="42">
        <f>AW21</f>
        <v>184.137752621657</v>
      </c>
      <c r="AW24" s="38">
        <f>AU24/AV24</f>
        <v>8.43933401963998</v>
      </c>
      <c r="AX24" s="20">
        <f>AX6</f>
        <v>810</v>
      </c>
      <c r="AY24" s="42">
        <f>AZ21</f>
        <v>96.1163693494819</v>
      </c>
      <c r="AZ24" s="38">
        <f>AX24/AY24</f>
        <v>8.4272846080444</v>
      </c>
    </row>
    <row r="25" ht="5.5" customHeight="1" spans="1:52">
      <c r="A25" s="2"/>
      <c r="B25" s="2"/>
      <c r="C25" s="2" t="s">
        <v>185</v>
      </c>
      <c r="D25" s="2"/>
      <c r="E25" s="20"/>
      <c r="F25" s="42"/>
      <c r="G25" s="96"/>
      <c r="H25" s="20"/>
      <c r="I25" s="42"/>
      <c r="J25" s="96"/>
      <c r="K25" s="20"/>
      <c r="L25" s="42"/>
      <c r="M25" s="96"/>
      <c r="N25" s="20"/>
      <c r="O25" s="42"/>
      <c r="P25" s="96"/>
      <c r="Q25" s="20"/>
      <c r="R25" s="42"/>
      <c r="S25" s="38"/>
      <c r="T25" s="20"/>
      <c r="U25" s="42"/>
      <c r="V25" s="96"/>
      <c r="W25" s="20"/>
      <c r="X25" s="42"/>
      <c r="Y25" s="96"/>
      <c r="Z25" s="20"/>
      <c r="AA25" s="42"/>
      <c r="AB25" s="38"/>
      <c r="AC25" s="20"/>
      <c r="AD25" s="42"/>
      <c r="AE25" s="38"/>
      <c r="AF25" s="20"/>
      <c r="AG25" s="42"/>
      <c r="AH25" s="38"/>
      <c r="AI25" s="20"/>
      <c r="AJ25" s="42"/>
      <c r="AK25" s="38"/>
      <c r="AL25" s="20"/>
      <c r="AM25" s="42"/>
      <c r="AN25" s="38"/>
      <c r="AO25" s="20"/>
      <c r="AP25" s="42"/>
      <c r="AQ25" s="38"/>
      <c r="AR25" s="20"/>
      <c r="AS25" s="42"/>
      <c r="AT25" s="38"/>
      <c r="AU25" s="20"/>
      <c r="AV25" s="42"/>
      <c r="AW25" s="38"/>
      <c r="AX25" s="20"/>
      <c r="AY25" s="42"/>
      <c r="AZ25" s="38"/>
    </row>
    <row r="26" hidden="1" spans="1:52">
      <c r="A26" s="2"/>
      <c r="B26" s="2"/>
      <c r="C26" s="2"/>
      <c r="D26" s="2"/>
      <c r="E26" s="20"/>
      <c r="F26" s="2"/>
      <c r="G26" s="85"/>
      <c r="H26" s="20"/>
      <c r="I26" s="2"/>
      <c r="J26" s="85"/>
      <c r="K26" s="20"/>
      <c r="L26" s="2"/>
      <c r="M26" s="85"/>
      <c r="N26" s="20"/>
      <c r="O26" s="2"/>
      <c r="P26" s="85"/>
      <c r="Q26" s="20"/>
      <c r="R26" s="2"/>
      <c r="S26" s="85"/>
      <c r="T26" s="20"/>
      <c r="U26" s="2"/>
      <c r="V26" s="85"/>
      <c r="W26" s="20"/>
      <c r="X26" s="2"/>
      <c r="Y26" s="85"/>
      <c r="Z26" s="20"/>
      <c r="AA26" s="2"/>
      <c r="AB26" s="85"/>
      <c r="AC26" s="20"/>
      <c r="AD26" s="2"/>
      <c r="AE26" s="85"/>
      <c r="AF26" s="20"/>
      <c r="AG26" s="2"/>
      <c r="AH26" s="85"/>
      <c r="AI26" s="20"/>
      <c r="AJ26" s="2"/>
      <c r="AK26" s="85"/>
      <c r="AL26" s="20"/>
      <c r="AM26" s="2"/>
      <c r="AN26" s="85"/>
      <c r="AO26" s="20"/>
      <c r="AP26" s="2"/>
      <c r="AQ26" s="85"/>
      <c r="AR26" s="20"/>
      <c r="AS26" s="2"/>
      <c r="AT26" s="85"/>
      <c r="AU26" s="20"/>
      <c r="AV26" s="2"/>
      <c r="AW26" s="85"/>
      <c r="AX26" s="20"/>
      <c r="AY26" s="2"/>
      <c r="AZ26" s="85"/>
    </row>
    <row r="27" spans="1:52">
      <c r="A27" s="2">
        <v>10</v>
      </c>
      <c r="B27" s="2" t="s">
        <v>186</v>
      </c>
      <c r="C27" s="37" t="s">
        <v>187</v>
      </c>
      <c r="D27" s="41" t="s">
        <v>237</v>
      </c>
      <c r="E27" s="42">
        <v>0</v>
      </c>
      <c r="F27" s="20">
        <f>E6</f>
        <v>457</v>
      </c>
      <c r="G27" s="96">
        <f>(E27/F27)*100</f>
        <v>0</v>
      </c>
      <c r="H27" s="42">
        <v>5</v>
      </c>
      <c r="I27" s="20">
        <f>H6</f>
        <v>431</v>
      </c>
      <c r="J27" s="96">
        <f>(H27/I27)*100</f>
        <v>1.16009280742459</v>
      </c>
      <c r="K27" s="42">
        <v>8</v>
      </c>
      <c r="L27" s="20">
        <f>K6</f>
        <v>431</v>
      </c>
      <c r="M27" s="96">
        <f>(K27/L27)*100</f>
        <v>1.85614849187935</v>
      </c>
      <c r="N27" s="42">
        <v>7</v>
      </c>
      <c r="O27" s="20">
        <f>N6</f>
        <v>538</v>
      </c>
      <c r="P27" s="96">
        <f>(N27/O27)*100</f>
        <v>1.30111524163569</v>
      </c>
      <c r="Q27" s="42">
        <v>12</v>
      </c>
      <c r="R27" s="20">
        <f>Q6</f>
        <v>523</v>
      </c>
      <c r="S27" s="96">
        <f>(Q27/R27)*100</f>
        <v>2.29445506692161</v>
      </c>
      <c r="T27" s="42">
        <v>7</v>
      </c>
      <c r="U27" s="20">
        <f>T6</f>
        <v>398</v>
      </c>
      <c r="V27" s="96">
        <f>(T27/U27)*100</f>
        <v>1.75879396984925</v>
      </c>
      <c r="W27" s="42">
        <v>3.84</v>
      </c>
      <c r="X27" s="20">
        <f>W6</f>
        <v>443</v>
      </c>
      <c r="Y27" s="38">
        <f>(W27/X27)*100</f>
        <v>0.866817155756208</v>
      </c>
      <c r="Z27" s="232">
        <v>0</v>
      </c>
      <c r="AA27" s="231">
        <f>Z6</f>
        <v>338</v>
      </c>
      <c r="AB27" s="38">
        <f>(Z27/AA27)*100</f>
        <v>0</v>
      </c>
      <c r="AC27" s="232">
        <v>0</v>
      </c>
      <c r="AD27" s="231">
        <f>AC6</f>
        <v>1922</v>
      </c>
      <c r="AE27" s="38">
        <f>(AC27/AD27)*100</f>
        <v>0</v>
      </c>
      <c r="AF27" s="232">
        <v>0</v>
      </c>
      <c r="AG27" s="231">
        <f>AF6</f>
        <v>629</v>
      </c>
      <c r="AH27" s="38">
        <f>(AF27/AG27)*100</f>
        <v>0</v>
      </c>
      <c r="AI27" s="42">
        <v>10</v>
      </c>
      <c r="AJ27" s="20">
        <f>AI6</f>
        <v>623</v>
      </c>
      <c r="AK27" s="96">
        <f>(AI27/AJ27)*100</f>
        <v>1.60513643659711</v>
      </c>
      <c r="AL27" s="42">
        <v>0</v>
      </c>
      <c r="AM27" s="20">
        <f>AL6</f>
        <v>838</v>
      </c>
      <c r="AN27" s="38">
        <f>(AL27/AM27)*100</f>
        <v>0</v>
      </c>
      <c r="AO27" s="42">
        <v>6.05</v>
      </c>
      <c r="AP27" s="20">
        <f>AO6</f>
        <v>1158</v>
      </c>
      <c r="AQ27" s="38">
        <f>(AO27/AP27)*100</f>
        <v>0.522452504317789</v>
      </c>
      <c r="AR27" s="42">
        <v>0</v>
      </c>
      <c r="AS27" s="20">
        <f>AR6</f>
        <v>760</v>
      </c>
      <c r="AT27" s="38">
        <f>(AR27/AS27)*100</f>
        <v>0</v>
      </c>
      <c r="AU27" s="42">
        <v>0</v>
      </c>
      <c r="AV27" s="20">
        <f>AU6</f>
        <v>1554</v>
      </c>
      <c r="AW27" s="38">
        <f>(AU27/AV27)*100</f>
        <v>0</v>
      </c>
      <c r="AX27" s="42">
        <v>0</v>
      </c>
      <c r="AY27" s="20">
        <f>AX6</f>
        <v>810</v>
      </c>
      <c r="AZ27" s="38">
        <f>(AX27/AY27)*100</f>
        <v>0</v>
      </c>
    </row>
    <row r="28" ht="2" customHeight="1" spans="1:52">
      <c r="A28" s="2"/>
      <c r="B28" s="2"/>
      <c r="C28" s="2" t="s">
        <v>189</v>
      </c>
      <c r="D28" s="41"/>
      <c r="E28" s="42"/>
      <c r="F28" s="20"/>
      <c r="G28" s="96"/>
      <c r="H28" s="42"/>
      <c r="I28" s="20"/>
      <c r="J28" s="96"/>
      <c r="K28" s="42"/>
      <c r="L28" s="20"/>
      <c r="M28" s="96"/>
      <c r="N28" s="42"/>
      <c r="O28" s="20"/>
      <c r="P28" s="96"/>
      <c r="Q28" s="42"/>
      <c r="R28" s="20"/>
      <c r="S28" s="96"/>
      <c r="T28" s="42"/>
      <c r="U28" s="20"/>
      <c r="V28" s="96"/>
      <c r="W28" s="42"/>
      <c r="X28" s="20"/>
      <c r="Y28" s="38"/>
      <c r="Z28" s="232"/>
      <c r="AA28" s="231"/>
      <c r="AB28" s="38"/>
      <c r="AC28" s="232"/>
      <c r="AD28" s="231"/>
      <c r="AE28" s="38"/>
      <c r="AF28" s="232"/>
      <c r="AG28" s="231"/>
      <c r="AH28" s="38"/>
      <c r="AI28" s="42"/>
      <c r="AJ28" s="20"/>
      <c r="AK28" s="96"/>
      <c r="AL28" s="42"/>
      <c r="AM28" s="20"/>
      <c r="AN28" s="38"/>
      <c r="AO28" s="42"/>
      <c r="AP28" s="20"/>
      <c r="AQ28" s="38"/>
      <c r="AR28" s="42"/>
      <c r="AS28" s="20"/>
      <c r="AT28" s="38"/>
      <c r="AU28" s="42"/>
      <c r="AV28" s="20"/>
      <c r="AW28" s="38"/>
      <c r="AX28" s="42"/>
      <c r="AY28" s="20"/>
      <c r="AZ28" s="38"/>
    </row>
    <row r="29" hidden="1" spans="1:52">
      <c r="A29" s="2"/>
      <c r="B29" s="2"/>
      <c r="C29" s="2"/>
      <c r="D29" s="41"/>
      <c r="E29" s="86"/>
      <c r="F29" s="20"/>
      <c r="G29" s="38"/>
      <c r="H29" s="86"/>
      <c r="I29" s="20"/>
      <c r="J29" s="38"/>
      <c r="K29" s="86"/>
      <c r="L29" s="20"/>
      <c r="M29" s="38"/>
      <c r="N29" s="86"/>
      <c r="O29" s="20"/>
      <c r="P29" s="38"/>
      <c r="Q29" s="86"/>
      <c r="R29" s="20"/>
      <c r="S29" s="38"/>
      <c r="T29" s="86"/>
      <c r="U29" s="20"/>
      <c r="V29" s="38"/>
      <c r="W29" s="86"/>
      <c r="X29" s="20"/>
      <c r="Y29" s="38"/>
      <c r="Z29" s="316" t="s">
        <v>296</v>
      </c>
      <c r="AA29" s="231"/>
      <c r="AB29" s="38"/>
      <c r="AC29" s="316" t="s">
        <v>296</v>
      </c>
      <c r="AD29" s="231"/>
      <c r="AE29" s="38"/>
      <c r="AF29" s="316" t="s">
        <v>296</v>
      </c>
      <c r="AG29" s="231"/>
      <c r="AH29" s="38"/>
      <c r="AI29" s="86"/>
      <c r="AJ29" s="20"/>
      <c r="AK29" s="38"/>
      <c r="AL29" s="86"/>
      <c r="AM29" s="20"/>
      <c r="AN29" s="38"/>
      <c r="AO29" s="86"/>
      <c r="AP29" s="20"/>
      <c r="AQ29" s="38"/>
      <c r="AR29" s="86"/>
      <c r="AS29" s="20"/>
      <c r="AT29" s="38"/>
      <c r="AU29" s="86"/>
      <c r="AV29" s="20"/>
      <c r="AW29" s="38"/>
      <c r="AX29" s="86"/>
      <c r="AY29" s="20"/>
      <c r="AZ29" s="38"/>
    </row>
    <row r="30" ht="19.5" hidden="1" customHeight="1" spans="1:52">
      <c r="A30" s="2">
        <v>11</v>
      </c>
      <c r="B30" s="2" t="s">
        <v>192</v>
      </c>
      <c r="C30" s="41" t="s">
        <v>193</v>
      </c>
      <c r="D30" s="2" t="s">
        <v>194</v>
      </c>
      <c r="E30" s="2">
        <v>12.99</v>
      </c>
      <c r="F30" s="42">
        <v>11.69</v>
      </c>
      <c r="G30" s="232">
        <f>E30</f>
        <v>12.99</v>
      </c>
      <c r="H30" s="2">
        <v>13.47</v>
      </c>
      <c r="I30" s="42">
        <v>13.29</v>
      </c>
      <c r="J30" s="232">
        <f>H30</f>
        <v>13.47</v>
      </c>
      <c r="K30" s="2">
        <v>12.58</v>
      </c>
      <c r="L30" s="42">
        <v>12.64</v>
      </c>
      <c r="M30" s="232">
        <f>K30</f>
        <v>12.58</v>
      </c>
      <c r="N30" s="2">
        <v>13.5</v>
      </c>
      <c r="O30" s="42">
        <v>13.4</v>
      </c>
      <c r="P30" s="232">
        <f>N30</f>
        <v>13.5</v>
      </c>
      <c r="Q30" s="2">
        <v>13.2</v>
      </c>
      <c r="R30" s="42">
        <v>12.5</v>
      </c>
      <c r="S30" s="232">
        <f>Q30</f>
        <v>13.2</v>
      </c>
      <c r="T30" s="2">
        <v>17.49</v>
      </c>
      <c r="U30" s="42">
        <v>14.93</v>
      </c>
      <c r="V30" s="232">
        <f>T30</f>
        <v>17.49</v>
      </c>
      <c r="W30" s="2">
        <v>11.03</v>
      </c>
      <c r="X30" s="42">
        <v>10.14</v>
      </c>
      <c r="Y30" s="232">
        <f>W30</f>
        <v>11.03</v>
      </c>
      <c r="Z30" s="80">
        <v>13.61</v>
      </c>
      <c r="AA30" s="232">
        <v>12.39</v>
      </c>
      <c r="AB30" s="232">
        <f>Z30</f>
        <v>13.61</v>
      </c>
      <c r="AC30" s="80">
        <v>28.54</v>
      </c>
      <c r="AD30" s="232">
        <v>37.1</v>
      </c>
      <c r="AE30" s="232">
        <f>AC30</f>
        <v>28.54</v>
      </c>
      <c r="AF30" s="80">
        <v>12.84</v>
      </c>
      <c r="AG30" s="232">
        <v>12.73</v>
      </c>
      <c r="AH30" s="232">
        <f>AF30</f>
        <v>12.84</v>
      </c>
      <c r="AI30" s="2">
        <v>31.54</v>
      </c>
      <c r="AJ30" s="42">
        <v>37.83</v>
      </c>
      <c r="AK30" s="232">
        <f>AI30</f>
        <v>31.54</v>
      </c>
      <c r="AL30" s="2">
        <v>31.54</v>
      </c>
      <c r="AM30" s="42">
        <v>37.83</v>
      </c>
      <c r="AN30" s="232">
        <f>AL30</f>
        <v>31.54</v>
      </c>
      <c r="AO30" s="2">
        <v>14.77</v>
      </c>
      <c r="AP30" s="42">
        <v>14.26</v>
      </c>
      <c r="AQ30" s="232">
        <f>AO30</f>
        <v>14.77</v>
      </c>
      <c r="AR30" s="2">
        <v>12.8</v>
      </c>
      <c r="AS30" s="42">
        <v>6.73</v>
      </c>
      <c r="AT30" s="232">
        <f>AR30</f>
        <v>12.8</v>
      </c>
      <c r="AU30" s="2">
        <v>12.8</v>
      </c>
      <c r="AV30" s="42">
        <v>6.73</v>
      </c>
      <c r="AW30" s="232">
        <f>AU30</f>
        <v>12.8</v>
      </c>
      <c r="AX30" s="2">
        <v>12.8</v>
      </c>
      <c r="AY30" s="42">
        <v>6.73</v>
      </c>
      <c r="AZ30" s="232">
        <f>AX30</f>
        <v>12.8</v>
      </c>
    </row>
    <row r="31" hidden="1" spans="1:52">
      <c r="A31" s="2"/>
      <c r="B31" s="2"/>
      <c r="D31" s="41"/>
      <c r="E31" s="42"/>
      <c r="F31" s="20"/>
      <c r="G31" s="38"/>
      <c r="H31" s="42"/>
      <c r="I31" s="20"/>
      <c r="J31" s="38"/>
      <c r="K31" s="42"/>
      <c r="L31" s="20"/>
      <c r="M31" s="38"/>
      <c r="N31" s="42"/>
      <c r="O31" s="20"/>
      <c r="P31" s="38"/>
      <c r="Q31" s="42"/>
      <c r="R31" s="20"/>
      <c r="S31" s="38"/>
      <c r="T31" s="42"/>
      <c r="U31" s="20"/>
      <c r="V31" s="38"/>
      <c r="W31" s="42"/>
      <c r="X31" s="20"/>
      <c r="Y31" s="38"/>
      <c r="Z31" s="232"/>
      <c r="AA31" s="231"/>
      <c r="AB31" s="38"/>
      <c r="AC31" s="232"/>
      <c r="AD31" s="231"/>
      <c r="AE31" s="38"/>
      <c r="AF31" s="232"/>
      <c r="AG31" s="231"/>
      <c r="AH31" s="38"/>
      <c r="AI31" s="42"/>
      <c r="AJ31" s="20"/>
      <c r="AK31" s="38"/>
      <c r="AL31" s="42"/>
      <c r="AM31" s="20"/>
      <c r="AN31" s="38"/>
      <c r="AO31" s="42"/>
      <c r="AP31" s="20"/>
      <c r="AQ31" s="38"/>
      <c r="AR31" s="42"/>
      <c r="AS31" s="20"/>
      <c r="AT31" s="38"/>
      <c r="AU31" s="42"/>
      <c r="AV31" s="20"/>
      <c r="AW31" s="38"/>
      <c r="AX31" s="42"/>
      <c r="AY31" s="20"/>
      <c r="AZ31" s="38"/>
    </row>
    <row r="32" ht="15.5" customHeight="1" spans="1:52">
      <c r="A32" s="2">
        <v>12</v>
      </c>
      <c r="B32" s="23" t="s">
        <v>196</v>
      </c>
      <c r="C32" s="2" t="s">
        <v>197</v>
      </c>
      <c r="D32" s="2" t="s">
        <v>198</v>
      </c>
      <c r="E32" s="42">
        <v>2.75</v>
      </c>
      <c r="F32" s="42">
        <v>2.37</v>
      </c>
      <c r="G32" s="317">
        <f>E32</f>
        <v>2.75</v>
      </c>
      <c r="H32" s="318">
        <v>4.72</v>
      </c>
      <c r="I32" s="318">
        <v>4.85</v>
      </c>
      <c r="J32" s="317">
        <f>H32</f>
        <v>4.72</v>
      </c>
      <c r="K32" s="318">
        <v>4.24</v>
      </c>
      <c r="L32" s="318">
        <v>3.43</v>
      </c>
      <c r="M32" s="317">
        <f>K32</f>
        <v>4.24</v>
      </c>
      <c r="N32" s="318">
        <v>4.55</v>
      </c>
      <c r="O32" s="318">
        <v>3.29</v>
      </c>
      <c r="P32" s="317">
        <f>N32</f>
        <v>4.55</v>
      </c>
      <c r="Q32" s="318">
        <v>3.38</v>
      </c>
      <c r="R32" s="318">
        <v>3.36</v>
      </c>
      <c r="S32" s="317">
        <f>Q32</f>
        <v>3.38</v>
      </c>
      <c r="T32" s="318">
        <v>4.86</v>
      </c>
      <c r="U32" s="318">
        <v>4.07</v>
      </c>
      <c r="V32" s="317">
        <f>T32</f>
        <v>4.86</v>
      </c>
      <c r="W32" s="42">
        <v>5.64</v>
      </c>
      <c r="X32" s="42">
        <v>3.93</v>
      </c>
      <c r="Y32" s="38">
        <f>W32</f>
        <v>5.64</v>
      </c>
      <c r="Z32" s="232">
        <v>7.98</v>
      </c>
      <c r="AA32" s="232">
        <v>5.29</v>
      </c>
      <c r="AB32" s="38">
        <f>Z32</f>
        <v>7.98</v>
      </c>
      <c r="AC32" s="232">
        <v>12.36</v>
      </c>
      <c r="AD32" s="232">
        <v>11.56</v>
      </c>
      <c r="AE32" s="38">
        <f>AC32</f>
        <v>12.36</v>
      </c>
      <c r="AF32" s="232">
        <v>6.71</v>
      </c>
      <c r="AG32" s="232">
        <v>6.16</v>
      </c>
      <c r="AH32" s="38">
        <f>AF32</f>
        <v>6.71</v>
      </c>
      <c r="AI32" s="42">
        <v>0.28</v>
      </c>
      <c r="AJ32" s="42">
        <v>0.81</v>
      </c>
      <c r="AK32" s="317">
        <f>AI32</f>
        <v>0.28</v>
      </c>
      <c r="AL32" s="318">
        <v>0.28</v>
      </c>
      <c r="AM32" s="318">
        <v>0.81</v>
      </c>
      <c r="AN32" s="317">
        <f>AL32</f>
        <v>0.28</v>
      </c>
      <c r="AO32" s="318">
        <v>3.33</v>
      </c>
      <c r="AP32" s="318">
        <v>3.18</v>
      </c>
      <c r="AQ32" s="317">
        <f>AO32</f>
        <v>3.33</v>
      </c>
      <c r="AR32" s="42">
        <v>6.03</v>
      </c>
      <c r="AS32" s="42">
        <v>10.63</v>
      </c>
      <c r="AT32" s="38">
        <f>AR32</f>
        <v>6.03</v>
      </c>
      <c r="AU32" s="42">
        <v>6.03</v>
      </c>
      <c r="AV32" s="42">
        <v>10.63</v>
      </c>
      <c r="AW32" s="38">
        <f>AU32</f>
        <v>6.03</v>
      </c>
      <c r="AX32" s="42">
        <v>6.03</v>
      </c>
      <c r="AY32" s="42">
        <v>10.63</v>
      </c>
      <c r="AZ32" s="38">
        <f>AX32</f>
        <v>6.03</v>
      </c>
    </row>
    <row r="33" hidden="1" spans="1:52">
      <c r="A33" s="2"/>
      <c r="B33" s="23"/>
      <c r="C33" s="2"/>
      <c r="D33" s="2"/>
      <c r="E33" s="82"/>
      <c r="F33" s="82"/>
      <c r="G33" s="38"/>
      <c r="H33" s="82"/>
      <c r="I33" s="82"/>
      <c r="J33" s="38"/>
      <c r="K33" s="82"/>
      <c r="L33" s="82"/>
      <c r="M33" s="38"/>
      <c r="N33" s="82"/>
      <c r="O33" s="82"/>
      <c r="P33" s="38"/>
      <c r="Q33" s="82"/>
      <c r="R33" s="82"/>
      <c r="S33" s="38"/>
      <c r="T33" s="82"/>
      <c r="U33" s="82"/>
      <c r="V33" s="38"/>
      <c r="W33" s="82"/>
      <c r="X33" s="82"/>
      <c r="Y33" s="38"/>
      <c r="Z33" s="82"/>
      <c r="AA33" s="82"/>
      <c r="AB33" s="38"/>
      <c r="AC33" s="82"/>
      <c r="AD33" s="82"/>
      <c r="AE33" s="38"/>
      <c r="AF33" s="82"/>
      <c r="AG33" s="82"/>
      <c r="AH33" s="38"/>
      <c r="AI33" s="82"/>
      <c r="AJ33" s="82"/>
      <c r="AK33" s="38"/>
      <c r="AL33" s="82"/>
      <c r="AM33" s="82"/>
      <c r="AN33" s="38"/>
      <c r="AO33" s="82"/>
      <c r="AP33" s="82"/>
      <c r="AQ33" s="38"/>
      <c r="AR33" s="82"/>
      <c r="AS33" s="82"/>
      <c r="AT33" s="38"/>
      <c r="AU33" s="82"/>
      <c r="AV33" s="82"/>
      <c r="AW33" s="38"/>
      <c r="AX33" s="82"/>
      <c r="AY33" s="82"/>
      <c r="AZ33" s="38"/>
    </row>
    <row r="34" customHeight="1" spans="1:52">
      <c r="A34" s="2">
        <v>13</v>
      </c>
      <c r="B34" s="23" t="s">
        <v>199</v>
      </c>
      <c r="C34" s="41" t="s">
        <v>200</v>
      </c>
      <c r="D34" s="2" t="s">
        <v>201</v>
      </c>
      <c r="E34" s="42">
        <v>85.72</v>
      </c>
      <c r="F34" s="42">
        <v>85.09</v>
      </c>
      <c r="G34" s="96">
        <f>E34</f>
        <v>85.72</v>
      </c>
      <c r="H34" s="42">
        <v>85.13</v>
      </c>
      <c r="I34" s="42">
        <v>82.72</v>
      </c>
      <c r="J34" s="96">
        <f>H34</f>
        <v>85.13</v>
      </c>
      <c r="K34" s="42">
        <v>82.6</v>
      </c>
      <c r="L34" s="42">
        <v>82.05</v>
      </c>
      <c r="M34" s="96">
        <f>K34</f>
        <v>82.6</v>
      </c>
      <c r="N34" s="42">
        <v>84.42</v>
      </c>
      <c r="O34" s="42">
        <v>80.63</v>
      </c>
      <c r="P34" s="96">
        <f>N34</f>
        <v>84.42</v>
      </c>
      <c r="Q34" s="42">
        <v>85.37</v>
      </c>
      <c r="R34" s="42">
        <v>83.28</v>
      </c>
      <c r="S34" s="96">
        <f>Q34</f>
        <v>85.37</v>
      </c>
      <c r="T34" s="42">
        <v>83.98</v>
      </c>
      <c r="U34" s="42">
        <v>82.67</v>
      </c>
      <c r="V34" s="96">
        <f>T34</f>
        <v>83.98</v>
      </c>
      <c r="W34" s="42">
        <v>83.07</v>
      </c>
      <c r="X34" s="42">
        <v>80.93</v>
      </c>
      <c r="Y34" s="96">
        <f>W34</f>
        <v>83.07</v>
      </c>
      <c r="Z34" s="42">
        <v>83.23</v>
      </c>
      <c r="AA34" s="42">
        <v>78.69</v>
      </c>
      <c r="AB34" s="38">
        <f>Z34</f>
        <v>83.23</v>
      </c>
      <c r="AC34" s="42">
        <v>63.04</v>
      </c>
      <c r="AD34" s="42">
        <v>71.98</v>
      </c>
      <c r="AE34" s="38">
        <f>AC34</f>
        <v>63.04</v>
      </c>
      <c r="AF34" s="42">
        <v>76.66</v>
      </c>
      <c r="AG34" s="42">
        <v>76.53</v>
      </c>
      <c r="AH34" s="38">
        <f>AF34</f>
        <v>76.66</v>
      </c>
      <c r="AI34" s="42">
        <v>89.62</v>
      </c>
      <c r="AJ34" s="42">
        <v>60.56</v>
      </c>
      <c r="AK34" s="96">
        <f>AI34</f>
        <v>89.62</v>
      </c>
      <c r="AL34" s="42">
        <v>89.62</v>
      </c>
      <c r="AM34" s="42">
        <v>60.56</v>
      </c>
      <c r="AN34" s="38">
        <f>AL34</f>
        <v>89.62</v>
      </c>
      <c r="AO34" s="42">
        <v>76.32</v>
      </c>
      <c r="AP34" s="42">
        <v>83</v>
      </c>
      <c r="AQ34" s="38">
        <f>AO34</f>
        <v>76.32</v>
      </c>
      <c r="AR34" s="42">
        <v>62.87</v>
      </c>
      <c r="AS34" s="42">
        <v>71.13</v>
      </c>
      <c r="AT34" s="38">
        <f>AR34</f>
        <v>62.87</v>
      </c>
      <c r="AU34" s="42">
        <v>62.87</v>
      </c>
      <c r="AV34" s="42">
        <v>71.13</v>
      </c>
      <c r="AW34" s="38">
        <f>AU34</f>
        <v>62.87</v>
      </c>
      <c r="AX34" s="42">
        <v>62.87</v>
      </c>
      <c r="AY34" s="42">
        <v>71.13</v>
      </c>
      <c r="AZ34" s="38">
        <f>AX34</f>
        <v>62.87</v>
      </c>
    </row>
    <row r="35" hidden="1" spans="1:52">
      <c r="A35" s="2"/>
      <c r="B35" s="2"/>
      <c r="C35" s="2"/>
      <c r="D35" s="41"/>
      <c r="E35" s="42"/>
      <c r="F35" s="20"/>
      <c r="G35" s="38"/>
      <c r="H35" s="42"/>
      <c r="I35" s="20"/>
      <c r="J35" s="38"/>
      <c r="K35" s="42"/>
      <c r="L35" s="20"/>
      <c r="M35" s="38"/>
      <c r="N35" s="42"/>
      <c r="O35" s="20"/>
      <c r="P35" s="38"/>
      <c r="Q35" s="42"/>
      <c r="R35" s="20"/>
      <c r="S35" s="38"/>
      <c r="T35" s="42"/>
      <c r="U35" s="20"/>
      <c r="V35" s="38"/>
      <c r="W35" s="42"/>
      <c r="X35" s="20"/>
      <c r="Y35" s="38"/>
      <c r="Z35" s="42"/>
      <c r="AA35" s="20"/>
      <c r="AB35" s="38"/>
      <c r="AC35" s="42"/>
      <c r="AD35" s="20"/>
      <c r="AE35" s="38"/>
      <c r="AF35" s="42"/>
      <c r="AG35" s="20"/>
      <c r="AH35" s="38"/>
      <c r="AI35" s="42"/>
      <c r="AJ35" s="20"/>
      <c r="AK35" s="38"/>
      <c r="AL35" s="42"/>
      <c r="AM35" s="20"/>
      <c r="AN35" s="38"/>
      <c r="AO35" s="42"/>
      <c r="AP35" s="20"/>
      <c r="AQ35" s="38"/>
      <c r="AR35" s="42"/>
      <c r="AS35" s="20"/>
      <c r="AT35" s="38"/>
      <c r="AU35" s="42"/>
      <c r="AV35" s="20"/>
      <c r="AW35" s="38"/>
      <c r="AX35" s="42"/>
      <c r="AY35" s="20"/>
      <c r="AZ35" s="38"/>
    </row>
    <row r="36" spans="1:52">
      <c r="A36" s="2">
        <v>14</v>
      </c>
      <c r="B36" s="2" t="s">
        <v>297</v>
      </c>
      <c r="C36" s="37" t="s">
        <v>298</v>
      </c>
      <c r="D36" s="2" t="s">
        <v>299</v>
      </c>
      <c r="E36" s="239"/>
      <c r="F36" s="239"/>
      <c r="G36" s="113">
        <v>0.2557</v>
      </c>
      <c r="H36" s="239"/>
      <c r="I36" s="239"/>
      <c r="J36" s="44">
        <v>0.1347</v>
      </c>
      <c r="K36" s="239"/>
      <c r="L36" s="239"/>
      <c r="M36" s="113">
        <v>0.2734</v>
      </c>
      <c r="N36" s="20"/>
      <c r="O36" s="20"/>
      <c r="P36" s="113">
        <v>0.2833</v>
      </c>
      <c r="Q36" s="239"/>
      <c r="R36" s="239"/>
      <c r="S36" s="44">
        <v>0.132</v>
      </c>
      <c r="T36" s="239"/>
      <c r="U36" s="239"/>
      <c r="V36" s="113">
        <v>0.2938</v>
      </c>
      <c r="W36" s="239"/>
      <c r="X36" s="239"/>
      <c r="Y36" s="44">
        <v>0.1441</v>
      </c>
      <c r="Z36" s="239"/>
      <c r="AA36" s="239"/>
      <c r="AB36" s="44">
        <v>0.2655</v>
      </c>
      <c r="AC36" s="239"/>
      <c r="AD36" s="239"/>
      <c r="AE36" s="44">
        <v>0.6219</v>
      </c>
      <c r="AF36" s="239"/>
      <c r="AG36" s="239"/>
      <c r="AH36" s="113">
        <v>0.3229</v>
      </c>
      <c r="AI36" s="20"/>
      <c r="AJ36" s="20"/>
      <c r="AK36" s="113">
        <v>0.3154</v>
      </c>
      <c r="AL36" s="20"/>
      <c r="AM36" s="20"/>
      <c r="AN36" s="113">
        <v>0.3154</v>
      </c>
      <c r="AO36" s="20"/>
      <c r="AP36" s="20"/>
      <c r="AQ36" s="113">
        <v>0.3333</v>
      </c>
      <c r="AR36" s="20"/>
      <c r="AS36" s="20"/>
      <c r="AT36" s="113">
        <v>0.4372</v>
      </c>
      <c r="AU36" s="239"/>
      <c r="AV36" s="239"/>
      <c r="AW36" s="44">
        <v>0.4372</v>
      </c>
      <c r="AX36" s="239"/>
      <c r="AY36" s="239"/>
      <c r="AZ36" s="44">
        <v>0.4372</v>
      </c>
    </row>
    <row r="37" ht="2" customHeight="1" spans="1:52">
      <c r="A37" s="2"/>
      <c r="B37" s="2"/>
      <c r="C37" s="6" t="s">
        <v>300</v>
      </c>
      <c r="D37" s="2"/>
      <c r="E37" s="239"/>
      <c r="F37" s="240"/>
      <c r="G37" s="113"/>
      <c r="H37" s="239"/>
      <c r="I37" s="239"/>
      <c r="J37" s="44"/>
      <c r="K37" s="239"/>
      <c r="L37" s="240"/>
      <c r="M37" s="113"/>
      <c r="N37" s="20"/>
      <c r="O37" s="2"/>
      <c r="P37" s="113"/>
      <c r="Q37" s="239"/>
      <c r="R37" s="240"/>
      <c r="S37" s="44"/>
      <c r="T37" s="239"/>
      <c r="U37" s="240"/>
      <c r="V37" s="113"/>
      <c r="W37" s="239"/>
      <c r="X37" s="240"/>
      <c r="Y37" s="44"/>
      <c r="Z37" s="239"/>
      <c r="AA37" s="240"/>
      <c r="AB37" s="44"/>
      <c r="AC37" s="239"/>
      <c r="AD37" s="240"/>
      <c r="AE37" s="44"/>
      <c r="AF37" s="239"/>
      <c r="AG37" s="240"/>
      <c r="AH37" s="113"/>
      <c r="AI37" s="20"/>
      <c r="AJ37" s="2"/>
      <c r="AK37" s="113"/>
      <c r="AL37" s="20"/>
      <c r="AM37" s="2"/>
      <c r="AN37" s="113"/>
      <c r="AO37" s="20"/>
      <c r="AP37" s="2"/>
      <c r="AQ37" s="113"/>
      <c r="AR37" s="20"/>
      <c r="AS37" s="2"/>
      <c r="AT37" s="113"/>
      <c r="AU37" s="239"/>
      <c r="AV37" s="240"/>
      <c r="AW37" s="44"/>
      <c r="AX37" s="239"/>
      <c r="AY37" s="240"/>
      <c r="AZ37" s="44"/>
    </row>
    <row r="38" hidden="1"/>
    <row r="39" hidden="1"/>
    <row r="40" hidden="1"/>
    <row r="41" hidden="1"/>
    <row r="42" hidden="1" spans="1:52">
      <c r="A42" s="280" t="s">
        <v>0</v>
      </c>
      <c r="B42" s="319" t="s">
        <v>204</v>
      </c>
      <c r="C42" s="319"/>
      <c r="D42" s="319" t="s">
        <v>205</v>
      </c>
      <c r="E42" s="319"/>
      <c r="F42" s="319"/>
      <c r="G42" s="319"/>
      <c r="H42" s="319"/>
      <c r="I42" s="319"/>
      <c r="J42" s="319"/>
      <c r="K42" s="319"/>
      <c r="L42" s="319"/>
      <c r="M42" s="319"/>
      <c r="P42"/>
      <c r="S42"/>
      <c r="V42"/>
      <c r="Y42"/>
      <c r="AB42"/>
      <c r="AE42"/>
      <c r="AH42"/>
      <c r="AK42"/>
      <c r="AN42"/>
      <c r="AQ42"/>
      <c r="AT42"/>
      <c r="AW42"/>
      <c r="AZ42"/>
    </row>
    <row r="43" hidden="1" spans="1:52">
      <c r="A43" s="6">
        <v>1</v>
      </c>
      <c r="B43" s="320" t="s">
        <v>192</v>
      </c>
      <c r="C43" s="320"/>
      <c r="D43" s="3" t="s">
        <v>206</v>
      </c>
      <c r="E43" s="3"/>
      <c r="F43" s="3"/>
      <c r="G43" s="3"/>
      <c r="H43" s="3"/>
      <c r="I43" s="3"/>
      <c r="J43" s="3"/>
      <c r="K43" s="3"/>
      <c r="L43" s="3"/>
      <c r="M43" s="3"/>
      <c r="P43"/>
      <c r="S43"/>
      <c r="V43"/>
      <c r="Y43"/>
      <c r="AB43"/>
      <c r="AE43"/>
      <c r="AH43"/>
      <c r="AK43"/>
      <c r="AN43"/>
      <c r="AQ43"/>
      <c r="AT43"/>
      <c r="AW43"/>
      <c r="AZ43"/>
    </row>
    <row r="44" hidden="1" spans="1:52">
      <c r="A44" s="6">
        <v>2</v>
      </c>
      <c r="B44" s="3" t="s">
        <v>207</v>
      </c>
      <c r="C44" s="3"/>
      <c r="D44" s="3" t="s">
        <v>208</v>
      </c>
      <c r="E44" s="3"/>
      <c r="F44" s="3"/>
      <c r="G44" s="3"/>
      <c r="H44" s="3"/>
      <c r="I44" s="3"/>
      <c r="J44" s="3"/>
      <c r="K44" s="3"/>
      <c r="L44" s="3"/>
      <c r="M44" s="3"/>
      <c r="P44"/>
      <c r="S44"/>
      <c r="V44"/>
      <c r="Y44"/>
      <c r="AB44"/>
      <c r="AE44"/>
      <c r="AH44"/>
      <c r="AK44"/>
      <c r="AN44"/>
      <c r="AQ44"/>
      <c r="AT44"/>
      <c r="AW44"/>
      <c r="AZ44"/>
    </row>
    <row r="45" hidden="1" spans="1:52">
      <c r="A45" s="6">
        <v>3</v>
      </c>
      <c r="B45" s="3" t="s">
        <v>209</v>
      </c>
      <c r="C45" s="3"/>
      <c r="D45" s="3" t="s">
        <v>210</v>
      </c>
      <c r="E45" s="3"/>
      <c r="F45" s="3"/>
      <c r="G45" s="3"/>
      <c r="H45" s="3"/>
      <c r="I45" s="3"/>
      <c r="J45" s="3"/>
      <c r="K45" s="3"/>
      <c r="L45" s="3"/>
      <c r="M45" s="3"/>
      <c r="P45"/>
      <c r="S45"/>
      <c r="V45"/>
      <c r="Y45"/>
      <c r="AB45"/>
      <c r="AE45"/>
      <c r="AH45"/>
      <c r="AK45"/>
      <c r="AN45"/>
      <c r="AQ45"/>
      <c r="AT45"/>
      <c r="AW45"/>
      <c r="AZ45"/>
    </row>
    <row r="46" hidden="1" spans="1:52">
      <c r="A46" s="6">
        <v>4</v>
      </c>
      <c r="B46" s="321" t="s">
        <v>211</v>
      </c>
      <c r="D46" s="3" t="s">
        <v>212</v>
      </c>
      <c r="E46" s="3"/>
      <c r="F46" s="3"/>
      <c r="G46" s="3"/>
      <c r="H46" s="3"/>
      <c r="I46" s="3"/>
      <c r="J46" s="3"/>
      <c r="K46" s="3"/>
      <c r="L46" s="3"/>
      <c r="M46" s="3"/>
      <c r="P46"/>
      <c r="S46"/>
      <c r="V46"/>
      <c r="Y46"/>
      <c r="AB46"/>
      <c r="AE46"/>
      <c r="AH46"/>
      <c r="AK46"/>
      <c r="AN46"/>
      <c r="AQ46"/>
      <c r="AT46"/>
      <c r="AW46"/>
      <c r="AZ46"/>
    </row>
    <row r="47" hidden="1" spans="1:52">
      <c r="A47" s="6">
        <v>5</v>
      </c>
      <c r="B47" s="3" t="s">
        <v>213</v>
      </c>
      <c r="C47" s="3"/>
      <c r="D47" s="3" t="s">
        <v>214</v>
      </c>
      <c r="E47" s="3"/>
      <c r="F47" s="3"/>
      <c r="G47" s="3"/>
      <c r="H47" s="3"/>
      <c r="I47" s="3"/>
      <c r="J47" s="3"/>
      <c r="K47" s="3"/>
      <c r="L47" s="3"/>
      <c r="M47" s="3"/>
      <c r="P47"/>
      <c r="S47"/>
      <c r="V47"/>
      <c r="Y47"/>
      <c r="AB47"/>
      <c r="AE47"/>
      <c r="AH47"/>
      <c r="AK47"/>
      <c r="AN47"/>
      <c r="AQ47"/>
      <c r="AT47"/>
      <c r="AW47"/>
      <c r="AZ47"/>
    </row>
    <row r="48" hidden="1" spans="1:52">
      <c r="A48" s="6">
        <v>6</v>
      </c>
      <c r="B48" s="3" t="s">
        <v>215</v>
      </c>
      <c r="C48" s="3"/>
      <c r="D48" s="3" t="s">
        <v>216</v>
      </c>
      <c r="E48" s="3"/>
      <c r="F48" s="3"/>
      <c r="G48" s="3"/>
      <c r="H48" s="3"/>
      <c r="I48" s="3"/>
      <c r="J48" s="3"/>
      <c r="K48" s="3"/>
      <c r="L48" s="3"/>
      <c r="M48" s="3"/>
      <c r="P48"/>
      <c r="S48"/>
      <c r="V48"/>
      <c r="Y48"/>
      <c r="AB48"/>
      <c r="AE48"/>
      <c r="AH48"/>
      <c r="AK48"/>
      <c r="AN48"/>
      <c r="AQ48"/>
      <c r="AT48"/>
      <c r="AW48"/>
      <c r="AZ48"/>
    </row>
    <row r="49" hidden="1" spans="1:52">
      <c r="A49" s="6">
        <v>7</v>
      </c>
      <c r="B49" s="3" t="s">
        <v>217</v>
      </c>
      <c r="C49" s="3"/>
      <c r="D49" s="3" t="s">
        <v>218</v>
      </c>
      <c r="E49" s="3"/>
      <c r="F49" s="3"/>
      <c r="G49" s="3"/>
      <c r="H49" s="3"/>
      <c r="I49" s="3"/>
      <c r="J49" s="3"/>
      <c r="K49" s="3"/>
      <c r="L49" s="3"/>
      <c r="M49" s="3"/>
      <c r="P49"/>
      <c r="S49"/>
      <c r="V49"/>
      <c r="Y49"/>
      <c r="AB49"/>
      <c r="AE49"/>
      <c r="AH49"/>
      <c r="AK49"/>
      <c r="AN49"/>
      <c r="AQ49"/>
      <c r="AT49"/>
      <c r="AW49"/>
      <c r="AZ49"/>
    </row>
    <row r="50" hidden="1" spans="1:52">
      <c r="A50" s="6">
        <v>8</v>
      </c>
      <c r="B50" s="322" t="s">
        <v>199</v>
      </c>
      <c r="C50" s="322"/>
      <c r="D50" s="3" t="s">
        <v>219</v>
      </c>
      <c r="E50" s="3"/>
      <c r="F50" s="3"/>
      <c r="G50" s="3"/>
      <c r="H50" s="3"/>
      <c r="I50" s="3"/>
      <c r="J50" s="3"/>
      <c r="K50" s="3"/>
      <c r="L50" s="3"/>
      <c r="M50" s="3"/>
      <c r="P50"/>
      <c r="S50"/>
      <c r="V50"/>
      <c r="Y50"/>
      <c r="AB50"/>
      <c r="AE50"/>
      <c r="AH50"/>
      <c r="AK50"/>
      <c r="AN50"/>
      <c r="AQ50"/>
      <c r="AT50"/>
      <c r="AW50"/>
      <c r="AZ50"/>
    </row>
    <row r="51" hidden="1" spans="1:52">
      <c r="A51" s="6">
        <v>9</v>
      </c>
      <c r="B51" s="3" t="s">
        <v>220</v>
      </c>
      <c r="C51" s="3"/>
      <c r="D51" s="3" t="s">
        <v>221</v>
      </c>
      <c r="E51" s="3"/>
      <c r="F51" s="3"/>
      <c r="G51" s="3"/>
      <c r="H51" s="3"/>
      <c r="I51" s="3"/>
      <c r="J51" s="3"/>
      <c r="K51" s="3"/>
      <c r="L51" s="3"/>
      <c r="M51" s="3"/>
      <c r="P51"/>
      <c r="S51"/>
      <c r="V51"/>
      <c r="Y51"/>
      <c r="AB51"/>
      <c r="AE51"/>
      <c r="AH51"/>
      <c r="AK51"/>
      <c r="AN51"/>
      <c r="AQ51"/>
      <c r="AT51"/>
      <c r="AW51"/>
      <c r="AZ51"/>
    </row>
    <row r="52" hidden="1" spans="1:52">
      <c r="A52" s="6">
        <v>10</v>
      </c>
      <c r="B52" s="3" t="s">
        <v>222</v>
      </c>
      <c r="C52" s="3"/>
      <c r="D52" s="3" t="s">
        <v>223</v>
      </c>
      <c r="E52" s="3"/>
      <c r="F52" s="3"/>
      <c r="G52" s="3"/>
      <c r="H52" s="3"/>
      <c r="I52" s="3"/>
      <c r="J52" s="3"/>
      <c r="K52" s="3"/>
      <c r="L52" s="3"/>
      <c r="M52" s="3"/>
      <c r="P52"/>
      <c r="S52"/>
      <c r="V52"/>
      <c r="Y52"/>
      <c r="AB52"/>
      <c r="AE52"/>
      <c r="AH52"/>
      <c r="AK52"/>
      <c r="AN52"/>
      <c r="AQ52"/>
      <c r="AT52"/>
      <c r="AW52"/>
      <c r="AZ52"/>
    </row>
    <row r="53" hidden="1" spans="1:52">
      <c r="A53" s="6">
        <v>11</v>
      </c>
      <c r="B53" s="3" t="s">
        <v>224</v>
      </c>
      <c r="C53" s="3"/>
      <c r="D53" s="3" t="s">
        <v>225</v>
      </c>
      <c r="E53" s="3"/>
      <c r="F53" s="3"/>
      <c r="G53" s="3"/>
      <c r="H53" s="3"/>
      <c r="I53" s="3"/>
      <c r="J53" s="3"/>
      <c r="K53" s="3"/>
      <c r="L53" s="3"/>
      <c r="M53" s="3"/>
      <c r="P53"/>
      <c r="S53"/>
      <c r="V53"/>
      <c r="Y53"/>
      <c r="AB53"/>
      <c r="AE53"/>
      <c r="AH53"/>
      <c r="AK53"/>
      <c r="AN53"/>
      <c r="AQ53"/>
      <c r="AT53"/>
      <c r="AW53"/>
      <c r="AZ53"/>
    </row>
    <row r="54" hidden="1" spans="1:52">
      <c r="A54" s="6">
        <v>12</v>
      </c>
      <c r="B54" s="3" t="s">
        <v>226</v>
      </c>
      <c r="C54" s="3"/>
      <c r="D54" s="3" t="s">
        <v>227</v>
      </c>
      <c r="E54" s="3"/>
      <c r="F54" s="3"/>
      <c r="G54" s="3"/>
      <c r="H54" s="3"/>
      <c r="I54" s="3"/>
      <c r="J54" s="3"/>
      <c r="K54" s="3"/>
      <c r="L54" s="3"/>
      <c r="M54" s="3"/>
      <c r="P54"/>
      <c r="S54"/>
      <c r="V54"/>
      <c r="Y54"/>
      <c r="AB54"/>
      <c r="AE54"/>
      <c r="AH54"/>
      <c r="AK54"/>
      <c r="AN54"/>
      <c r="AQ54"/>
      <c r="AT54"/>
      <c r="AW54"/>
      <c r="AZ54"/>
    </row>
    <row r="55" hidden="1" spans="1:52">
      <c r="B55" s="57" t="s">
        <v>228</v>
      </c>
      <c r="C55" s="57"/>
      <c r="D55" s="57" t="s">
        <v>229</v>
      </c>
      <c r="E55" s="57"/>
      <c r="F55" s="57"/>
      <c r="G55" s="57"/>
      <c r="J55"/>
      <c r="M55"/>
      <c r="P55"/>
      <c r="S55"/>
      <c r="V55"/>
      <c r="Y55"/>
      <c r="AB55"/>
      <c r="AE55"/>
      <c r="AH55"/>
      <c r="AK55"/>
      <c r="AN55"/>
      <c r="AQ55"/>
      <c r="AT55"/>
      <c r="AW55"/>
      <c r="AZ55"/>
    </row>
    <row r="56" hidden="1" spans="1:52">
      <c r="C56" s="3"/>
      <c r="D56" s="3"/>
      <c r="E56" s="3"/>
      <c r="F56" s="3"/>
      <c r="G56" s="3"/>
      <c r="J56"/>
      <c r="M56"/>
      <c r="P56"/>
      <c r="S56"/>
      <c r="V56"/>
      <c r="Y56"/>
      <c r="AB56"/>
      <c r="AE56"/>
      <c r="AH56"/>
      <c r="AK56"/>
      <c r="AN56"/>
      <c r="AQ56"/>
      <c r="AT56"/>
      <c r="AW56"/>
      <c r="AZ56"/>
    </row>
    <row r="57" hidden="1" spans="1:52">
      <c r="C57" s="3"/>
      <c r="D57" s="3"/>
      <c r="E57" s="3"/>
      <c r="F57" s="3"/>
      <c r="G57" s="3"/>
      <c r="J57"/>
      <c r="M57"/>
      <c r="P57"/>
      <c r="S57"/>
      <c r="V57"/>
      <c r="Y57"/>
      <c r="AB57"/>
      <c r="AE57"/>
      <c r="AH57"/>
      <c r="AK57"/>
      <c r="AN57"/>
      <c r="AQ57"/>
      <c r="AT57"/>
      <c r="AW57"/>
      <c r="AZ57"/>
    </row>
    <row r="58" hidden="1"/>
    <row r="59" hidden="1"/>
  </sheetData>
  <mergeCells count="459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AX5:AY5"/>
    <mergeCell ref="AL8:AM8"/>
    <mergeCell ref="AU8:AV8"/>
    <mergeCell ref="AX8:AY8"/>
    <mergeCell ref="B42:C42"/>
    <mergeCell ref="D42:M42"/>
    <mergeCell ref="B43:C43"/>
    <mergeCell ref="D43:M43"/>
    <mergeCell ref="B44:C44"/>
    <mergeCell ref="D44:M44"/>
    <mergeCell ref="B45:C45"/>
    <mergeCell ref="D45:M45"/>
    <mergeCell ref="D46:M46"/>
    <mergeCell ref="B47:C47"/>
    <mergeCell ref="D47:M47"/>
    <mergeCell ref="B48:C48"/>
    <mergeCell ref="D48:M48"/>
    <mergeCell ref="B49:C49"/>
    <mergeCell ref="D49:M49"/>
    <mergeCell ref="B50:C50"/>
    <mergeCell ref="D50:M50"/>
    <mergeCell ref="B51:C51"/>
    <mergeCell ref="D51:M51"/>
    <mergeCell ref="B52:C52"/>
    <mergeCell ref="D52:M52"/>
    <mergeCell ref="B53:C53"/>
    <mergeCell ref="D53:M53"/>
    <mergeCell ref="B54:C54"/>
    <mergeCell ref="D54:M54"/>
    <mergeCell ref="B55:C55"/>
    <mergeCell ref="D55:G55"/>
    <mergeCell ref="C56:G56"/>
    <mergeCell ref="C57:G57"/>
    <mergeCell ref="A3:A4"/>
    <mergeCell ref="A6:A7"/>
    <mergeCell ref="A11:A12"/>
    <mergeCell ref="A14:A15"/>
    <mergeCell ref="A21:A22"/>
    <mergeCell ref="A24:A25"/>
    <mergeCell ref="A27:A28"/>
    <mergeCell ref="A36:A37"/>
    <mergeCell ref="B3:B4"/>
    <mergeCell ref="B6:B7"/>
    <mergeCell ref="B11:B12"/>
    <mergeCell ref="B14:B15"/>
    <mergeCell ref="B21:B22"/>
    <mergeCell ref="B24:B25"/>
    <mergeCell ref="B27:B28"/>
    <mergeCell ref="B36:B37"/>
    <mergeCell ref="C11:C12"/>
    <mergeCell ref="D3:D4"/>
    <mergeCell ref="D6:D7"/>
    <mergeCell ref="D11:D12"/>
    <mergeCell ref="D14:D15"/>
    <mergeCell ref="D21:D22"/>
    <mergeCell ref="D24:D25"/>
    <mergeCell ref="D27:D28"/>
    <mergeCell ref="D36:D37"/>
    <mergeCell ref="E3:E4"/>
    <mergeCell ref="E6:E7"/>
    <mergeCell ref="E11:E12"/>
    <mergeCell ref="E14:E15"/>
    <mergeCell ref="E21:E22"/>
    <mergeCell ref="E24:E25"/>
    <mergeCell ref="E27:E28"/>
    <mergeCell ref="E36:E37"/>
    <mergeCell ref="F3:F4"/>
    <mergeCell ref="F6:F7"/>
    <mergeCell ref="F11:F12"/>
    <mergeCell ref="F14:F15"/>
    <mergeCell ref="F21:F22"/>
    <mergeCell ref="F24:F25"/>
    <mergeCell ref="F27:F28"/>
    <mergeCell ref="F36:F37"/>
    <mergeCell ref="G3:G4"/>
    <mergeCell ref="G6:G7"/>
    <mergeCell ref="G11:G12"/>
    <mergeCell ref="G14:G15"/>
    <mergeCell ref="G21:G22"/>
    <mergeCell ref="G24:G25"/>
    <mergeCell ref="G27:G28"/>
    <mergeCell ref="G36:G37"/>
    <mergeCell ref="H3:H4"/>
    <mergeCell ref="H6:H7"/>
    <mergeCell ref="H11:H12"/>
    <mergeCell ref="H14:H15"/>
    <mergeCell ref="H21:H22"/>
    <mergeCell ref="H24:H25"/>
    <mergeCell ref="H27:H28"/>
    <mergeCell ref="H36:H37"/>
    <mergeCell ref="I3:I4"/>
    <mergeCell ref="I6:I7"/>
    <mergeCell ref="I11:I12"/>
    <mergeCell ref="I14:I15"/>
    <mergeCell ref="I21:I22"/>
    <mergeCell ref="I24:I25"/>
    <mergeCell ref="I27:I28"/>
    <mergeCell ref="I36:I37"/>
    <mergeCell ref="J3:J4"/>
    <mergeCell ref="J6:J7"/>
    <mergeCell ref="J11:J12"/>
    <mergeCell ref="J14:J15"/>
    <mergeCell ref="J21:J22"/>
    <mergeCell ref="J24:J25"/>
    <mergeCell ref="J27:J28"/>
    <mergeCell ref="J36:J37"/>
    <mergeCell ref="K3:K4"/>
    <mergeCell ref="K6:K7"/>
    <mergeCell ref="K11:K12"/>
    <mergeCell ref="K14:K15"/>
    <mergeCell ref="K21:K22"/>
    <mergeCell ref="K24:K25"/>
    <mergeCell ref="K27:K28"/>
    <mergeCell ref="K36:K37"/>
    <mergeCell ref="L3:L4"/>
    <mergeCell ref="L6:L7"/>
    <mergeCell ref="L11:L12"/>
    <mergeCell ref="L14:L15"/>
    <mergeCell ref="L21:L22"/>
    <mergeCell ref="L24:L25"/>
    <mergeCell ref="L27:L28"/>
    <mergeCell ref="L36:L37"/>
    <mergeCell ref="M3:M4"/>
    <mergeCell ref="M6:M7"/>
    <mergeCell ref="M11:M12"/>
    <mergeCell ref="M14:M15"/>
    <mergeCell ref="M21:M22"/>
    <mergeCell ref="M24:M25"/>
    <mergeCell ref="M27:M28"/>
    <mergeCell ref="M36:M37"/>
    <mergeCell ref="N3:N4"/>
    <mergeCell ref="N6:N7"/>
    <mergeCell ref="N11:N12"/>
    <mergeCell ref="N14:N15"/>
    <mergeCell ref="N21:N22"/>
    <mergeCell ref="N24:N25"/>
    <mergeCell ref="N27:N28"/>
    <mergeCell ref="N36:N37"/>
    <mergeCell ref="O3:O4"/>
    <mergeCell ref="O6:O7"/>
    <mergeCell ref="O11:O12"/>
    <mergeCell ref="O14:O15"/>
    <mergeCell ref="O21:O22"/>
    <mergeCell ref="O24:O25"/>
    <mergeCell ref="O27:O28"/>
    <mergeCell ref="O36:O37"/>
    <mergeCell ref="P3:P4"/>
    <mergeCell ref="P6:P7"/>
    <mergeCell ref="P11:P12"/>
    <mergeCell ref="P14:P15"/>
    <mergeCell ref="P21:P22"/>
    <mergeCell ref="P24:P25"/>
    <mergeCell ref="P27:P28"/>
    <mergeCell ref="P36:P37"/>
    <mergeCell ref="Q3:Q4"/>
    <mergeCell ref="Q6:Q7"/>
    <mergeCell ref="Q11:Q12"/>
    <mergeCell ref="Q14:Q15"/>
    <mergeCell ref="Q21:Q22"/>
    <mergeCell ref="Q24:Q25"/>
    <mergeCell ref="Q27:Q28"/>
    <mergeCell ref="Q36:Q37"/>
    <mergeCell ref="R3:R4"/>
    <mergeCell ref="R6:R7"/>
    <mergeCell ref="R11:R12"/>
    <mergeCell ref="R14:R15"/>
    <mergeCell ref="R21:R22"/>
    <mergeCell ref="R24:R25"/>
    <mergeCell ref="R27:R28"/>
    <mergeCell ref="R36:R37"/>
    <mergeCell ref="S3:S4"/>
    <mergeCell ref="S6:S7"/>
    <mergeCell ref="S11:S12"/>
    <mergeCell ref="S14:S15"/>
    <mergeCell ref="S21:S22"/>
    <mergeCell ref="S24:S25"/>
    <mergeCell ref="S27:S28"/>
    <mergeCell ref="S36:S37"/>
    <mergeCell ref="T3:T4"/>
    <mergeCell ref="T6:T7"/>
    <mergeCell ref="T11:T12"/>
    <mergeCell ref="T14:T15"/>
    <mergeCell ref="T21:T22"/>
    <mergeCell ref="T24:T25"/>
    <mergeCell ref="T27:T28"/>
    <mergeCell ref="T36:T37"/>
    <mergeCell ref="U3:U4"/>
    <mergeCell ref="U6:U7"/>
    <mergeCell ref="U11:U12"/>
    <mergeCell ref="U14:U15"/>
    <mergeCell ref="U21:U22"/>
    <mergeCell ref="U24:U25"/>
    <mergeCell ref="U27:U28"/>
    <mergeCell ref="U36:U37"/>
    <mergeCell ref="V3:V4"/>
    <mergeCell ref="V6:V7"/>
    <mergeCell ref="V11:V12"/>
    <mergeCell ref="V14:V15"/>
    <mergeCell ref="V21:V22"/>
    <mergeCell ref="V24:V25"/>
    <mergeCell ref="V27:V28"/>
    <mergeCell ref="V36:V37"/>
    <mergeCell ref="W3:W4"/>
    <mergeCell ref="W6:W7"/>
    <mergeCell ref="W11:W12"/>
    <mergeCell ref="W14:W15"/>
    <mergeCell ref="W21:W22"/>
    <mergeCell ref="W24:W25"/>
    <mergeCell ref="W27:W28"/>
    <mergeCell ref="W36:W37"/>
    <mergeCell ref="X3:X4"/>
    <mergeCell ref="X6:X7"/>
    <mergeCell ref="X11:X12"/>
    <mergeCell ref="X14:X15"/>
    <mergeCell ref="X21:X22"/>
    <mergeCell ref="X24:X25"/>
    <mergeCell ref="X27:X28"/>
    <mergeCell ref="X36:X37"/>
    <mergeCell ref="Y3:Y4"/>
    <mergeCell ref="Y6:Y7"/>
    <mergeCell ref="Y11:Y12"/>
    <mergeCell ref="Y14:Y15"/>
    <mergeCell ref="Y21:Y22"/>
    <mergeCell ref="Y24:Y25"/>
    <mergeCell ref="Y27:Y28"/>
    <mergeCell ref="Y36:Y37"/>
    <mergeCell ref="Z3:Z4"/>
    <mergeCell ref="Z6:Z7"/>
    <mergeCell ref="Z11:Z12"/>
    <mergeCell ref="Z14:Z15"/>
    <mergeCell ref="Z21:Z22"/>
    <mergeCell ref="Z24:Z25"/>
    <mergeCell ref="Z27:Z28"/>
    <mergeCell ref="Z36:Z37"/>
    <mergeCell ref="AA3:AA4"/>
    <mergeCell ref="AA6:AA7"/>
    <mergeCell ref="AA11:AA12"/>
    <mergeCell ref="AA14:AA15"/>
    <mergeCell ref="AA21:AA22"/>
    <mergeCell ref="AA24:AA25"/>
    <mergeCell ref="AA27:AA28"/>
    <mergeCell ref="AA36:AA37"/>
    <mergeCell ref="AB3:AB4"/>
    <mergeCell ref="AB6:AB7"/>
    <mergeCell ref="AB11:AB12"/>
    <mergeCell ref="AB14:AB15"/>
    <mergeCell ref="AB21:AB22"/>
    <mergeCell ref="AB24:AB25"/>
    <mergeCell ref="AB27:AB28"/>
    <mergeCell ref="AB36:AB37"/>
    <mergeCell ref="AC3:AC4"/>
    <mergeCell ref="AC6:AC7"/>
    <mergeCell ref="AC11:AC12"/>
    <mergeCell ref="AC14:AC15"/>
    <mergeCell ref="AC21:AC22"/>
    <mergeCell ref="AC24:AC25"/>
    <mergeCell ref="AC27:AC28"/>
    <mergeCell ref="AC36:AC37"/>
    <mergeCell ref="AD3:AD4"/>
    <mergeCell ref="AD6:AD7"/>
    <mergeCell ref="AD11:AD12"/>
    <mergeCell ref="AD14:AD15"/>
    <mergeCell ref="AD21:AD22"/>
    <mergeCell ref="AD24:AD25"/>
    <mergeCell ref="AD27:AD28"/>
    <mergeCell ref="AD36:AD37"/>
    <mergeCell ref="AE3:AE4"/>
    <mergeCell ref="AE6:AE7"/>
    <mergeCell ref="AE11:AE12"/>
    <mergeCell ref="AE14:AE15"/>
    <mergeCell ref="AE21:AE22"/>
    <mergeCell ref="AE24:AE25"/>
    <mergeCell ref="AE27:AE28"/>
    <mergeCell ref="AE36:AE37"/>
    <mergeCell ref="AF3:AF4"/>
    <mergeCell ref="AF6:AF7"/>
    <mergeCell ref="AF11:AF12"/>
    <mergeCell ref="AF14:AF15"/>
    <mergeCell ref="AF21:AF22"/>
    <mergeCell ref="AF24:AF25"/>
    <mergeCell ref="AF27:AF28"/>
    <mergeCell ref="AF36:AF37"/>
    <mergeCell ref="AG3:AG4"/>
    <mergeCell ref="AG6:AG7"/>
    <mergeCell ref="AG11:AG12"/>
    <mergeCell ref="AG14:AG15"/>
    <mergeCell ref="AG21:AG22"/>
    <mergeCell ref="AG24:AG25"/>
    <mergeCell ref="AG27:AG28"/>
    <mergeCell ref="AG36:AG37"/>
    <mergeCell ref="AH3:AH4"/>
    <mergeCell ref="AH6:AH7"/>
    <mergeCell ref="AH11:AH12"/>
    <mergeCell ref="AH14:AH15"/>
    <mergeCell ref="AH21:AH22"/>
    <mergeCell ref="AH24:AH25"/>
    <mergeCell ref="AH27:AH28"/>
    <mergeCell ref="AH36:AH37"/>
    <mergeCell ref="AI3:AI4"/>
    <mergeCell ref="AI6:AI7"/>
    <mergeCell ref="AI11:AI12"/>
    <mergeCell ref="AI14:AI15"/>
    <mergeCell ref="AI21:AI22"/>
    <mergeCell ref="AI24:AI25"/>
    <mergeCell ref="AI27:AI28"/>
    <mergeCell ref="AI36:AI37"/>
    <mergeCell ref="AJ3:AJ4"/>
    <mergeCell ref="AJ6:AJ7"/>
    <mergeCell ref="AJ11:AJ12"/>
    <mergeCell ref="AJ14:AJ15"/>
    <mergeCell ref="AJ21:AJ22"/>
    <mergeCell ref="AJ24:AJ25"/>
    <mergeCell ref="AJ27:AJ28"/>
    <mergeCell ref="AJ36:AJ37"/>
    <mergeCell ref="AK3:AK4"/>
    <mergeCell ref="AK6:AK7"/>
    <mergeCell ref="AK11:AK12"/>
    <mergeCell ref="AK14:AK15"/>
    <mergeCell ref="AK21:AK22"/>
    <mergeCell ref="AK24:AK25"/>
    <mergeCell ref="AK27:AK28"/>
    <mergeCell ref="AK36:AK37"/>
    <mergeCell ref="AL3:AL4"/>
    <mergeCell ref="AL6:AL7"/>
    <mergeCell ref="AL11:AL12"/>
    <mergeCell ref="AL14:AL15"/>
    <mergeCell ref="AL21:AL22"/>
    <mergeCell ref="AL24:AL25"/>
    <mergeCell ref="AL27:AL28"/>
    <mergeCell ref="AL36:AL37"/>
    <mergeCell ref="AM3:AM4"/>
    <mergeCell ref="AM6:AM7"/>
    <mergeCell ref="AM11:AM12"/>
    <mergeCell ref="AM14:AM15"/>
    <mergeCell ref="AM21:AM22"/>
    <mergeCell ref="AM24:AM25"/>
    <mergeCell ref="AM27:AM28"/>
    <mergeCell ref="AM36:AM37"/>
    <mergeCell ref="AN3:AN4"/>
    <mergeCell ref="AN6:AN7"/>
    <mergeCell ref="AN11:AN12"/>
    <mergeCell ref="AN14:AN15"/>
    <mergeCell ref="AN21:AN22"/>
    <mergeCell ref="AN24:AN25"/>
    <mergeCell ref="AN27:AN28"/>
    <mergeCell ref="AN36:AN37"/>
    <mergeCell ref="AO3:AO4"/>
    <mergeCell ref="AO6:AO7"/>
    <mergeCell ref="AO11:AO12"/>
    <mergeCell ref="AO14:AO15"/>
    <mergeCell ref="AO21:AO22"/>
    <mergeCell ref="AO24:AO25"/>
    <mergeCell ref="AO27:AO28"/>
    <mergeCell ref="AO36:AO37"/>
    <mergeCell ref="AP3:AP4"/>
    <mergeCell ref="AP6:AP7"/>
    <mergeCell ref="AP11:AP12"/>
    <mergeCell ref="AP14:AP15"/>
    <mergeCell ref="AP21:AP22"/>
    <mergeCell ref="AP24:AP25"/>
    <mergeCell ref="AP27:AP28"/>
    <mergeCell ref="AP36:AP37"/>
    <mergeCell ref="AQ3:AQ4"/>
    <mergeCell ref="AQ6:AQ7"/>
    <mergeCell ref="AQ11:AQ12"/>
    <mergeCell ref="AQ14:AQ15"/>
    <mergeCell ref="AQ21:AQ22"/>
    <mergeCell ref="AQ24:AQ25"/>
    <mergeCell ref="AQ27:AQ28"/>
    <mergeCell ref="AQ36:AQ37"/>
    <mergeCell ref="AR3:AR4"/>
    <mergeCell ref="AR6:AR7"/>
    <mergeCell ref="AR11:AR12"/>
    <mergeCell ref="AR14:AR15"/>
    <mergeCell ref="AR21:AR22"/>
    <mergeCell ref="AR24:AR25"/>
    <mergeCell ref="AR27:AR28"/>
    <mergeCell ref="AR36:AR37"/>
    <mergeCell ref="AS3:AS4"/>
    <mergeCell ref="AS6:AS7"/>
    <mergeCell ref="AS11:AS12"/>
    <mergeCell ref="AS14:AS15"/>
    <mergeCell ref="AS21:AS22"/>
    <mergeCell ref="AS24:AS25"/>
    <mergeCell ref="AS27:AS28"/>
    <mergeCell ref="AS36:AS37"/>
    <mergeCell ref="AT3:AT4"/>
    <mergeCell ref="AT6:AT7"/>
    <mergeCell ref="AT11:AT12"/>
    <mergeCell ref="AT14:AT15"/>
    <mergeCell ref="AT21:AT22"/>
    <mergeCell ref="AT24:AT25"/>
    <mergeCell ref="AT27:AT28"/>
    <mergeCell ref="AT36:AT37"/>
    <mergeCell ref="AU3:AU4"/>
    <mergeCell ref="AU6:AU7"/>
    <mergeCell ref="AU11:AU12"/>
    <mergeCell ref="AU14:AU15"/>
    <mergeCell ref="AU21:AU22"/>
    <mergeCell ref="AU24:AU25"/>
    <mergeCell ref="AU27:AU28"/>
    <mergeCell ref="AU36:AU37"/>
    <mergeCell ref="AV3:AV4"/>
    <mergeCell ref="AV6:AV7"/>
    <mergeCell ref="AV11:AV12"/>
    <mergeCell ref="AV14:AV15"/>
    <mergeCell ref="AV21:AV22"/>
    <mergeCell ref="AV24:AV25"/>
    <mergeCell ref="AV27:AV28"/>
    <mergeCell ref="AV36:AV37"/>
    <mergeCell ref="AW3:AW4"/>
    <mergeCell ref="AW6:AW7"/>
    <mergeCell ref="AW11:AW12"/>
    <mergeCell ref="AW14:AW15"/>
    <mergeCell ref="AW21:AW22"/>
    <mergeCell ref="AW24:AW25"/>
    <mergeCell ref="AW27:AW28"/>
    <mergeCell ref="AW36:AW37"/>
    <mergeCell ref="AX3:AX4"/>
    <mergeCell ref="AX6:AX7"/>
    <mergeCell ref="AX11:AX12"/>
    <mergeCell ref="AX14:AX15"/>
    <mergeCell ref="AX21:AX22"/>
    <mergeCell ref="AX24:AX25"/>
    <mergeCell ref="AX27:AX28"/>
    <mergeCell ref="AX36:AX37"/>
    <mergeCell ref="AY3:AY4"/>
    <mergeCell ref="AY6:AY7"/>
    <mergeCell ref="AY11:AY12"/>
    <mergeCell ref="AY14:AY15"/>
    <mergeCell ref="AY21:AY22"/>
    <mergeCell ref="AY24:AY25"/>
    <mergeCell ref="AY27:AY28"/>
    <mergeCell ref="AY36:AY37"/>
    <mergeCell ref="AZ3:AZ4"/>
    <mergeCell ref="AZ6:AZ7"/>
    <mergeCell ref="AZ11:AZ12"/>
    <mergeCell ref="AZ14:AZ15"/>
    <mergeCell ref="AZ21:AZ22"/>
    <mergeCell ref="AZ24:AZ25"/>
    <mergeCell ref="AZ27:AZ28"/>
    <mergeCell ref="AZ36:AZ37"/>
  </mergeCells>
  <pageMargins left="0.7" right="0.7" top="0.75" bottom="0.75" header="0.3" footer="0.3"/>
  <pageSetup paperSize="1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D23" sqref="D23"/>
    </sheetView>
  </sheetViews>
  <sheetFormatPr defaultColWidth="9" defaultRowHeight="15"/>
  <cols>
    <col min="1" max="1" width="4.81904761904762" customWidth="1"/>
    <col min="2" max="2" width="33.6285714285714" customWidth="1"/>
    <col min="3" max="3" width="48.1809523809524" customWidth="1"/>
    <col min="4" max="4" width="17.9047619047619" customWidth="1"/>
    <col min="5" max="5" width="15" customWidth="1"/>
    <col min="6" max="6" width="13.9047619047619" customWidth="1"/>
    <col min="7" max="7" width="15" customWidth="1"/>
    <col min="8" max="8" width="14.2666666666667" customWidth="1"/>
    <col min="9" max="9" width="15.2666666666667" customWidth="1"/>
    <col min="10" max="11" width="8.72380952380952" customWidth="1"/>
  </cols>
  <sheetData>
    <row r="1" s="15" customFormat="1" ht="18.75" spans="1:11">
      <c r="A1" s="16" t="s">
        <v>268</v>
      </c>
      <c r="B1" s="16"/>
      <c r="C1" s="16"/>
      <c r="D1" s="16"/>
      <c r="E1" s="16"/>
      <c r="F1" s="16"/>
      <c r="G1" s="16"/>
      <c r="H1" s="16"/>
      <c r="I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>
        <v>2082</v>
      </c>
      <c r="J2" s="2"/>
    </row>
    <row r="3" ht="15.75" spans="1:11">
      <c r="A3" s="2">
        <v>1</v>
      </c>
      <c r="B3" t="s">
        <v>303</v>
      </c>
      <c r="C3" s="19" t="s">
        <v>245</v>
      </c>
      <c r="D3" s="2" t="s">
        <v>246</v>
      </c>
      <c r="E3" s="20">
        <v>8527439221</v>
      </c>
      <c r="F3" s="20">
        <v>12107447820</v>
      </c>
      <c r="G3" s="20">
        <v>16023736740</v>
      </c>
      <c r="H3" s="20">
        <v>14315012000</v>
      </c>
      <c r="I3" s="69">
        <v>11753813000</v>
      </c>
      <c r="K3" s="2"/>
    </row>
    <row r="4" ht="15.75" spans="1:11">
      <c r="A4" s="2">
        <v>2</v>
      </c>
      <c r="B4" s="19" t="s">
        <v>304</v>
      </c>
      <c r="C4" s="19" t="s">
        <v>248</v>
      </c>
      <c r="D4" s="2" t="s">
        <v>246</v>
      </c>
      <c r="E4" s="22">
        <v>3170475170</v>
      </c>
      <c r="F4" s="22">
        <v>3801134033</v>
      </c>
      <c r="G4" s="22">
        <v>4111770564</v>
      </c>
      <c r="H4" s="22">
        <v>4044541000</v>
      </c>
      <c r="I4" s="22">
        <v>4611917000</v>
      </c>
      <c r="J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>
        <v>1150979543</v>
      </c>
      <c r="F5" s="20">
        <v>1370025814</v>
      </c>
      <c r="G5" s="20">
        <v>1363867520</v>
      </c>
      <c r="H5" s="20">
        <v>1279134000</v>
      </c>
      <c r="I5" s="21">
        <v>1537431000</v>
      </c>
    </row>
    <row r="6" ht="30" spans="1:11">
      <c r="A6" s="2">
        <v>4</v>
      </c>
      <c r="B6" s="19" t="s">
        <v>251</v>
      </c>
      <c r="C6" s="19" t="s">
        <v>252</v>
      </c>
      <c r="D6" s="23" t="s">
        <v>253</v>
      </c>
      <c r="E6" s="24">
        <f t="shared" ref="E6:I6" si="0">E5/E3</f>
        <v>0.134973643689603</v>
      </c>
      <c r="F6" s="24">
        <f t="shared" si="0"/>
        <v>0.113155624072721</v>
      </c>
      <c r="G6" s="24">
        <f t="shared" si="0"/>
        <v>0.085115447297345</v>
      </c>
      <c r="H6" s="24">
        <f t="shared" si="0"/>
        <v>0.0893561248848412</v>
      </c>
      <c r="I6" s="24">
        <f t="shared" si="0"/>
        <v>0.130802744607218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>
        <v>23.92</v>
      </c>
      <c r="F7" s="2">
        <v>24.22</v>
      </c>
      <c r="G7" s="2">
        <v>21.24</v>
      </c>
      <c r="H7" s="2">
        <v>18.15</v>
      </c>
      <c r="I7" s="2">
        <v>21.82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>
        <v>27.47</v>
      </c>
      <c r="F8" s="25">
        <v>18.16</v>
      </c>
      <c r="G8" s="25">
        <v>19.16</v>
      </c>
      <c r="H8" s="25">
        <v>22.22</v>
      </c>
      <c r="I8" s="25">
        <v>18.6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J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J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4" ht="18.75" spans="1:11">
      <c r="A14" s="280"/>
      <c r="B14" s="281" t="s">
        <v>269</v>
      </c>
      <c r="C14" s="281"/>
      <c r="D14" s="281"/>
      <c r="E14" s="281"/>
      <c r="F14" s="281"/>
      <c r="G14" s="281"/>
      <c r="H14" s="281"/>
      <c r="I14" s="281"/>
    </row>
    <row r="15" ht="37.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2078</v>
      </c>
      <c r="F15" s="18">
        <v>2079</v>
      </c>
      <c r="G15" s="18">
        <v>2080</v>
      </c>
      <c r="H15" s="18">
        <v>2081</v>
      </c>
      <c r="I15" s="18">
        <v>2082</v>
      </c>
    </row>
    <row r="16" ht="15.75" spans="1:11">
      <c r="A16" s="2">
        <v>1</v>
      </c>
      <c r="B16" t="s">
        <v>244</v>
      </c>
      <c r="C16" s="19" t="s">
        <v>245</v>
      </c>
      <c r="D16" s="2" t="s">
        <v>246</v>
      </c>
      <c r="E16" s="20">
        <v>5479274847</v>
      </c>
      <c r="F16" s="20">
        <v>8415637487</v>
      </c>
      <c r="G16" s="20">
        <v>11070593960</v>
      </c>
      <c r="H16" s="20">
        <v>10779323390</v>
      </c>
      <c r="I16" s="20">
        <v>9073111397</v>
      </c>
    </row>
    <row r="17" ht="15.75" spans="1:9">
      <c r="A17" s="2">
        <v>2</v>
      </c>
      <c r="B17" s="19" t="s">
        <v>304</v>
      </c>
      <c r="C17" s="19" t="s">
        <v>248</v>
      </c>
      <c r="D17" s="2" t="s">
        <v>246</v>
      </c>
      <c r="E17" s="22">
        <v>2250141968</v>
      </c>
      <c r="F17" s="92">
        <v>2901919289</v>
      </c>
      <c r="G17" s="22">
        <v>3213112152</v>
      </c>
      <c r="H17" s="22">
        <v>3260035501</v>
      </c>
      <c r="I17" s="22">
        <v>3750565960</v>
      </c>
    </row>
    <row r="18" ht="15.75" spans="1:9">
      <c r="A18" s="2">
        <v>3</v>
      </c>
      <c r="B18" s="19" t="s">
        <v>249</v>
      </c>
      <c r="C18" s="19" t="s">
        <v>250</v>
      </c>
      <c r="D18" s="2" t="s">
        <v>246</v>
      </c>
      <c r="E18" s="20">
        <v>825288157</v>
      </c>
      <c r="F18" s="20">
        <v>1056653231</v>
      </c>
      <c r="G18" s="20">
        <v>1217371749</v>
      </c>
      <c r="H18" s="20">
        <v>1136180206</v>
      </c>
      <c r="I18" s="20">
        <v>1310392590</v>
      </c>
    </row>
    <row r="19" ht="30" spans="1:9">
      <c r="A19" s="2">
        <v>4</v>
      </c>
      <c r="B19" s="19" t="s">
        <v>251</v>
      </c>
      <c r="C19" s="19" t="s">
        <v>252</v>
      </c>
      <c r="D19" s="23" t="s">
        <v>253</v>
      </c>
      <c r="E19" s="24">
        <f t="shared" ref="E19:I19" si="1">E18/E16</f>
        <v>0.150619959765636</v>
      </c>
      <c r="F19" s="24">
        <f t="shared" si="1"/>
        <v>0.125558311254763</v>
      </c>
      <c r="G19" s="24">
        <f t="shared" si="1"/>
        <v>0.109964447562487</v>
      </c>
      <c r="H19" s="24">
        <f t="shared" si="1"/>
        <v>0.105403666342735</v>
      </c>
      <c r="I19" s="24">
        <f t="shared" si="1"/>
        <v>0.144425934242721</v>
      </c>
    </row>
    <row r="20" ht="15.75" spans="1:9">
      <c r="A20" s="2">
        <v>5</v>
      </c>
      <c r="B20" s="19" t="s">
        <v>254</v>
      </c>
      <c r="C20" s="19" t="s">
        <v>255</v>
      </c>
      <c r="D20" s="2" t="s">
        <v>246</v>
      </c>
      <c r="E20" s="2">
        <v>22.45</v>
      </c>
      <c r="F20" s="2">
        <v>23.07</v>
      </c>
      <c r="G20" s="2">
        <v>23.47</v>
      </c>
      <c r="H20" s="2">
        <v>20</v>
      </c>
      <c r="I20" s="2">
        <v>23.07</v>
      </c>
    </row>
    <row r="21" ht="31.5" spans="1:9">
      <c r="A21" s="2">
        <v>6</v>
      </c>
      <c r="B21" s="19" t="s">
        <v>256</v>
      </c>
      <c r="C21" s="19" t="s">
        <v>257</v>
      </c>
      <c r="D21" s="2" t="s">
        <v>246</v>
      </c>
      <c r="E21" s="25">
        <v>24.23</v>
      </c>
      <c r="F21" s="25">
        <v>16.78</v>
      </c>
      <c r="G21" s="25">
        <v>17.26</v>
      </c>
      <c r="H21" s="25">
        <v>19.26</v>
      </c>
      <c r="I21" s="93">
        <v>18.57</v>
      </c>
    </row>
    <row r="22" ht="31.5" spans="1:9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9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9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9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  <row r="26" ht="15.75" spans="1:9">
      <c r="B26" s="19"/>
    </row>
  </sheetData>
  <mergeCells count="3">
    <mergeCell ref="A1:I1"/>
    <mergeCell ref="B14:I14"/>
    <mergeCell ref="J9:J10"/>
  </mergeCells>
  <pageMargins left="0.7" right="0.7" top="0.75" bottom="0.75" header="0.3" footer="0.3"/>
  <pageSetup paperSize="1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Q42"/>
  <sheetViews>
    <sheetView topLeftCell="A9" workbookViewId="0">
      <selection activeCell="I38" sqref="I38"/>
    </sheetView>
  </sheetViews>
  <sheetFormatPr defaultColWidth="9" defaultRowHeight="15"/>
  <cols>
    <col min="1" max="1" width="4.26666666666667" customWidth="1"/>
    <col min="2" max="2" width="22.6285714285714" customWidth="1"/>
    <col min="3" max="3" width="21" customWidth="1"/>
    <col min="4" max="4" width="9.72380952380952" customWidth="1"/>
    <col min="5" max="5" width="14.2666666666667" customWidth="1"/>
    <col min="6" max="6" width="13.2666666666667" customWidth="1"/>
    <col min="7" max="7" width="9.90476190476191" customWidth="1"/>
    <col min="8" max="8" width="14.2666666666667" customWidth="1"/>
    <col min="9" max="9" width="13.2666666666667" customWidth="1"/>
    <col min="10" max="10" width="9.90476190476191" customWidth="1"/>
    <col min="11" max="11" width="14.2666666666667" customWidth="1"/>
    <col min="12" max="12" width="13.2666666666667" customWidth="1"/>
    <col min="13" max="13" width="9.90476190476191" customWidth="1"/>
    <col min="14" max="14" width="14.2666666666667" customWidth="1"/>
    <col min="15" max="15" width="13.2666666666667" customWidth="1"/>
    <col min="16" max="16" width="9.90476190476191" customWidth="1"/>
    <col min="17" max="17" width="14.2666666666667" customWidth="1"/>
    <col min="18" max="18" width="13.2666666666667" customWidth="1"/>
    <col min="19" max="19" width="9.90476190476191" customWidth="1"/>
    <col min="20" max="20" width="14.2666666666667" customWidth="1"/>
    <col min="21" max="21" width="13.2666666666667" customWidth="1"/>
    <col min="22" max="22" width="9.90476190476191" customWidth="1"/>
    <col min="23" max="23" width="14.2666666666667" customWidth="1"/>
    <col min="24" max="24" width="13.2666666666667" customWidth="1"/>
    <col min="25" max="25" width="9.90476190476191" customWidth="1"/>
    <col min="26" max="26" width="14.2666666666667" customWidth="1"/>
    <col min="27" max="27" width="13.2666666666667" customWidth="1"/>
    <col min="28" max="28" width="9.45714285714286" customWidth="1"/>
    <col min="29" max="29" width="14.2666666666667" customWidth="1"/>
    <col min="30" max="30" width="13.2666666666667" customWidth="1"/>
    <col min="31" max="31" width="9.90476190476191" customWidth="1"/>
    <col min="32" max="32" width="14.2666666666667" customWidth="1"/>
    <col min="33" max="33" width="13.2666666666667" customWidth="1"/>
    <col min="34" max="34" width="9.90476190476191" customWidth="1"/>
    <col min="35" max="35" width="14.2666666666667" customWidth="1"/>
    <col min="36" max="36" width="13.2666666666667" customWidth="1"/>
    <col min="37" max="37" width="9.90476190476191" customWidth="1"/>
    <col min="38" max="38" width="14.2666666666667" customWidth="1"/>
    <col min="39" max="39" width="13.2666666666667" customWidth="1"/>
    <col min="40" max="40" width="9.90476190476191" customWidth="1"/>
    <col min="41" max="41" width="14.2666666666667" customWidth="1"/>
    <col min="42" max="42" width="13.2666666666667" customWidth="1"/>
    <col min="43" max="43" width="9.90476190476191" customWidth="1"/>
    <col min="44" max="44" width="14.2666666666667" customWidth="1"/>
    <col min="45" max="45" width="13.2666666666667" customWidth="1"/>
    <col min="46" max="46" width="9.90476190476191" customWidth="1"/>
    <col min="47" max="47" width="14.2666666666667" customWidth="1"/>
    <col min="48" max="48" width="13.2666666666667" customWidth="1"/>
    <col min="49" max="49" width="9.90476190476191" customWidth="1"/>
    <col min="50" max="50" width="14.2666666666667" customWidth="1"/>
    <col min="51" max="51" width="13.2666666666667" customWidth="1"/>
    <col min="52" max="52" width="9.90476190476191" customWidth="1"/>
    <col min="53" max="53" width="14.2666666666667" customWidth="1"/>
    <col min="54" max="54" width="13.2666666666667" customWidth="1"/>
    <col min="55" max="55" width="9.90476190476191" customWidth="1"/>
    <col min="56" max="56" width="14.2666666666667" customWidth="1"/>
    <col min="57" max="57" width="13.2666666666667" customWidth="1"/>
    <col min="58" max="58" width="9.90476190476191" customWidth="1"/>
    <col min="59" max="59" width="14.2666666666667" customWidth="1"/>
    <col min="60" max="60" width="13.2666666666667" customWidth="1"/>
    <col min="61" max="61" width="9.90476190476191" customWidth="1"/>
    <col min="62" max="62" width="14.2666666666667" customWidth="1"/>
    <col min="63" max="63" width="13.2666666666667" customWidth="1"/>
    <col min="64" max="64" width="9.90476190476191" customWidth="1"/>
    <col min="65" max="65" width="14.2666666666667" customWidth="1"/>
    <col min="66" max="66" width="13.2666666666667" customWidth="1"/>
    <col min="67" max="67" width="9.90476190476191" customWidth="1"/>
    <col min="68" max="68" width="14.2666666666667" customWidth="1"/>
    <col min="69" max="69" width="13.2666666666667" customWidth="1"/>
    <col min="70" max="70" width="9.90476190476191" customWidth="1"/>
    <col min="71" max="71" width="14.2666666666667" customWidth="1"/>
    <col min="72" max="72" width="13.2666666666667" customWidth="1"/>
    <col min="73" max="73" width="9.90476190476191" customWidth="1"/>
    <col min="74" max="74" width="14.2666666666667" customWidth="1"/>
    <col min="75" max="75" width="13.2666666666667" customWidth="1"/>
    <col min="76" max="76" width="9.90476190476191" customWidth="1"/>
    <col min="77" max="77" width="14.2666666666667" customWidth="1"/>
    <col min="78" max="78" width="13.2666666666667" customWidth="1"/>
    <col min="79" max="79" width="9.90476190476191" customWidth="1"/>
    <col min="80" max="80" width="14.2666666666667" customWidth="1"/>
    <col min="81" max="81" width="13.2666666666667" customWidth="1"/>
    <col min="82" max="82" width="9.90476190476191" customWidth="1"/>
    <col min="83" max="83" width="14.2666666666667" customWidth="1"/>
    <col min="84" max="84" width="13.2666666666667" customWidth="1"/>
    <col min="85" max="85" width="9.90476190476191" customWidth="1"/>
    <col min="86" max="86" width="14.2666666666667" customWidth="1"/>
    <col min="87" max="87" width="13.2666666666667" customWidth="1"/>
    <col min="88" max="88" width="9.90476190476191" customWidth="1"/>
    <col min="89" max="89" width="14.2666666666667" customWidth="1"/>
    <col min="90" max="90" width="13.2666666666667" customWidth="1"/>
    <col min="91" max="91" width="9.90476190476191" customWidth="1"/>
    <col min="92" max="92" width="14.2666666666667" customWidth="1"/>
    <col min="93" max="93" width="13.2666666666667" customWidth="1"/>
    <col min="94" max="94" width="9.90476190476191" customWidth="1"/>
    <col min="95" max="95" width="14.2666666666667" customWidth="1"/>
    <col min="96" max="96" width="13.2666666666667" customWidth="1"/>
    <col min="97" max="97" width="9.90476190476191" customWidth="1"/>
    <col min="98" max="98" width="14.2666666666667" customWidth="1"/>
    <col min="99" max="99" width="13.2666666666667" customWidth="1"/>
    <col min="100" max="100" width="9.90476190476191" customWidth="1"/>
    <col min="101" max="101" width="14.2666666666667" customWidth="1"/>
    <col min="102" max="102" width="13.2666666666667" customWidth="1"/>
    <col min="103" max="103" width="9.90476190476191" customWidth="1"/>
    <col min="104" max="104" width="14.2666666666667" customWidth="1"/>
    <col min="105" max="105" width="13.2666666666667" customWidth="1"/>
    <col min="106" max="106" width="9.90476190476191" customWidth="1"/>
    <col min="107" max="107" width="14.2666666666667" customWidth="1"/>
    <col min="108" max="108" width="13.2666666666667" customWidth="1"/>
    <col min="109" max="109" width="9.90476190476191" customWidth="1"/>
    <col min="110" max="110" width="14.2666666666667" customWidth="1"/>
    <col min="111" max="111" width="13.2666666666667" customWidth="1"/>
    <col min="112" max="112" width="9.90476190476191" customWidth="1"/>
    <col min="113" max="113" width="14.2666666666667" customWidth="1"/>
    <col min="114" max="114" width="13.2666666666667" customWidth="1"/>
    <col min="115" max="115" width="9.90476190476191" customWidth="1"/>
    <col min="116" max="116" width="14.2666666666667" customWidth="1"/>
    <col min="117" max="117" width="13.2666666666667" customWidth="1"/>
    <col min="118" max="118" width="10.7238095238095" customWidth="1"/>
    <col min="119" max="119" width="14.2666666666667" customWidth="1"/>
    <col min="120" max="120" width="13.2666666666667" customWidth="1"/>
    <col min="121" max="121" width="10.7238095238095" customWidth="1"/>
    <col min="122" max="122" width="14.2666666666667" customWidth="1"/>
    <col min="123" max="123" width="13.2666666666667" customWidth="1"/>
    <col min="124" max="124" width="10.7238095238095" customWidth="1"/>
    <col min="125" max="125" width="14.2666666666667" customWidth="1"/>
    <col min="126" max="126" width="13.2666666666667" customWidth="1"/>
    <col min="127" max="127" width="10.7238095238095" customWidth="1"/>
    <col min="128" max="128" width="14.2666666666667" customWidth="1"/>
    <col min="129" max="129" width="13.2666666666667" customWidth="1"/>
    <col min="130" max="130" width="10.7238095238095" customWidth="1"/>
    <col min="131" max="131" width="14.2666666666667" customWidth="1"/>
    <col min="132" max="132" width="13.2666666666667" customWidth="1"/>
    <col min="133" max="133" width="10.7238095238095" customWidth="1"/>
    <col min="134" max="134" width="14.2666666666667" customWidth="1"/>
    <col min="135" max="135" width="13.2666666666667" customWidth="1"/>
    <col min="136" max="136" width="10.7238095238095" customWidth="1"/>
    <col min="137" max="137" width="14.2666666666667" customWidth="1"/>
    <col min="138" max="138" width="13.2666666666667" customWidth="1"/>
    <col min="139" max="139" width="10.7238095238095" customWidth="1"/>
    <col min="140" max="140" width="14.2666666666667" customWidth="1"/>
    <col min="141" max="141" width="13.2666666666667" customWidth="1"/>
    <col min="142" max="142" width="10.7238095238095" customWidth="1"/>
    <col min="143" max="143" width="14.2666666666667" customWidth="1"/>
    <col min="144" max="144" width="13.2666666666667" customWidth="1"/>
    <col min="145" max="145" width="10.7238095238095" customWidth="1"/>
    <col min="146" max="146" width="14.2666666666667" customWidth="1"/>
    <col min="147" max="147" width="13.2666666666667" customWidth="1"/>
    <col min="148" max="148" width="10.7238095238095" customWidth="1"/>
    <col min="149" max="149" width="14.2666666666667" customWidth="1"/>
    <col min="150" max="150" width="13.2666666666667" customWidth="1"/>
    <col min="151" max="151" width="10.7238095238095" customWidth="1"/>
    <col min="152" max="152" width="14.2666666666667" customWidth="1"/>
    <col min="153" max="153" width="13.2666666666667" customWidth="1"/>
    <col min="154" max="154" width="10.7238095238095" customWidth="1"/>
    <col min="155" max="155" width="14.2666666666667" customWidth="1"/>
    <col min="156" max="156" width="13.2666666666667" customWidth="1"/>
    <col min="157" max="157" width="10.7238095238095" customWidth="1"/>
    <col min="158" max="158" width="14.2666666666667" customWidth="1"/>
    <col min="159" max="159" width="13.2666666666667" customWidth="1"/>
    <col min="160" max="160" width="10.7238095238095" customWidth="1"/>
    <col min="161" max="161" width="14.2666666666667" customWidth="1"/>
    <col min="162" max="162" width="13.2666666666667" customWidth="1"/>
    <col min="163" max="163" width="10.7238095238095" customWidth="1"/>
    <col min="164" max="164" width="14.2666666666667" customWidth="1"/>
    <col min="165" max="165" width="13.2666666666667" customWidth="1"/>
    <col min="166" max="166" width="10.7238095238095" customWidth="1"/>
    <col min="167" max="167" width="14.2666666666667" customWidth="1"/>
    <col min="168" max="168" width="13.2666666666667" customWidth="1"/>
    <col min="169" max="169" width="10.7238095238095" customWidth="1"/>
    <col min="170" max="170" width="14.2666666666667" customWidth="1"/>
    <col min="171" max="171" width="13.2666666666667" customWidth="1"/>
    <col min="172" max="172" width="10.7238095238095" customWidth="1"/>
    <col min="173" max="173" width="14.2666666666667" customWidth="1"/>
    <col min="174" max="174" width="13.2666666666667" customWidth="1"/>
    <col min="175" max="175" width="10.7238095238095" customWidth="1"/>
    <col min="176" max="176" width="14.2666666666667" customWidth="1"/>
    <col min="177" max="177" width="13.2666666666667" customWidth="1"/>
    <col min="178" max="178" width="10.7238095238095" customWidth="1"/>
    <col min="179" max="179" width="14.2666666666667" customWidth="1"/>
    <col min="180" max="180" width="13.2666666666667" customWidth="1"/>
    <col min="181" max="181" width="10.7238095238095" customWidth="1"/>
    <col min="182" max="182" width="14.2666666666667" customWidth="1"/>
    <col min="183" max="183" width="13.2666666666667" customWidth="1"/>
    <col min="184" max="184" width="10.7238095238095" customWidth="1"/>
    <col min="185" max="185" width="14.2666666666667" customWidth="1"/>
    <col min="186" max="186" width="13.2666666666667" customWidth="1"/>
    <col min="187" max="187" width="10.7238095238095" customWidth="1"/>
    <col min="188" max="188" width="14.2666666666667" customWidth="1"/>
    <col min="189" max="189" width="13.2666666666667" customWidth="1"/>
    <col min="190" max="190" width="10.7238095238095" customWidth="1"/>
    <col min="191" max="191" width="14.2666666666667" customWidth="1"/>
    <col min="192" max="192" width="13.2666666666667" customWidth="1"/>
    <col min="193" max="193" width="10.7238095238095" customWidth="1"/>
    <col min="194" max="194" width="14.2666666666667" customWidth="1"/>
    <col min="195" max="195" width="13.2666666666667" customWidth="1"/>
    <col min="196" max="196" width="10.7238095238095" customWidth="1"/>
    <col min="197" max="197" width="14.2666666666667" customWidth="1"/>
    <col min="198" max="198" width="13.2666666666667" customWidth="1"/>
    <col min="199" max="199" width="10.7238095238095" customWidth="1"/>
    <col min="200" max="200" width="14.2666666666667" customWidth="1"/>
    <col min="201" max="201" width="13.2666666666667" customWidth="1"/>
    <col min="202" max="202" width="10.7238095238095" customWidth="1"/>
    <col min="203" max="203" width="14.2666666666667" customWidth="1"/>
    <col min="204" max="204" width="13.2666666666667" customWidth="1"/>
    <col min="205" max="205" width="10.7238095238095" customWidth="1"/>
    <col min="206" max="206" width="14.2666666666667" customWidth="1"/>
    <col min="207" max="207" width="13.2666666666667" customWidth="1"/>
    <col min="208" max="208" width="10.7238095238095" customWidth="1"/>
    <col min="209" max="209" width="14.2666666666667" customWidth="1"/>
    <col min="210" max="210" width="13.2666666666667" customWidth="1"/>
    <col min="211" max="211" width="10.7238095238095" customWidth="1"/>
    <col min="212" max="212" width="14.2666666666667" customWidth="1"/>
    <col min="213" max="213" width="13.2666666666667" customWidth="1"/>
    <col min="214" max="214" width="10.7238095238095" customWidth="1"/>
    <col min="215" max="215" width="14.2666666666667" customWidth="1"/>
    <col min="216" max="216" width="13.2666666666667" customWidth="1"/>
    <col min="217" max="217" width="10.7238095238095" customWidth="1"/>
    <col min="218" max="218" width="14.2666666666667" customWidth="1"/>
    <col min="219" max="219" width="13.2666666666667" customWidth="1"/>
    <col min="220" max="220" width="10.7238095238095" customWidth="1"/>
    <col min="221" max="221" width="14.2666666666667" customWidth="1"/>
    <col min="222" max="222" width="13.2666666666667" customWidth="1"/>
    <col min="223" max="223" width="10.7238095238095" customWidth="1"/>
    <col min="224" max="224" width="14.2666666666667" customWidth="1"/>
    <col min="225" max="225" width="13.2666666666667" customWidth="1"/>
    <col min="226" max="226" width="10.7238095238095" customWidth="1"/>
    <col min="227" max="227" width="14.2666666666667" customWidth="1"/>
    <col min="228" max="228" width="13.2666666666667" customWidth="1"/>
    <col min="229" max="229" width="10.7238095238095" customWidth="1"/>
    <col min="230" max="230" width="14.2666666666667" customWidth="1"/>
    <col min="231" max="231" width="13.2666666666667" customWidth="1"/>
    <col min="232" max="232" width="10.7238095238095" customWidth="1"/>
    <col min="233" max="233" width="14.2666666666667" customWidth="1"/>
    <col min="234" max="234" width="13.2666666666667" customWidth="1"/>
    <col min="235" max="235" width="10.7238095238095" customWidth="1"/>
    <col min="236" max="236" width="14.2666666666667" customWidth="1"/>
    <col min="237" max="237" width="13.2666666666667" customWidth="1"/>
    <col min="238" max="238" width="10.7238095238095" customWidth="1"/>
    <col min="239" max="239" width="14.2666666666667" customWidth="1"/>
    <col min="240" max="240" width="13.2666666666667" customWidth="1"/>
    <col min="241" max="241" width="10.7238095238095" customWidth="1"/>
    <col min="242" max="242" width="14.2666666666667" customWidth="1"/>
    <col min="243" max="243" width="13.2666666666667" customWidth="1"/>
    <col min="244" max="244" width="10.7238095238095" customWidth="1"/>
    <col min="245" max="245" width="14.2666666666667" customWidth="1"/>
    <col min="246" max="246" width="13.2666666666667" customWidth="1"/>
    <col min="247" max="247" width="10.7238095238095" customWidth="1"/>
    <col min="248" max="248" width="14.2666666666667" customWidth="1"/>
    <col min="249" max="249" width="13.2666666666667" customWidth="1"/>
    <col min="250" max="250" width="10.7238095238095" customWidth="1"/>
    <col min="251" max="251" width="14.2666666666667" customWidth="1"/>
    <col min="252" max="252" width="13.2666666666667" customWidth="1"/>
    <col min="253" max="253" width="10.7238095238095" customWidth="1"/>
    <col min="254" max="254" width="14.2666666666667" customWidth="1"/>
    <col min="255" max="255" width="13.2666666666667" customWidth="1"/>
    <col min="256" max="256" width="10.7238095238095" customWidth="1"/>
    <col min="257" max="257" width="14.2666666666667" customWidth="1"/>
    <col min="258" max="258" width="13.2666666666667" customWidth="1"/>
    <col min="259" max="259" width="10.7238095238095" customWidth="1"/>
    <col min="260" max="260" width="14.2666666666667" customWidth="1"/>
    <col min="261" max="261" width="13.2666666666667" customWidth="1"/>
    <col min="262" max="262" width="10.7238095238095" customWidth="1"/>
    <col min="263" max="263" width="14.2666666666667" customWidth="1"/>
    <col min="264" max="264" width="13.2666666666667" customWidth="1"/>
    <col min="265" max="265" width="10.7238095238095" customWidth="1"/>
    <col min="266" max="266" width="14.2666666666667" customWidth="1"/>
    <col min="267" max="267" width="13.2666666666667" customWidth="1"/>
    <col min="268" max="268" width="10.7238095238095" customWidth="1"/>
    <col min="269" max="269" width="14.2666666666667" customWidth="1"/>
    <col min="270" max="270" width="13.2666666666667" customWidth="1"/>
    <col min="271" max="271" width="10.7238095238095" customWidth="1"/>
    <col min="272" max="272" width="14.2666666666667" customWidth="1"/>
    <col min="273" max="273" width="13.2666666666667" customWidth="1"/>
    <col min="274" max="274" width="10.7238095238095" customWidth="1"/>
    <col min="275" max="275" width="14.2666666666667" customWidth="1"/>
    <col min="276" max="276" width="13.2666666666667" customWidth="1"/>
    <col min="277" max="277" width="10.7238095238095" customWidth="1"/>
  </cols>
  <sheetData>
    <row r="1" ht="18.75" spans="1:277">
      <c r="A1" s="58" t="s">
        <v>305</v>
      </c>
      <c r="B1" s="59"/>
      <c r="C1" s="59"/>
      <c r="D1" s="60"/>
      <c r="E1" s="61" t="s">
        <v>306</v>
      </c>
      <c r="F1" s="62"/>
      <c r="G1" s="63"/>
      <c r="H1" s="61" t="s">
        <v>307</v>
      </c>
      <c r="I1" s="62"/>
      <c r="J1" s="63"/>
      <c r="K1" s="61" t="s">
        <v>308</v>
      </c>
      <c r="L1" s="62"/>
      <c r="M1" s="63"/>
      <c r="N1" s="61" t="s">
        <v>309</v>
      </c>
      <c r="O1" s="62"/>
      <c r="P1" s="63"/>
      <c r="Q1" s="61" t="s">
        <v>310</v>
      </c>
      <c r="R1" s="62"/>
      <c r="S1" s="63"/>
      <c r="T1" s="61" t="s">
        <v>311</v>
      </c>
      <c r="U1" s="62"/>
      <c r="V1" s="63"/>
      <c r="W1" s="61" t="s">
        <v>312</v>
      </c>
      <c r="X1" s="62"/>
      <c r="Y1" s="63"/>
      <c r="Z1" s="61" t="s">
        <v>313</v>
      </c>
      <c r="AA1" s="62"/>
      <c r="AB1" s="63"/>
      <c r="AC1" s="61" t="s">
        <v>314</v>
      </c>
      <c r="AD1" s="62"/>
      <c r="AE1" s="63"/>
      <c r="AF1" s="61" t="s">
        <v>315</v>
      </c>
      <c r="AG1" s="62"/>
      <c r="AH1" s="63"/>
      <c r="AI1" s="61" t="s">
        <v>316</v>
      </c>
      <c r="AJ1" s="62"/>
      <c r="AK1" s="63"/>
      <c r="AL1" s="241" t="s">
        <v>317</v>
      </c>
      <c r="AM1" s="242"/>
      <c r="AN1" s="243"/>
      <c r="AO1" s="61" t="s">
        <v>318</v>
      </c>
      <c r="AP1" s="62"/>
      <c r="AQ1" s="63"/>
      <c r="AR1" s="61" t="s">
        <v>319</v>
      </c>
      <c r="AS1" s="62"/>
      <c r="AT1" s="63"/>
      <c r="AU1" s="61" t="s">
        <v>320</v>
      </c>
      <c r="AV1" s="62"/>
      <c r="AW1" s="63"/>
      <c r="AX1" s="61" t="s">
        <v>321</v>
      </c>
      <c r="AY1" s="62"/>
      <c r="AZ1" s="63"/>
      <c r="BA1" s="244" t="s">
        <v>322</v>
      </c>
      <c r="BB1" s="245"/>
      <c r="BC1" s="246"/>
      <c r="BD1" s="244" t="s">
        <v>323</v>
      </c>
      <c r="BE1" s="245"/>
      <c r="BF1" s="246"/>
      <c r="BG1" s="241" t="s">
        <v>324</v>
      </c>
      <c r="BH1" s="242"/>
      <c r="BI1" s="243"/>
      <c r="BJ1" s="61" t="s">
        <v>325</v>
      </c>
      <c r="BK1" s="62"/>
      <c r="BL1" s="63"/>
      <c r="BM1" s="244" t="s">
        <v>326</v>
      </c>
      <c r="BN1" s="245"/>
      <c r="BO1" s="246"/>
      <c r="BP1" s="244" t="s">
        <v>327</v>
      </c>
      <c r="BQ1" s="245"/>
      <c r="BR1" s="246"/>
      <c r="BS1" s="244" t="s">
        <v>328</v>
      </c>
      <c r="BT1" s="245"/>
      <c r="BU1" s="246"/>
      <c r="BV1" s="244" t="s">
        <v>329</v>
      </c>
      <c r="BW1" s="245"/>
      <c r="BX1" s="246"/>
      <c r="BY1" s="244" t="s">
        <v>330</v>
      </c>
      <c r="BZ1" s="245"/>
      <c r="CA1" s="246"/>
      <c r="CB1" s="244" t="s">
        <v>331</v>
      </c>
      <c r="CC1" s="245"/>
      <c r="CD1" s="246"/>
      <c r="CE1" s="244" t="s">
        <v>332</v>
      </c>
      <c r="CF1" s="245"/>
      <c r="CG1" s="246"/>
      <c r="CH1" s="244" t="s">
        <v>333</v>
      </c>
      <c r="CI1" s="245"/>
      <c r="CJ1" s="246"/>
      <c r="CK1" s="241" t="s">
        <v>334</v>
      </c>
      <c r="CL1" s="242"/>
      <c r="CM1" s="243"/>
      <c r="CN1" s="241" t="s">
        <v>335</v>
      </c>
      <c r="CO1" s="242"/>
      <c r="CP1" s="243"/>
      <c r="CQ1" s="61" t="s">
        <v>336</v>
      </c>
      <c r="CR1" s="62"/>
      <c r="CS1" s="63"/>
      <c r="CT1" s="241" t="s">
        <v>337</v>
      </c>
      <c r="CU1" s="242"/>
      <c r="CV1" s="243"/>
      <c r="CW1" s="241" t="s">
        <v>338</v>
      </c>
      <c r="CX1" s="242"/>
      <c r="CY1" s="243"/>
      <c r="CZ1" s="241" t="s">
        <v>339</v>
      </c>
      <c r="DA1" s="242"/>
      <c r="DB1" s="243"/>
      <c r="DC1" s="241" t="s">
        <v>340</v>
      </c>
      <c r="DD1" s="242"/>
      <c r="DE1" s="243"/>
      <c r="DF1" s="241" t="s">
        <v>341</v>
      </c>
      <c r="DG1" s="242"/>
      <c r="DH1" s="243"/>
      <c r="DI1" s="241" t="s">
        <v>342</v>
      </c>
      <c r="DJ1" s="242"/>
      <c r="DK1" s="243"/>
      <c r="DL1" s="241" t="s">
        <v>343</v>
      </c>
      <c r="DM1" s="242"/>
      <c r="DN1" s="243"/>
      <c r="DO1" s="244" t="s">
        <v>344</v>
      </c>
      <c r="DP1" s="245"/>
      <c r="DQ1" s="246"/>
      <c r="DR1" s="244" t="s">
        <v>345</v>
      </c>
      <c r="DS1" s="245"/>
      <c r="DT1" s="246"/>
      <c r="DU1" s="244" t="s">
        <v>346</v>
      </c>
      <c r="DV1" s="245"/>
      <c r="DW1" s="246"/>
      <c r="DX1" s="244" t="s">
        <v>347</v>
      </c>
      <c r="DY1" s="245"/>
      <c r="DZ1" s="246"/>
      <c r="EA1" s="244" t="s">
        <v>348</v>
      </c>
      <c r="EB1" s="245"/>
      <c r="EC1" s="246"/>
      <c r="ED1" s="244" t="s">
        <v>349</v>
      </c>
      <c r="EE1" s="245"/>
      <c r="EF1" s="246"/>
      <c r="EG1" s="244" t="s">
        <v>350</v>
      </c>
      <c r="EH1" s="245"/>
      <c r="EI1" s="246"/>
      <c r="EJ1" s="244" t="s">
        <v>351</v>
      </c>
      <c r="EK1" s="245"/>
      <c r="EL1" s="246"/>
      <c r="EM1" s="241" t="s">
        <v>352</v>
      </c>
      <c r="EN1" s="242"/>
      <c r="EO1" s="243"/>
      <c r="EP1" s="244" t="s">
        <v>353</v>
      </c>
      <c r="EQ1" s="245"/>
      <c r="ER1" s="246"/>
      <c r="ES1" s="244" t="s">
        <v>354</v>
      </c>
      <c r="ET1" s="245"/>
      <c r="EU1" s="246"/>
      <c r="EV1" s="244" t="s">
        <v>355</v>
      </c>
      <c r="EW1" s="245"/>
      <c r="EX1" s="246"/>
      <c r="EY1" s="241" t="s">
        <v>356</v>
      </c>
      <c r="EZ1" s="242"/>
      <c r="FA1" s="243"/>
      <c r="FB1" s="241" t="s">
        <v>357</v>
      </c>
      <c r="FC1" s="242"/>
      <c r="FD1" s="243"/>
      <c r="FE1" s="241" t="s">
        <v>358</v>
      </c>
      <c r="FF1" s="242"/>
      <c r="FG1" s="243"/>
      <c r="FH1" s="241" t="s">
        <v>359</v>
      </c>
      <c r="FI1" s="242"/>
      <c r="FJ1" s="243"/>
      <c r="FK1" s="241" t="s">
        <v>360</v>
      </c>
      <c r="FL1" s="242"/>
      <c r="FM1" s="243"/>
      <c r="FN1" s="241" t="s">
        <v>361</v>
      </c>
      <c r="FO1" s="242"/>
      <c r="FP1" s="243"/>
      <c r="FQ1" s="241" t="s">
        <v>362</v>
      </c>
      <c r="FR1" s="242"/>
      <c r="FS1" s="243"/>
      <c r="FT1" s="241" t="s">
        <v>363</v>
      </c>
      <c r="FU1" s="242"/>
      <c r="FV1" s="243"/>
      <c r="FW1" s="241" t="s">
        <v>364</v>
      </c>
      <c r="FX1" s="242"/>
      <c r="FY1" s="243"/>
      <c r="FZ1" s="241" t="s">
        <v>365</v>
      </c>
      <c r="GA1" s="242"/>
      <c r="GB1" s="243"/>
      <c r="GC1" s="241" t="s">
        <v>366</v>
      </c>
      <c r="GD1" s="242"/>
      <c r="GE1" s="243"/>
      <c r="GF1" s="241" t="s">
        <v>367</v>
      </c>
      <c r="GG1" s="242"/>
      <c r="GH1" s="243"/>
      <c r="GI1" s="241" t="s">
        <v>368</v>
      </c>
      <c r="GJ1" s="242"/>
      <c r="GK1" s="243"/>
      <c r="GL1" s="241" t="s">
        <v>369</v>
      </c>
      <c r="GM1" s="242"/>
      <c r="GN1" s="243"/>
      <c r="GO1" s="241" t="s">
        <v>370</v>
      </c>
      <c r="GP1" s="242"/>
      <c r="GQ1" s="243"/>
      <c r="GR1" s="61" t="s">
        <v>371</v>
      </c>
      <c r="GS1" s="62"/>
      <c r="GT1" s="63"/>
      <c r="GU1" s="61" t="s">
        <v>372</v>
      </c>
      <c r="GV1" s="62"/>
      <c r="GW1" s="63"/>
      <c r="GX1" s="61" t="s">
        <v>373</v>
      </c>
      <c r="GY1" s="62"/>
      <c r="GZ1" s="63"/>
      <c r="HA1" s="244" t="s">
        <v>374</v>
      </c>
      <c r="HB1" s="245"/>
      <c r="HC1" s="246"/>
      <c r="HD1" s="244" t="s">
        <v>375</v>
      </c>
      <c r="HE1" s="245"/>
      <c r="HF1" s="246"/>
      <c r="HG1" s="244" t="s">
        <v>376</v>
      </c>
      <c r="HH1" s="245"/>
      <c r="HI1" s="246"/>
      <c r="HJ1" s="244" t="s">
        <v>377</v>
      </c>
      <c r="HK1" s="245"/>
      <c r="HL1" s="246"/>
      <c r="HM1" s="241" t="s">
        <v>378</v>
      </c>
      <c r="HN1" s="242"/>
      <c r="HO1" s="243"/>
      <c r="HP1" s="241" t="s">
        <v>379</v>
      </c>
      <c r="HQ1" s="242"/>
      <c r="HR1" s="243"/>
      <c r="HS1" s="241" t="s">
        <v>380</v>
      </c>
      <c r="HT1" s="242"/>
      <c r="HU1" s="243"/>
      <c r="HV1" s="241" t="s">
        <v>381</v>
      </c>
      <c r="HW1" s="242"/>
      <c r="HX1" s="243"/>
      <c r="HY1" s="241" t="s">
        <v>382</v>
      </c>
      <c r="HZ1" s="242"/>
      <c r="IA1" s="243"/>
      <c r="IB1" s="241" t="s">
        <v>383</v>
      </c>
      <c r="IC1" s="242"/>
      <c r="ID1" s="243"/>
      <c r="IE1" s="244" t="s">
        <v>384</v>
      </c>
      <c r="IF1" s="245"/>
      <c r="IG1" s="246"/>
      <c r="IH1" s="244" t="s">
        <v>385</v>
      </c>
      <c r="II1" s="245"/>
      <c r="IJ1" s="246"/>
      <c r="IK1" s="241" t="s">
        <v>386</v>
      </c>
      <c r="IL1" s="242"/>
      <c r="IM1" s="243"/>
      <c r="IN1" s="244" t="s">
        <v>387</v>
      </c>
      <c r="IO1" s="245"/>
      <c r="IP1" s="246"/>
      <c r="IQ1" s="244" t="s">
        <v>388</v>
      </c>
      <c r="IR1" s="245"/>
      <c r="IS1" s="246"/>
      <c r="IT1" s="244" t="s">
        <v>389</v>
      </c>
      <c r="IU1" s="245"/>
      <c r="IV1" s="246"/>
      <c r="IW1" s="241" t="s">
        <v>390</v>
      </c>
      <c r="IX1" s="242"/>
      <c r="IY1" s="243"/>
      <c r="IZ1" s="241" t="s">
        <v>391</v>
      </c>
      <c r="JA1" s="242"/>
      <c r="JB1" s="243"/>
      <c r="JC1" s="244" t="s">
        <v>392</v>
      </c>
      <c r="JD1" s="245"/>
      <c r="JE1" s="246"/>
      <c r="JF1" s="244" t="s">
        <v>393</v>
      </c>
      <c r="JG1" s="245"/>
      <c r="JH1" s="246"/>
      <c r="JI1" s="61" t="s">
        <v>394</v>
      </c>
      <c r="JJ1" s="62"/>
      <c r="JK1" s="63"/>
      <c r="JL1" s="61" t="s">
        <v>395</v>
      </c>
      <c r="JM1" s="62"/>
      <c r="JN1" s="63"/>
      <c r="JO1" s="61" t="s">
        <v>396</v>
      </c>
      <c r="JP1" s="62"/>
      <c r="JQ1" s="63"/>
    </row>
    <row r="2" ht="15.75" spans="1:277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04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  <c r="AI2" s="35" t="s">
        <v>158</v>
      </c>
      <c r="AJ2" s="35" t="s">
        <v>159</v>
      </c>
      <c r="AK2" s="35" t="s">
        <v>160</v>
      </c>
      <c r="AL2" s="35" t="s">
        <v>158</v>
      </c>
      <c r="AM2" s="35" t="s">
        <v>159</v>
      </c>
      <c r="AN2" s="35" t="s">
        <v>160</v>
      </c>
      <c r="AO2" s="35" t="s">
        <v>158</v>
      </c>
      <c r="AP2" s="35" t="s">
        <v>159</v>
      </c>
      <c r="AQ2" s="35" t="s">
        <v>160</v>
      </c>
      <c r="AR2" s="35" t="s">
        <v>158</v>
      </c>
      <c r="AS2" s="35" t="s">
        <v>159</v>
      </c>
      <c r="AT2" s="35" t="s">
        <v>160</v>
      </c>
      <c r="AU2" s="35" t="s">
        <v>158</v>
      </c>
      <c r="AV2" s="35" t="s">
        <v>159</v>
      </c>
      <c r="AW2" s="35" t="s">
        <v>160</v>
      </c>
      <c r="AX2" s="35" t="s">
        <v>158</v>
      </c>
      <c r="AY2" s="35" t="s">
        <v>159</v>
      </c>
      <c r="AZ2" s="35" t="s">
        <v>160</v>
      </c>
      <c r="BA2" s="35" t="s">
        <v>158</v>
      </c>
      <c r="BB2" s="35" t="s">
        <v>159</v>
      </c>
      <c r="BC2" s="35" t="s">
        <v>160</v>
      </c>
      <c r="BD2" s="35" t="s">
        <v>158</v>
      </c>
      <c r="BE2" s="35" t="s">
        <v>159</v>
      </c>
      <c r="BF2" s="35" t="s">
        <v>160</v>
      </c>
      <c r="BG2" s="35" t="s">
        <v>158</v>
      </c>
      <c r="BH2" s="35" t="s">
        <v>159</v>
      </c>
      <c r="BI2" s="35" t="s">
        <v>160</v>
      </c>
      <c r="BJ2" s="35" t="s">
        <v>158</v>
      </c>
      <c r="BK2" s="35" t="s">
        <v>159</v>
      </c>
      <c r="BL2" s="35" t="s">
        <v>160</v>
      </c>
      <c r="BM2" s="35" t="s">
        <v>158</v>
      </c>
      <c r="BN2" s="35" t="s">
        <v>159</v>
      </c>
      <c r="BO2" s="35" t="s">
        <v>160</v>
      </c>
      <c r="BP2" s="35" t="s">
        <v>158</v>
      </c>
      <c r="BQ2" s="35" t="s">
        <v>159</v>
      </c>
      <c r="BR2" s="35" t="s">
        <v>160</v>
      </c>
      <c r="BS2" s="35" t="s">
        <v>158</v>
      </c>
      <c r="BT2" s="35" t="s">
        <v>159</v>
      </c>
      <c r="BU2" s="35" t="s">
        <v>160</v>
      </c>
      <c r="BV2" s="35" t="s">
        <v>158</v>
      </c>
      <c r="BW2" s="35" t="s">
        <v>159</v>
      </c>
      <c r="BX2" s="35" t="s">
        <v>160</v>
      </c>
      <c r="BY2" s="35" t="s">
        <v>158</v>
      </c>
      <c r="BZ2" s="35" t="s">
        <v>159</v>
      </c>
      <c r="CA2" s="35" t="s">
        <v>160</v>
      </c>
      <c r="CB2" s="35" t="s">
        <v>158</v>
      </c>
      <c r="CC2" s="35" t="s">
        <v>159</v>
      </c>
      <c r="CD2" s="35" t="s">
        <v>160</v>
      </c>
      <c r="CE2" s="35" t="s">
        <v>158</v>
      </c>
      <c r="CF2" s="35" t="s">
        <v>159</v>
      </c>
      <c r="CG2" s="35" t="s">
        <v>160</v>
      </c>
      <c r="CH2" s="35" t="s">
        <v>158</v>
      </c>
      <c r="CI2" s="35" t="s">
        <v>159</v>
      </c>
      <c r="CJ2" s="35" t="s">
        <v>160</v>
      </c>
      <c r="CK2" s="35" t="s">
        <v>158</v>
      </c>
      <c r="CL2" s="35" t="s">
        <v>159</v>
      </c>
      <c r="CM2" s="35" t="s">
        <v>160</v>
      </c>
      <c r="CN2" s="35" t="s">
        <v>158</v>
      </c>
      <c r="CO2" s="35" t="s">
        <v>159</v>
      </c>
      <c r="CP2" s="35" t="s">
        <v>160</v>
      </c>
      <c r="CQ2" s="35" t="s">
        <v>158</v>
      </c>
      <c r="CR2" s="35" t="s">
        <v>159</v>
      </c>
      <c r="CS2" s="35" t="s">
        <v>160</v>
      </c>
      <c r="CT2" s="35" t="s">
        <v>158</v>
      </c>
      <c r="CU2" s="35" t="s">
        <v>159</v>
      </c>
      <c r="CV2" s="35" t="s">
        <v>160</v>
      </c>
      <c r="CW2" s="35" t="s">
        <v>158</v>
      </c>
      <c r="CX2" s="35" t="s">
        <v>159</v>
      </c>
      <c r="CY2" s="35" t="s">
        <v>160</v>
      </c>
      <c r="CZ2" s="35" t="s">
        <v>158</v>
      </c>
      <c r="DA2" s="35" t="s">
        <v>159</v>
      </c>
      <c r="DB2" s="35" t="s">
        <v>160</v>
      </c>
      <c r="DC2" s="35" t="s">
        <v>158</v>
      </c>
      <c r="DD2" s="35" t="s">
        <v>159</v>
      </c>
      <c r="DE2" s="35" t="s">
        <v>160</v>
      </c>
      <c r="DF2" s="35" t="s">
        <v>158</v>
      </c>
      <c r="DG2" s="35" t="s">
        <v>159</v>
      </c>
      <c r="DH2" s="35" t="s">
        <v>160</v>
      </c>
      <c r="DI2" s="35" t="s">
        <v>158</v>
      </c>
      <c r="DJ2" s="35" t="s">
        <v>159</v>
      </c>
      <c r="DK2" s="35" t="s">
        <v>160</v>
      </c>
      <c r="DL2" s="35" t="s">
        <v>158</v>
      </c>
      <c r="DM2" s="35" t="s">
        <v>159</v>
      </c>
      <c r="DN2" s="35" t="s">
        <v>160</v>
      </c>
      <c r="DO2" s="35" t="s">
        <v>158</v>
      </c>
      <c r="DP2" s="35" t="s">
        <v>159</v>
      </c>
      <c r="DQ2" s="35" t="s">
        <v>160</v>
      </c>
      <c r="DR2" s="35" t="s">
        <v>158</v>
      </c>
      <c r="DS2" s="35" t="s">
        <v>159</v>
      </c>
      <c r="DT2" s="35" t="s">
        <v>160</v>
      </c>
      <c r="DU2" s="35" t="s">
        <v>158</v>
      </c>
      <c r="DV2" s="35" t="s">
        <v>159</v>
      </c>
      <c r="DW2" s="34" t="s">
        <v>160</v>
      </c>
      <c r="DX2" s="35" t="s">
        <v>158</v>
      </c>
      <c r="DY2" s="35" t="s">
        <v>159</v>
      </c>
      <c r="DZ2" s="35" t="s">
        <v>160</v>
      </c>
      <c r="EA2" s="35" t="s">
        <v>158</v>
      </c>
      <c r="EB2" s="35" t="s">
        <v>159</v>
      </c>
      <c r="EC2" s="35" t="s">
        <v>160</v>
      </c>
      <c r="ED2" s="35" t="s">
        <v>158</v>
      </c>
      <c r="EE2" s="35" t="s">
        <v>159</v>
      </c>
      <c r="EF2" s="35" t="s">
        <v>160</v>
      </c>
      <c r="EG2" s="35" t="s">
        <v>158</v>
      </c>
      <c r="EH2" s="35" t="s">
        <v>159</v>
      </c>
      <c r="EI2" s="35" t="s">
        <v>160</v>
      </c>
      <c r="EJ2" s="35" t="s">
        <v>158</v>
      </c>
      <c r="EK2" s="35" t="s">
        <v>159</v>
      </c>
      <c r="EL2" s="35" t="s">
        <v>160</v>
      </c>
      <c r="EM2" s="35" t="s">
        <v>158</v>
      </c>
      <c r="EN2" s="35" t="s">
        <v>159</v>
      </c>
      <c r="EO2" s="35" t="s">
        <v>160</v>
      </c>
      <c r="EP2" s="35" t="s">
        <v>158</v>
      </c>
      <c r="EQ2" s="35" t="s">
        <v>159</v>
      </c>
      <c r="ER2" s="35" t="s">
        <v>160</v>
      </c>
      <c r="ES2" s="35" t="s">
        <v>158</v>
      </c>
      <c r="ET2" s="35" t="s">
        <v>159</v>
      </c>
      <c r="EU2" s="35" t="s">
        <v>160</v>
      </c>
      <c r="EV2" s="35" t="s">
        <v>158</v>
      </c>
      <c r="EW2" s="35" t="s">
        <v>159</v>
      </c>
      <c r="EX2" s="35" t="s">
        <v>160</v>
      </c>
      <c r="EY2" s="35" t="s">
        <v>158</v>
      </c>
      <c r="EZ2" s="35" t="s">
        <v>159</v>
      </c>
      <c r="FA2" s="35" t="s">
        <v>160</v>
      </c>
      <c r="FB2" s="35" t="s">
        <v>158</v>
      </c>
      <c r="FC2" s="35" t="s">
        <v>159</v>
      </c>
      <c r="FD2" s="35" t="s">
        <v>160</v>
      </c>
      <c r="FE2" s="35" t="s">
        <v>158</v>
      </c>
      <c r="FF2" s="35" t="s">
        <v>159</v>
      </c>
      <c r="FG2" s="35" t="s">
        <v>160</v>
      </c>
      <c r="FH2" s="35" t="s">
        <v>158</v>
      </c>
      <c r="FI2" s="35" t="s">
        <v>159</v>
      </c>
      <c r="FJ2" s="35" t="s">
        <v>160</v>
      </c>
      <c r="FK2" s="35" t="s">
        <v>158</v>
      </c>
      <c r="FL2" s="35" t="s">
        <v>159</v>
      </c>
      <c r="FM2" s="35" t="s">
        <v>160</v>
      </c>
      <c r="FN2" s="35" t="s">
        <v>158</v>
      </c>
      <c r="FO2" s="35" t="s">
        <v>159</v>
      </c>
      <c r="FP2" s="35" t="s">
        <v>160</v>
      </c>
      <c r="FQ2" s="35" t="s">
        <v>158</v>
      </c>
      <c r="FR2" s="35" t="s">
        <v>159</v>
      </c>
      <c r="FS2" s="35" t="s">
        <v>160</v>
      </c>
      <c r="FT2" s="35" t="s">
        <v>158</v>
      </c>
      <c r="FU2" s="35" t="s">
        <v>159</v>
      </c>
      <c r="FV2" s="35" t="s">
        <v>160</v>
      </c>
      <c r="FW2" s="35" t="s">
        <v>158</v>
      </c>
      <c r="FX2" s="35" t="s">
        <v>159</v>
      </c>
      <c r="FY2" s="35" t="s">
        <v>160</v>
      </c>
      <c r="FZ2" s="35" t="s">
        <v>158</v>
      </c>
      <c r="GA2" s="35" t="s">
        <v>159</v>
      </c>
      <c r="GB2" s="35" t="s">
        <v>160</v>
      </c>
      <c r="GC2" s="35" t="s">
        <v>158</v>
      </c>
      <c r="GD2" s="35" t="s">
        <v>159</v>
      </c>
      <c r="GE2" s="35" t="s">
        <v>160</v>
      </c>
      <c r="GF2" s="35" t="s">
        <v>158</v>
      </c>
      <c r="GG2" s="35" t="s">
        <v>159</v>
      </c>
      <c r="GH2" s="35" t="s">
        <v>160</v>
      </c>
      <c r="GI2" s="35" t="s">
        <v>158</v>
      </c>
      <c r="GJ2" s="35" t="s">
        <v>159</v>
      </c>
      <c r="GK2" s="35" t="s">
        <v>160</v>
      </c>
      <c r="GL2" s="35" t="s">
        <v>158</v>
      </c>
      <c r="GM2" s="35" t="s">
        <v>159</v>
      </c>
      <c r="GN2" s="35" t="s">
        <v>160</v>
      </c>
      <c r="GO2" s="35" t="s">
        <v>158</v>
      </c>
      <c r="GP2" s="35" t="s">
        <v>159</v>
      </c>
      <c r="GQ2" s="35" t="s">
        <v>160</v>
      </c>
      <c r="GR2" s="35" t="s">
        <v>158</v>
      </c>
      <c r="GS2" s="35" t="s">
        <v>159</v>
      </c>
      <c r="GT2" s="35" t="s">
        <v>160</v>
      </c>
      <c r="GU2" s="35" t="s">
        <v>158</v>
      </c>
      <c r="GV2" s="35" t="s">
        <v>159</v>
      </c>
      <c r="GW2" s="35" t="s">
        <v>160</v>
      </c>
      <c r="GX2" s="35" t="s">
        <v>158</v>
      </c>
      <c r="GY2" s="35" t="s">
        <v>159</v>
      </c>
      <c r="GZ2" s="304" t="s">
        <v>160</v>
      </c>
      <c r="HA2" s="35" t="s">
        <v>158</v>
      </c>
      <c r="HB2" s="35" t="s">
        <v>159</v>
      </c>
      <c r="HC2" s="35" t="s">
        <v>160</v>
      </c>
      <c r="HD2" s="35" t="s">
        <v>158</v>
      </c>
      <c r="HE2" s="35" t="s">
        <v>159</v>
      </c>
      <c r="HF2" s="35" t="s">
        <v>160</v>
      </c>
      <c r="HG2" s="35" t="s">
        <v>158</v>
      </c>
      <c r="HH2" s="35" t="s">
        <v>159</v>
      </c>
      <c r="HI2" s="35" t="s">
        <v>160</v>
      </c>
      <c r="HJ2" s="35" t="s">
        <v>158</v>
      </c>
      <c r="HK2" s="35" t="s">
        <v>159</v>
      </c>
      <c r="HL2" s="35" t="s">
        <v>160</v>
      </c>
      <c r="HM2" s="35" t="s">
        <v>158</v>
      </c>
      <c r="HN2" s="35" t="s">
        <v>159</v>
      </c>
      <c r="HO2" s="35" t="s">
        <v>160</v>
      </c>
      <c r="HP2" s="35" t="s">
        <v>158</v>
      </c>
      <c r="HQ2" s="35" t="s">
        <v>159</v>
      </c>
      <c r="HR2" s="35" t="s">
        <v>160</v>
      </c>
      <c r="HS2" s="35" t="s">
        <v>158</v>
      </c>
      <c r="HT2" s="35" t="s">
        <v>159</v>
      </c>
      <c r="HU2" s="35" t="s">
        <v>160</v>
      </c>
      <c r="HV2" s="35" t="s">
        <v>158</v>
      </c>
      <c r="HW2" s="35" t="s">
        <v>159</v>
      </c>
      <c r="HX2" s="35" t="s">
        <v>160</v>
      </c>
      <c r="HY2" s="35" t="s">
        <v>158</v>
      </c>
      <c r="HZ2" s="35" t="s">
        <v>159</v>
      </c>
      <c r="IA2" s="35" t="s">
        <v>160</v>
      </c>
      <c r="IB2" s="35" t="s">
        <v>158</v>
      </c>
      <c r="IC2" s="35" t="s">
        <v>159</v>
      </c>
      <c r="ID2" s="35" t="s">
        <v>160</v>
      </c>
      <c r="IE2" s="35" t="s">
        <v>158</v>
      </c>
      <c r="IF2" s="35" t="s">
        <v>159</v>
      </c>
      <c r="IG2" s="35" t="s">
        <v>160</v>
      </c>
      <c r="IH2" s="35" t="s">
        <v>158</v>
      </c>
      <c r="II2" s="35" t="s">
        <v>159</v>
      </c>
      <c r="IJ2" s="35" t="s">
        <v>160</v>
      </c>
      <c r="IK2" s="35" t="s">
        <v>158</v>
      </c>
      <c r="IL2" s="35" t="s">
        <v>159</v>
      </c>
      <c r="IM2" s="35" t="s">
        <v>160</v>
      </c>
      <c r="IN2" s="35" t="s">
        <v>158</v>
      </c>
      <c r="IO2" s="35" t="s">
        <v>159</v>
      </c>
      <c r="IP2" s="35" t="s">
        <v>160</v>
      </c>
      <c r="IQ2" s="35" t="s">
        <v>158</v>
      </c>
      <c r="IR2" s="35" t="s">
        <v>159</v>
      </c>
      <c r="IS2" s="35" t="s">
        <v>160</v>
      </c>
      <c r="IT2" s="35" t="s">
        <v>158</v>
      </c>
      <c r="IU2" s="35" t="s">
        <v>159</v>
      </c>
      <c r="IV2" s="35" t="s">
        <v>160</v>
      </c>
      <c r="IW2" s="35" t="s">
        <v>158</v>
      </c>
      <c r="IX2" s="35" t="s">
        <v>159</v>
      </c>
      <c r="IY2" s="35" t="s">
        <v>160</v>
      </c>
      <c r="IZ2" s="35" t="s">
        <v>158</v>
      </c>
      <c r="JA2" s="35" t="s">
        <v>159</v>
      </c>
      <c r="JB2" s="35" t="s">
        <v>160</v>
      </c>
      <c r="JC2" s="35" t="s">
        <v>158</v>
      </c>
      <c r="JD2" s="35" t="s">
        <v>159</v>
      </c>
      <c r="JE2" s="35" t="s">
        <v>160</v>
      </c>
      <c r="JF2" s="35" t="s">
        <v>158</v>
      </c>
      <c r="JG2" s="35" t="s">
        <v>159</v>
      </c>
      <c r="JH2" s="35" t="s">
        <v>160</v>
      </c>
      <c r="JI2" s="35" t="s">
        <v>158</v>
      </c>
      <c r="JJ2" s="35" t="s">
        <v>159</v>
      </c>
      <c r="JK2" s="35" t="s">
        <v>160</v>
      </c>
      <c r="JL2" s="35" t="s">
        <v>158</v>
      </c>
      <c r="JM2" s="35" t="s">
        <v>159</v>
      </c>
      <c r="JN2" s="35" t="s">
        <v>160</v>
      </c>
      <c r="JO2" s="35" t="s">
        <v>158</v>
      </c>
      <c r="JP2" s="35" t="s">
        <v>159</v>
      </c>
      <c r="JQ2" s="35" t="s">
        <v>160</v>
      </c>
    </row>
    <row r="3" spans="1:277">
      <c r="A3" s="2">
        <v>1</v>
      </c>
      <c r="B3" s="2" t="s">
        <v>65</v>
      </c>
      <c r="C3" s="37" t="s">
        <v>161</v>
      </c>
      <c r="D3" s="2" t="s">
        <v>162</v>
      </c>
      <c r="E3" s="20">
        <f>E5*1.333</f>
        <v>677026247.78</v>
      </c>
      <c r="F3" s="20">
        <v>87823960</v>
      </c>
      <c r="G3" s="38">
        <f>E3/F3</f>
        <v>7.70890139524567</v>
      </c>
      <c r="H3" s="20">
        <f>H5*1.333</f>
        <v>-2755953717.947</v>
      </c>
      <c r="I3" s="20">
        <v>211800000</v>
      </c>
      <c r="J3" s="288">
        <f>H3/I3</f>
        <v>-13.0120572141029</v>
      </c>
      <c r="K3" s="20">
        <f>K5*1.333</f>
        <v>287449453</v>
      </c>
      <c r="L3" s="20">
        <v>34090650</v>
      </c>
      <c r="M3" s="38">
        <f>K3/L3</f>
        <v>8.43191470388508</v>
      </c>
      <c r="N3" s="20">
        <f>N5*1.333</f>
        <v>1111971920.171</v>
      </c>
      <c r="O3" s="20">
        <v>37800000</v>
      </c>
      <c r="P3" s="38">
        <f>N3/O3</f>
        <v>29.4172465653704</v>
      </c>
      <c r="Q3" s="20">
        <f>Q5*1.333</f>
        <v>369122458.976</v>
      </c>
      <c r="R3" s="20">
        <v>37379937</v>
      </c>
      <c r="S3" s="38">
        <f>Q3/R3</f>
        <v>9.87488178420418</v>
      </c>
      <c r="T3" s="20">
        <f>T5*1.333</f>
        <v>116954967.28</v>
      </c>
      <c r="U3" s="20">
        <v>22050000</v>
      </c>
      <c r="V3" s="38">
        <f>T3/U3</f>
        <v>5.30408014875283</v>
      </c>
      <c r="W3" s="20">
        <f>W5*1.333</f>
        <v>-194660656</v>
      </c>
      <c r="X3" s="20">
        <v>68421000</v>
      </c>
      <c r="Y3" s="219">
        <f>W3/X3</f>
        <v>-2.84504254541734</v>
      </c>
      <c r="Z3" s="20">
        <f>Z5*1.333</f>
        <v>-36645836.25</v>
      </c>
      <c r="AA3" s="20">
        <v>60000000</v>
      </c>
      <c r="AB3" s="219">
        <f>Z3/AA3</f>
        <v>-0.6107639375</v>
      </c>
      <c r="AC3" s="20">
        <f>AC5*1.333</f>
        <v>471212255.478</v>
      </c>
      <c r="AD3" s="20">
        <v>60759278</v>
      </c>
      <c r="AE3" s="38">
        <f>AC3/AD3</f>
        <v>7.75539589983278</v>
      </c>
      <c r="AF3" s="20">
        <f>AF5*1.333</f>
        <v>281857056.782</v>
      </c>
      <c r="AG3" s="20">
        <v>33325000</v>
      </c>
      <c r="AH3" s="38">
        <f>AF3/AG3</f>
        <v>8.45782616</v>
      </c>
      <c r="AI3" s="20">
        <f>AI5*1.333</f>
        <v>497911315.044</v>
      </c>
      <c r="AJ3" s="20">
        <v>34375000</v>
      </c>
      <c r="AK3" s="38">
        <f>AI3/AJ3</f>
        <v>14.48469280128</v>
      </c>
      <c r="AL3" s="20">
        <f>AL5*1.333</f>
        <v>-180228193.018</v>
      </c>
      <c r="AM3" s="20">
        <v>32000000</v>
      </c>
      <c r="AN3" s="219">
        <f>AL3/AM3</f>
        <v>-5.6321310318125</v>
      </c>
      <c r="AO3" s="20">
        <f>AO5*1.333</f>
        <v>619930857.197</v>
      </c>
      <c r="AP3" s="20">
        <v>26027157</v>
      </c>
      <c r="AQ3" s="38">
        <f>AO3/AP3</f>
        <v>23.8186159632034</v>
      </c>
      <c r="AR3" s="20">
        <f>AR5*1.333</f>
        <v>108107322.411</v>
      </c>
      <c r="AS3" s="20">
        <v>18389793</v>
      </c>
      <c r="AT3" s="38">
        <f>AR3/AS3</f>
        <v>5.87865901541143</v>
      </c>
      <c r="AU3" s="20">
        <f>AU5*1.333</f>
        <v>30651460.552</v>
      </c>
      <c r="AV3" s="20">
        <v>37025584</v>
      </c>
      <c r="AW3" s="219">
        <f>AU3/AV3</f>
        <v>0.827845431202382</v>
      </c>
      <c r="AX3" s="20">
        <f>AX5*1.333</f>
        <v>200300301.736</v>
      </c>
      <c r="AY3" s="20">
        <v>13636370</v>
      </c>
      <c r="AZ3" s="38">
        <f>AX3/AY3</f>
        <v>14.6886819392551</v>
      </c>
      <c r="BA3" s="20">
        <f>BA5*1.333</f>
        <v>-323743270.61</v>
      </c>
      <c r="BB3" s="20">
        <v>36500000</v>
      </c>
      <c r="BC3" s="219">
        <f>BA3/BB3</f>
        <v>-8.86967864684932</v>
      </c>
      <c r="BD3" s="20">
        <f>BD5*1.333</f>
        <v>20093027.487</v>
      </c>
      <c r="BE3" s="20">
        <v>19125000</v>
      </c>
      <c r="BF3" s="38">
        <f>BD3/BE3</f>
        <v>1.05061581631373</v>
      </c>
      <c r="BG3" s="20">
        <f>BG5*1.333</f>
        <v>455750727.16</v>
      </c>
      <c r="BH3" s="20">
        <v>38480030</v>
      </c>
      <c r="BI3" s="38">
        <f>BG3/BH3</f>
        <v>11.8438246321534</v>
      </c>
      <c r="BJ3" s="20">
        <f>BJ5*1.333</f>
        <v>42921690.894</v>
      </c>
      <c r="BK3" s="20">
        <v>38959421</v>
      </c>
      <c r="BL3" s="38">
        <f>BJ3/BK3</f>
        <v>1.10170248407952</v>
      </c>
      <c r="BM3" s="20">
        <f>BM5*1.333</f>
        <v>141846886.744</v>
      </c>
      <c r="BN3" s="20">
        <v>22799299</v>
      </c>
      <c r="BO3" s="38">
        <f>BM3/BN3</f>
        <v>6.22154596700539</v>
      </c>
      <c r="BP3" s="20">
        <f>BP5*1.333</f>
        <v>-99331.161</v>
      </c>
      <c r="BQ3" s="20">
        <v>29000</v>
      </c>
      <c r="BR3" s="260">
        <f>BP3/BQ3</f>
        <v>-3.42521244827586</v>
      </c>
      <c r="BS3" s="20">
        <f>BS5*1.333</f>
        <v>-23524384.1</v>
      </c>
      <c r="BT3" s="20">
        <v>17891627</v>
      </c>
      <c r="BU3" s="219">
        <f>BS3/BT3</f>
        <v>-1.31482643249829</v>
      </c>
      <c r="BV3" s="20">
        <f>BV5*1.333</f>
        <v>179063770.863</v>
      </c>
      <c r="BW3" s="20">
        <v>29000000</v>
      </c>
      <c r="BX3" s="38">
        <f>BV3/BW3</f>
        <v>6.17461278837931</v>
      </c>
      <c r="BY3" s="20">
        <f>BY5*1.333</f>
        <v>-435451689.855</v>
      </c>
      <c r="BZ3" s="20">
        <v>36559400</v>
      </c>
      <c r="CA3" s="260">
        <f>BY3/BZ3</f>
        <v>-11.9107996809302</v>
      </c>
      <c r="CB3" s="20">
        <f>CB5*1.333</f>
        <v>115204848.919</v>
      </c>
      <c r="CC3" s="20">
        <v>8500000</v>
      </c>
      <c r="CD3" s="38">
        <f>CB3/CC3</f>
        <v>13.5535116375294</v>
      </c>
      <c r="CE3" s="20">
        <f>CE5*1.333</f>
        <v>-57189699</v>
      </c>
      <c r="CF3" s="20">
        <v>15000000</v>
      </c>
      <c r="CG3" s="260">
        <f>CE3/CF3</f>
        <v>-3.8126466</v>
      </c>
      <c r="CH3" s="20">
        <f>CH5*1.333</f>
        <v>40928.432</v>
      </c>
      <c r="CI3" s="20">
        <v>12305</v>
      </c>
      <c r="CJ3" s="38">
        <f>CH3/CI3</f>
        <v>3.32616269809021</v>
      </c>
      <c r="CK3" s="20">
        <f>CK5*1.333</f>
        <v>116146472.121</v>
      </c>
      <c r="CL3" s="20">
        <v>7484000</v>
      </c>
      <c r="CM3" s="38">
        <f>CK3/CL3</f>
        <v>15.5193041316141</v>
      </c>
      <c r="CN3" s="20">
        <f>CN5*1.333</f>
        <v>56293692.391</v>
      </c>
      <c r="CO3" s="20">
        <v>5949473</v>
      </c>
      <c r="CP3" s="38">
        <f>CN3/CO3</f>
        <v>9.46196283116168</v>
      </c>
      <c r="CQ3" s="20">
        <f>CQ5*1.333</f>
        <v>-51871219.619</v>
      </c>
      <c r="CR3" s="20">
        <v>10542604</v>
      </c>
      <c r="CS3" s="260">
        <f>CQ3/CR3</f>
        <v>-4.92015251820138</v>
      </c>
      <c r="CT3" s="20">
        <f>CT5*1.333</f>
        <v>90735418.473</v>
      </c>
      <c r="CU3" s="20">
        <v>15930000</v>
      </c>
      <c r="CV3" s="38">
        <f>CT3/CU3</f>
        <v>5.6958831433145</v>
      </c>
      <c r="CW3" s="20">
        <f>CW5*1.333</f>
        <v>42085507.992</v>
      </c>
      <c r="CX3" s="20">
        <v>11732000</v>
      </c>
      <c r="CY3" s="38">
        <f>CW3/CX3</f>
        <v>3.5872407084896</v>
      </c>
      <c r="CZ3" s="20">
        <f>CZ5*1.333</f>
        <v>25337222.777</v>
      </c>
      <c r="DA3" s="20">
        <v>10000000</v>
      </c>
      <c r="DB3" s="38">
        <f>CZ3/DA3</f>
        <v>2.5337222777</v>
      </c>
      <c r="DC3" s="20">
        <f>DC5*1.333</f>
        <v>7458284.296</v>
      </c>
      <c r="DD3" s="20">
        <v>23233518</v>
      </c>
      <c r="DE3" s="219">
        <f>DC3/DD3</f>
        <v>0.321013989185796</v>
      </c>
      <c r="DF3" s="20">
        <f>DF5*1.333</f>
        <v>163713134.815</v>
      </c>
      <c r="DG3" s="20">
        <v>13500000</v>
      </c>
      <c r="DH3" s="38">
        <f>DF3/DG3</f>
        <v>12.1268988751852</v>
      </c>
      <c r="DI3" s="20">
        <f>DI5*1.333</f>
        <v>-62083264.636</v>
      </c>
      <c r="DJ3" s="20">
        <v>28000000</v>
      </c>
      <c r="DK3" s="219">
        <f>DI3/DJ3</f>
        <v>-2.21725945128571</v>
      </c>
      <c r="DL3" s="20">
        <f>DL5*1.333</f>
        <v>88445487.099</v>
      </c>
      <c r="DM3" s="20">
        <v>11298000</v>
      </c>
      <c r="DN3" s="38">
        <f>DL3/DM3</f>
        <v>7.82841981757833</v>
      </c>
      <c r="DO3" s="20">
        <f>DO5*1.333</f>
        <v>77065370.173</v>
      </c>
      <c r="DP3" s="20">
        <v>10654170</v>
      </c>
      <c r="DQ3" s="38">
        <f>DO3/DP3</f>
        <v>7.23335277858341</v>
      </c>
      <c r="DR3" s="20">
        <f>DR5*1.333</f>
        <v>-10852496.864</v>
      </c>
      <c r="DS3" s="20">
        <v>24671629</v>
      </c>
      <c r="DT3" s="219">
        <f>DR3/DS3</f>
        <v>-0.439877596408409</v>
      </c>
      <c r="DU3" s="20">
        <f>DU5*1.333</f>
        <v>117555333.151</v>
      </c>
      <c r="DV3" s="20">
        <v>9339495</v>
      </c>
      <c r="DW3" s="38">
        <f>DU3/DV3</f>
        <v>12.5869046614405</v>
      </c>
      <c r="DX3" s="20">
        <f>DX5*1.333</f>
        <v>46561094.149</v>
      </c>
      <c r="DY3" s="20">
        <v>19800000</v>
      </c>
      <c r="DZ3" s="288">
        <f>DX3/DY3</f>
        <v>2.35157041156566</v>
      </c>
      <c r="EA3" s="20">
        <f>EA5*1.333</f>
        <v>58200230.304</v>
      </c>
      <c r="EB3" s="20">
        <v>12098625</v>
      </c>
      <c r="EC3" s="38">
        <f>EA3/EB3</f>
        <v>4.81048303455971</v>
      </c>
      <c r="ED3" s="20">
        <f>ED5*1.333</f>
        <v>-32753338.951</v>
      </c>
      <c r="EE3" s="20">
        <v>22500000</v>
      </c>
      <c r="EF3" s="219">
        <f>ED3/EE3</f>
        <v>-1.45570395337778</v>
      </c>
      <c r="EG3" s="20">
        <f>EG5*1.333</f>
        <v>4769665.952</v>
      </c>
      <c r="EH3" s="20">
        <v>5358150</v>
      </c>
      <c r="EI3" s="219">
        <f>EG3/EH3</f>
        <v>0.89017029235837</v>
      </c>
      <c r="EJ3" s="20">
        <f>EJ5*1.333</f>
        <v>34318567.546</v>
      </c>
      <c r="EK3" s="20">
        <v>18000000</v>
      </c>
      <c r="EL3" s="219">
        <f>EJ3/EK3</f>
        <v>1.90658708588889</v>
      </c>
      <c r="EM3" s="20">
        <f>EM5*1.333</f>
        <v>74238143.823</v>
      </c>
      <c r="EN3" s="20">
        <v>7600000</v>
      </c>
      <c r="EO3" s="38">
        <f>EM3/EN3</f>
        <v>9.76817681881579</v>
      </c>
      <c r="EP3" s="20">
        <f>EP5*1.333</f>
        <v>60894345.94</v>
      </c>
      <c r="EQ3" s="20">
        <v>5350000</v>
      </c>
      <c r="ER3" s="38">
        <f>EP3/EQ3</f>
        <v>11.3821207364486</v>
      </c>
      <c r="ES3" s="20">
        <f>ES5*1.333</f>
        <v>1927597.98</v>
      </c>
      <c r="ET3" s="20">
        <v>7000000</v>
      </c>
      <c r="EU3" s="219">
        <f>ES3/ET3</f>
        <v>0.27537114</v>
      </c>
      <c r="EV3" s="20">
        <f>EV5*1.333</f>
        <v>85576355.228</v>
      </c>
      <c r="EW3" s="20">
        <v>10950000</v>
      </c>
      <c r="EX3" s="38">
        <f>EV3/EW3</f>
        <v>7.81519225826484</v>
      </c>
      <c r="EY3" s="20">
        <f>EY5*1.333</f>
        <v>44897700.768</v>
      </c>
      <c r="EZ3" s="20">
        <v>20000000</v>
      </c>
      <c r="FA3" s="38">
        <f>EY3/EZ3</f>
        <v>2.2448850384</v>
      </c>
      <c r="FB3" s="20">
        <f>FB5*1.333</f>
        <v>-32848363.189</v>
      </c>
      <c r="FC3" s="20">
        <v>16500000</v>
      </c>
      <c r="FD3" s="219">
        <f>FB3/FC3</f>
        <v>-1.99080989024242</v>
      </c>
      <c r="FE3" s="20">
        <f>FE5*1.333</f>
        <v>-65642.252</v>
      </c>
      <c r="FF3" s="20">
        <v>10000</v>
      </c>
      <c r="FG3" s="219">
        <f>FE3/FF3</f>
        <v>-6.5642252</v>
      </c>
      <c r="FH3" s="20">
        <f>FH5*1.333</f>
        <v>-49527483.033</v>
      </c>
      <c r="FI3" s="20">
        <v>6127938</v>
      </c>
      <c r="FJ3" s="219">
        <f>FH3/FI3</f>
        <v>-8.08224284139298</v>
      </c>
      <c r="FK3" s="20">
        <f>FK5*1.333</f>
        <v>5751740.372</v>
      </c>
      <c r="FL3" s="20">
        <v>11000000</v>
      </c>
      <c r="FM3" s="219">
        <f>FK3/FL3</f>
        <v>0.522885488363636</v>
      </c>
      <c r="FN3" s="20">
        <f>FN5*1.333</f>
        <v>93594427.542</v>
      </c>
      <c r="FO3" s="20">
        <v>5673222</v>
      </c>
      <c r="FP3" s="38">
        <f>FN3/FO3</f>
        <v>16.4975788964366</v>
      </c>
      <c r="FQ3" s="20">
        <f>FQ5*1.333</f>
        <v>48894289.371</v>
      </c>
      <c r="FR3" s="20">
        <v>6467671</v>
      </c>
      <c r="FS3" s="38">
        <f>FQ3/FR3</f>
        <v>7.5597984762985</v>
      </c>
      <c r="FT3" s="20">
        <f>FT5*1.333</f>
        <v>10400066</v>
      </c>
      <c r="FU3" s="20">
        <v>6326000</v>
      </c>
      <c r="FV3" s="219">
        <f>FT3/FU3</f>
        <v>1.64401928548846</v>
      </c>
      <c r="FW3" s="20">
        <f>FW5*1.333</f>
        <v>-26059054.274</v>
      </c>
      <c r="FX3" s="20">
        <v>5440534</v>
      </c>
      <c r="FY3" s="260">
        <f>FW3/FX3</f>
        <v>-4.78979715483811</v>
      </c>
      <c r="FZ3" s="20">
        <f>FZ5*2</f>
        <v>-123090850</v>
      </c>
      <c r="GA3" s="20">
        <v>14764000</v>
      </c>
      <c r="GB3" s="219">
        <f>FZ3/GA3</f>
        <v>-8.33722907071254</v>
      </c>
      <c r="GC3" s="20">
        <f>GC5*1.333</f>
        <v>40252066.467</v>
      </c>
      <c r="GD3" s="20">
        <v>8025000</v>
      </c>
      <c r="GE3" s="38">
        <f>GC3/GD3</f>
        <v>5.01583382766355</v>
      </c>
      <c r="GF3" s="20">
        <f>GF5*1.333</f>
        <v>3298623.138</v>
      </c>
      <c r="GG3" s="20">
        <v>3921568</v>
      </c>
      <c r="GH3" s="219">
        <f>GF3/GG3</f>
        <v>0.841149034773846</v>
      </c>
      <c r="GI3" s="20">
        <f>GI5*1.333</f>
        <v>16492261.237</v>
      </c>
      <c r="GJ3" s="20">
        <v>6200000</v>
      </c>
      <c r="GK3" s="38">
        <f>GI3/GJ3</f>
        <v>2.660042135</v>
      </c>
      <c r="GL3" s="20">
        <f>GL5*1.333</f>
        <v>-68797129.75</v>
      </c>
      <c r="GM3" s="20">
        <v>9625000</v>
      </c>
      <c r="GN3" s="219">
        <f>GL3/GM3</f>
        <v>-7.14775374025974</v>
      </c>
      <c r="GO3" s="20">
        <f>GO5*1.333</f>
        <v>-68797129.75</v>
      </c>
      <c r="GP3" s="20">
        <v>9625000</v>
      </c>
      <c r="GQ3" s="219">
        <f>GO3/GP3</f>
        <v>-7.14775374025974</v>
      </c>
      <c r="GR3" s="20">
        <f>GR5*1.333</f>
        <v>-39423216.398</v>
      </c>
      <c r="GS3" s="20">
        <v>6000000</v>
      </c>
      <c r="GT3" s="219">
        <f>GR3/GS3</f>
        <v>-6.57053606633333</v>
      </c>
      <c r="GU3" s="20">
        <f>GU5*1.333</f>
        <v>-4360676.225</v>
      </c>
      <c r="GV3" s="20">
        <v>4925000</v>
      </c>
      <c r="GW3" s="219">
        <f>GU3/GV3</f>
        <v>-0.885416492385787</v>
      </c>
      <c r="GX3" s="20">
        <f>GX5*1.333</f>
        <v>-523491939.622</v>
      </c>
      <c r="GY3" s="20">
        <v>12500000</v>
      </c>
      <c r="GZ3" s="219">
        <f>GX3/GY3</f>
        <v>-41.87935516976</v>
      </c>
      <c r="HA3" s="20">
        <f>HA5*1.333</f>
        <v>29414829.787</v>
      </c>
      <c r="HB3" s="20">
        <v>4000000</v>
      </c>
      <c r="HC3" s="38">
        <f>HA3/HB3</f>
        <v>7.35370744675</v>
      </c>
      <c r="HD3" s="20">
        <f>HD5*1.333</f>
        <v>-17835441.358</v>
      </c>
      <c r="HE3" s="20">
        <v>5364860</v>
      </c>
      <c r="HF3" s="219">
        <f>HD3/HE3</f>
        <v>-3.32449334334913</v>
      </c>
      <c r="HG3" s="20">
        <f>HG5*1.333</f>
        <v>29245573.445</v>
      </c>
      <c r="HH3" s="20">
        <v>7500000</v>
      </c>
      <c r="HI3" s="38">
        <f>HG3/HH3</f>
        <v>3.89940979266667</v>
      </c>
      <c r="HJ3" s="20">
        <f>HJ5*1.333</f>
        <v>-244266420.791</v>
      </c>
      <c r="HK3" s="20">
        <v>5425833</v>
      </c>
      <c r="HL3" s="219">
        <f>HJ3/HK3</f>
        <v>-45.0191557298207</v>
      </c>
      <c r="HM3" s="20">
        <f>HM5*1.333</f>
        <v>62586829.38</v>
      </c>
      <c r="HN3" s="20">
        <v>4431000</v>
      </c>
      <c r="HO3" s="38">
        <f>HM3/HN3</f>
        <v>14.1247640216655</v>
      </c>
      <c r="HP3" s="20">
        <f>HP5*1.333</f>
        <v>59466646.954</v>
      </c>
      <c r="HQ3" s="20">
        <v>5000000</v>
      </c>
      <c r="HR3" s="38">
        <f>HP3/HQ3</f>
        <v>11.8933293908</v>
      </c>
      <c r="HS3" s="20">
        <f>HS5*1.333</f>
        <v>6502524.629</v>
      </c>
      <c r="HT3" s="20">
        <v>4000000</v>
      </c>
      <c r="HU3" s="219">
        <f>HS3/HT3</f>
        <v>1.62563115725</v>
      </c>
      <c r="HV3" s="20">
        <f>HV5*1.333</f>
        <v>-65601504.856</v>
      </c>
      <c r="HW3" s="20">
        <v>4657143</v>
      </c>
      <c r="HX3" s="219">
        <f>HV3/HW3</f>
        <v>-14.0862122670487</v>
      </c>
      <c r="HY3" s="20">
        <f>HY5*1.333</f>
        <v>66416725</v>
      </c>
      <c r="HZ3" s="20">
        <v>3881970</v>
      </c>
      <c r="IA3" s="38">
        <f>HY3/HZ3</f>
        <v>17.109025829669</v>
      </c>
      <c r="IB3" s="20">
        <f>IB5*1.333</f>
        <v>13464589.011</v>
      </c>
      <c r="IC3" s="20">
        <v>1340542</v>
      </c>
      <c r="ID3" s="38">
        <f>IB3/IC3</f>
        <v>10.0441381254746</v>
      </c>
      <c r="IE3" s="20">
        <f>IE5*1.333</f>
        <v>-3023409.292</v>
      </c>
      <c r="IF3" s="20">
        <v>5000000</v>
      </c>
      <c r="IG3" s="219">
        <f>IE3/IF3</f>
        <v>-0.6046818584</v>
      </c>
      <c r="IH3" s="20">
        <f>IH5*1.333</f>
        <v>-53590945.58</v>
      </c>
      <c r="II3" s="20">
        <v>3869775</v>
      </c>
      <c r="IJ3" s="219">
        <f>IH3/II3</f>
        <v>-13.8485947064106</v>
      </c>
      <c r="IK3" s="20">
        <f>IK5*1.333</f>
        <v>-836997.365</v>
      </c>
      <c r="IL3" s="20">
        <v>5098040</v>
      </c>
      <c r="IM3" s="219">
        <f>IK3/IL3</f>
        <v>-0.164180227106888</v>
      </c>
      <c r="IN3" s="20">
        <f>IN5*1.333</f>
        <v>18640069.484</v>
      </c>
      <c r="IO3" s="20">
        <v>2800000</v>
      </c>
      <c r="IP3" s="38">
        <f>IN3/IO3</f>
        <v>6.65716767285714</v>
      </c>
      <c r="IQ3" s="20">
        <f>IQ5*1.333</f>
        <v>-40857805.661</v>
      </c>
      <c r="IR3" s="20">
        <v>3400000</v>
      </c>
      <c r="IS3" s="219">
        <f>IQ3/IR3</f>
        <v>-12.017001665</v>
      </c>
      <c r="IT3" s="20">
        <f>IT5*1.333</f>
        <v>-23775097.406</v>
      </c>
      <c r="IU3" s="20">
        <v>3714000</v>
      </c>
      <c r="IV3" s="219">
        <f>IT3/IU3</f>
        <v>-6.40148018470652</v>
      </c>
      <c r="IW3" s="20">
        <f>IW5*1.333</f>
        <v>749176.659</v>
      </c>
      <c r="IX3" s="20">
        <v>4000000</v>
      </c>
      <c r="IY3" s="219">
        <f>IW3/IX3</f>
        <v>0.18729416475</v>
      </c>
      <c r="IZ3" s="20">
        <f>IZ5*1.333</f>
        <v>19542767.753</v>
      </c>
      <c r="JA3" s="20">
        <v>3763198</v>
      </c>
      <c r="JB3" s="38">
        <f>IZ3/JA3</f>
        <v>5.19312769431744</v>
      </c>
      <c r="JC3" s="20">
        <f>JC5*1.333</f>
        <v>14751740.476</v>
      </c>
      <c r="JD3" s="20">
        <v>3000000</v>
      </c>
      <c r="JE3" s="38">
        <f>JC3/JD3</f>
        <v>4.91724682533333</v>
      </c>
      <c r="JF3" s="20">
        <f>JF5*1.333</f>
        <v>3953792.638</v>
      </c>
      <c r="JG3" s="20">
        <v>2500000</v>
      </c>
      <c r="JH3" s="219">
        <f>JF3/JG3</f>
        <v>1.5815170552</v>
      </c>
      <c r="JI3" s="20">
        <f>JI5*1.333</f>
        <v>5729721.878</v>
      </c>
      <c r="JJ3" s="20">
        <v>2000000</v>
      </c>
      <c r="JK3" s="219">
        <f>JI3/JJ3</f>
        <v>2.864860939</v>
      </c>
      <c r="JL3" s="20">
        <f>JL5*1.333</f>
        <v>-21725329.976</v>
      </c>
      <c r="JM3" s="20">
        <v>2200000</v>
      </c>
      <c r="JN3" s="219">
        <f>JL3/JM3</f>
        <v>-9.87514998909091</v>
      </c>
      <c r="JO3" s="20">
        <f>JO5*1.333</f>
        <v>-2095476</v>
      </c>
      <c r="JP3" s="20">
        <v>2640000</v>
      </c>
      <c r="JQ3" s="219">
        <f>JO3/JP3</f>
        <v>-0.793740909090909</v>
      </c>
    </row>
    <row r="4" spans="1:277">
      <c r="A4" s="2"/>
      <c r="B4" s="2"/>
      <c r="C4" s="2" t="s">
        <v>163</v>
      </c>
      <c r="D4" s="2"/>
      <c r="E4" s="20"/>
      <c r="F4" s="20"/>
      <c r="G4" s="38"/>
      <c r="H4" s="20"/>
      <c r="I4" s="20"/>
      <c r="J4" s="288"/>
      <c r="K4" s="20"/>
      <c r="L4" s="20"/>
      <c r="M4" s="38"/>
      <c r="N4" s="20"/>
      <c r="O4" s="20"/>
      <c r="P4" s="38"/>
      <c r="Q4" s="20"/>
      <c r="R4" s="20"/>
      <c r="S4" s="38"/>
      <c r="T4" s="20"/>
      <c r="U4" s="20"/>
      <c r="V4" s="38"/>
      <c r="W4" s="20"/>
      <c r="X4" s="20"/>
      <c r="Y4" s="219"/>
      <c r="Z4" s="20"/>
      <c r="AA4" s="20"/>
      <c r="AB4" s="219"/>
      <c r="AC4" s="20"/>
      <c r="AD4" s="20"/>
      <c r="AE4" s="38"/>
      <c r="AF4" s="20"/>
      <c r="AG4" s="20"/>
      <c r="AH4" s="38"/>
      <c r="AI4" s="20"/>
      <c r="AJ4" s="20"/>
      <c r="AK4" s="38"/>
      <c r="AL4" s="20"/>
      <c r="AM4" s="20"/>
      <c r="AN4" s="219"/>
      <c r="AO4" s="20"/>
      <c r="AP4" s="20"/>
      <c r="AQ4" s="38"/>
      <c r="AR4" s="20"/>
      <c r="AS4" s="20"/>
      <c r="AT4" s="38"/>
      <c r="AU4" s="20"/>
      <c r="AV4" s="20"/>
      <c r="AW4" s="219"/>
      <c r="AX4" s="20"/>
      <c r="AY4" s="20"/>
      <c r="AZ4" s="38"/>
      <c r="BA4" s="20"/>
      <c r="BB4" s="20"/>
      <c r="BC4" s="219"/>
      <c r="BD4" s="20"/>
      <c r="BE4" s="20"/>
      <c r="BF4" s="38"/>
      <c r="BG4" s="20"/>
      <c r="BH4" s="20"/>
      <c r="BI4" s="38"/>
      <c r="BJ4" s="20"/>
      <c r="BK4" s="20"/>
      <c r="BL4" s="38"/>
      <c r="BM4" s="20"/>
      <c r="BN4" s="20"/>
      <c r="BO4" s="38"/>
      <c r="BP4" s="20"/>
      <c r="BQ4" s="20"/>
      <c r="BR4" s="260"/>
      <c r="BS4" s="20"/>
      <c r="BT4" s="20"/>
      <c r="BU4" s="219"/>
      <c r="BV4" s="20"/>
      <c r="BW4" s="20"/>
      <c r="BX4" s="38"/>
      <c r="BY4" s="20"/>
      <c r="BZ4" s="20"/>
      <c r="CA4" s="260"/>
      <c r="CB4" s="20"/>
      <c r="CC4" s="20"/>
      <c r="CD4" s="38"/>
      <c r="CE4" s="20"/>
      <c r="CF4" s="20"/>
      <c r="CG4" s="260"/>
      <c r="CH4" s="20"/>
      <c r="CI4" s="20"/>
      <c r="CJ4" s="38"/>
      <c r="CK4" s="20"/>
      <c r="CL4" s="20"/>
      <c r="CM4" s="38"/>
      <c r="CN4" s="20"/>
      <c r="CO4" s="20"/>
      <c r="CP4" s="38"/>
      <c r="CQ4" s="20"/>
      <c r="CR4" s="20"/>
      <c r="CS4" s="260"/>
      <c r="CT4" s="20"/>
      <c r="CU4" s="20"/>
      <c r="CV4" s="38"/>
      <c r="CW4" s="20"/>
      <c r="CX4" s="20"/>
      <c r="CY4" s="38"/>
      <c r="CZ4" s="20"/>
      <c r="DA4" s="20"/>
      <c r="DB4" s="38"/>
      <c r="DC4" s="20"/>
      <c r="DD4" s="20"/>
      <c r="DE4" s="219"/>
      <c r="DF4" s="20"/>
      <c r="DG4" s="20"/>
      <c r="DH4" s="38"/>
      <c r="DI4" s="20"/>
      <c r="DJ4" s="20"/>
      <c r="DK4" s="219"/>
      <c r="DL4" s="20"/>
      <c r="DM4" s="20"/>
      <c r="DN4" s="38"/>
      <c r="DO4" s="20"/>
      <c r="DP4" s="20"/>
      <c r="DQ4" s="38"/>
      <c r="DR4" s="20"/>
      <c r="DS4" s="20"/>
      <c r="DT4" s="219"/>
      <c r="DU4" s="20"/>
      <c r="DV4" s="20"/>
      <c r="DW4" s="38"/>
      <c r="DX4" s="20"/>
      <c r="DY4" s="20"/>
      <c r="DZ4" s="288"/>
      <c r="EA4" s="20"/>
      <c r="EB4" s="20"/>
      <c r="EC4" s="38"/>
      <c r="ED4" s="20"/>
      <c r="EE4" s="20"/>
      <c r="EF4" s="219"/>
      <c r="EG4" s="20"/>
      <c r="EH4" s="20"/>
      <c r="EI4" s="219"/>
      <c r="EJ4" s="20"/>
      <c r="EK4" s="20"/>
      <c r="EL4" s="219"/>
      <c r="EM4" s="20"/>
      <c r="EN4" s="20"/>
      <c r="EO4" s="38"/>
      <c r="EP4" s="20"/>
      <c r="EQ4" s="20"/>
      <c r="ER4" s="38"/>
      <c r="ES4" s="20"/>
      <c r="ET4" s="20"/>
      <c r="EU4" s="219"/>
      <c r="EV4" s="20"/>
      <c r="EW4" s="20"/>
      <c r="EX4" s="38"/>
      <c r="EY4" s="20"/>
      <c r="EZ4" s="20"/>
      <c r="FA4" s="38"/>
      <c r="FB4" s="20"/>
      <c r="FC4" s="20"/>
      <c r="FD4" s="219"/>
      <c r="FE4" s="20"/>
      <c r="FF4" s="20"/>
      <c r="FG4" s="219"/>
      <c r="FH4" s="20"/>
      <c r="FI4" s="20"/>
      <c r="FJ4" s="219"/>
      <c r="FK4" s="20"/>
      <c r="FL4" s="20"/>
      <c r="FM4" s="219"/>
      <c r="FN4" s="20"/>
      <c r="FO4" s="20"/>
      <c r="FP4" s="38"/>
      <c r="FQ4" s="20"/>
      <c r="FR4" s="20"/>
      <c r="FS4" s="38"/>
      <c r="FT4" s="20"/>
      <c r="FU4" s="20"/>
      <c r="FV4" s="219"/>
      <c r="FW4" s="20"/>
      <c r="FX4" s="20"/>
      <c r="FY4" s="260"/>
      <c r="FZ4" s="20"/>
      <c r="GA4" s="20"/>
      <c r="GB4" s="219"/>
      <c r="GC4" s="20"/>
      <c r="GD4" s="20"/>
      <c r="GE4" s="38"/>
      <c r="GF4" s="20"/>
      <c r="GG4" s="20"/>
      <c r="GH4" s="219"/>
      <c r="GI4" s="20"/>
      <c r="GJ4" s="20"/>
      <c r="GK4" s="38"/>
      <c r="GL4" s="20"/>
      <c r="GM4" s="20"/>
      <c r="GN4" s="219"/>
      <c r="GO4" s="20"/>
      <c r="GP4" s="20"/>
      <c r="GQ4" s="219"/>
      <c r="GR4" s="20"/>
      <c r="GS4" s="20"/>
      <c r="GT4" s="219"/>
      <c r="GU4" s="20"/>
      <c r="GV4" s="20"/>
      <c r="GW4" s="219"/>
      <c r="GX4" s="20"/>
      <c r="GY4" s="20"/>
      <c r="GZ4" s="219"/>
      <c r="HA4" s="20"/>
      <c r="HB4" s="20"/>
      <c r="HC4" s="38"/>
      <c r="HD4" s="20"/>
      <c r="HE4" s="20"/>
      <c r="HF4" s="219"/>
      <c r="HG4" s="20"/>
      <c r="HH4" s="20"/>
      <c r="HI4" s="38"/>
      <c r="HJ4" s="20"/>
      <c r="HK4" s="20"/>
      <c r="HL4" s="219"/>
      <c r="HM4" s="20"/>
      <c r="HN4" s="20"/>
      <c r="HO4" s="38"/>
      <c r="HP4" s="20"/>
      <c r="HQ4" s="20"/>
      <c r="HR4" s="38"/>
      <c r="HS4" s="20"/>
      <c r="HT4" s="20"/>
      <c r="HU4" s="219"/>
      <c r="HV4" s="20"/>
      <c r="HW4" s="20"/>
      <c r="HX4" s="219"/>
      <c r="HY4" s="20"/>
      <c r="HZ4" s="20"/>
      <c r="IA4" s="38"/>
      <c r="IB4" s="20"/>
      <c r="IC4" s="20"/>
      <c r="ID4" s="38"/>
      <c r="IE4" s="20"/>
      <c r="IF4" s="20"/>
      <c r="IG4" s="219"/>
      <c r="IH4" s="20"/>
      <c r="II4" s="20"/>
      <c r="IJ4" s="219"/>
      <c r="IK4" s="20"/>
      <c r="IL4" s="20"/>
      <c r="IM4" s="219"/>
      <c r="IN4" s="20"/>
      <c r="IO4" s="20"/>
      <c r="IP4" s="38"/>
      <c r="IQ4" s="20"/>
      <c r="IR4" s="20"/>
      <c r="IS4" s="219"/>
      <c r="IT4" s="20"/>
      <c r="IU4" s="20"/>
      <c r="IV4" s="219"/>
      <c r="IW4" s="20"/>
      <c r="IX4" s="20"/>
      <c r="IY4" s="219"/>
      <c r="IZ4" s="20"/>
      <c r="JA4" s="20"/>
      <c r="JB4" s="38"/>
      <c r="JC4" s="20"/>
      <c r="JD4" s="20"/>
      <c r="JE4" s="38"/>
      <c r="JF4" s="20"/>
      <c r="JG4" s="20"/>
      <c r="JH4" s="219"/>
      <c r="JI4" s="20"/>
      <c r="JJ4" s="20"/>
      <c r="JK4" s="219"/>
      <c r="JL4" s="20"/>
      <c r="JM4" s="20"/>
      <c r="JN4" s="219"/>
      <c r="JO4" s="20"/>
      <c r="JP4" s="20"/>
      <c r="JQ4" s="219"/>
    </row>
    <row r="5" spans="1:277">
      <c r="A5" s="2"/>
      <c r="B5" s="2"/>
      <c r="C5" s="2"/>
      <c r="D5" s="2"/>
      <c r="E5" s="78">
        <v>507896660</v>
      </c>
      <c r="F5" s="20"/>
      <c r="G5" s="38"/>
      <c r="H5" s="78">
        <v>-2067482159</v>
      </c>
      <c r="I5" s="42"/>
      <c r="J5" s="38"/>
      <c r="K5" s="78">
        <v>215641000</v>
      </c>
      <c r="L5" s="20"/>
      <c r="M5" s="38"/>
      <c r="N5" s="78">
        <v>834187487</v>
      </c>
      <c r="O5" s="20"/>
      <c r="P5" s="38"/>
      <c r="Q5" s="78">
        <v>276911072</v>
      </c>
      <c r="R5" s="20"/>
      <c r="S5" s="38"/>
      <c r="T5" s="78">
        <v>87738160</v>
      </c>
      <c r="U5" s="20"/>
      <c r="V5" s="38"/>
      <c r="W5" s="78">
        <v>-146032000</v>
      </c>
      <c r="X5" s="20"/>
      <c r="Y5" s="38"/>
      <c r="Z5" s="78">
        <v>-27491250</v>
      </c>
      <c r="AA5" s="20"/>
      <c r="AB5" s="38"/>
      <c r="AC5" s="78">
        <v>353497566</v>
      </c>
      <c r="AD5" s="20"/>
      <c r="AE5" s="38"/>
      <c r="AF5" s="78">
        <v>211445654</v>
      </c>
      <c r="AG5" s="20"/>
      <c r="AH5" s="38"/>
      <c r="AI5" s="78">
        <v>373526868</v>
      </c>
      <c r="AJ5" s="20"/>
      <c r="AK5" s="38"/>
      <c r="AL5" s="78">
        <v>-135204946</v>
      </c>
      <c r="AM5" s="20"/>
      <c r="AN5" s="38"/>
      <c r="AO5" s="78">
        <v>465064409</v>
      </c>
      <c r="AP5" s="20"/>
      <c r="AQ5" s="38"/>
      <c r="AR5" s="78">
        <v>81100767</v>
      </c>
      <c r="AS5" s="42"/>
      <c r="AT5" s="38"/>
      <c r="AU5" s="78">
        <v>22994344</v>
      </c>
      <c r="AV5" s="42"/>
      <c r="AW5" s="38"/>
      <c r="AX5" s="78">
        <v>150262792</v>
      </c>
      <c r="AY5" s="42"/>
      <c r="AZ5" s="38"/>
      <c r="BA5" s="78">
        <v>-242868170</v>
      </c>
      <c r="BB5" s="42"/>
      <c r="BC5" s="38"/>
      <c r="BD5" s="78">
        <v>15073539</v>
      </c>
      <c r="BE5" s="42"/>
      <c r="BF5" s="38"/>
      <c r="BG5" s="78">
        <v>341898520</v>
      </c>
      <c r="BH5" s="42"/>
      <c r="BI5" s="38"/>
      <c r="BJ5" s="78">
        <v>32199318</v>
      </c>
      <c r="BK5" s="86" t="s">
        <v>397</v>
      </c>
      <c r="BL5" s="38"/>
      <c r="BM5" s="78">
        <v>106411768</v>
      </c>
      <c r="BN5" s="86"/>
      <c r="BO5" s="38"/>
      <c r="BP5" s="78">
        <v>-74517</v>
      </c>
      <c r="BQ5" s="86" t="s">
        <v>398</v>
      </c>
      <c r="BR5" s="38"/>
      <c r="BS5" s="78">
        <v>-17647700</v>
      </c>
      <c r="BT5" s="86" t="s">
        <v>399</v>
      </c>
      <c r="BU5" s="38"/>
      <c r="BV5" s="78">
        <v>134331411</v>
      </c>
      <c r="BW5" s="86"/>
      <c r="BX5" s="38"/>
      <c r="BY5" s="78">
        <v>-326670435</v>
      </c>
      <c r="BZ5" s="86" t="s">
        <v>398</v>
      </c>
      <c r="CA5" s="38"/>
      <c r="CB5" s="78">
        <v>86425243</v>
      </c>
      <c r="CD5" s="38"/>
      <c r="CE5" s="78">
        <v>-42903000</v>
      </c>
      <c r="CG5" s="38"/>
      <c r="CH5" s="78">
        <v>30704</v>
      </c>
      <c r="CI5" t="s">
        <v>400</v>
      </c>
      <c r="CJ5" s="38"/>
      <c r="CK5" s="78">
        <v>87131637</v>
      </c>
      <c r="CM5" s="38"/>
      <c r="CN5" s="78">
        <v>42230827</v>
      </c>
      <c r="CP5" s="38"/>
      <c r="CQ5" s="78">
        <v>-38913143</v>
      </c>
      <c r="CS5" s="38"/>
      <c r="CT5" s="78">
        <v>68068581</v>
      </c>
      <c r="CV5" s="38"/>
      <c r="CW5" s="78">
        <v>31572024</v>
      </c>
      <c r="CY5" s="38"/>
      <c r="CZ5" s="78">
        <v>19007669</v>
      </c>
      <c r="DB5" s="38"/>
      <c r="DC5" s="78">
        <v>5595112</v>
      </c>
      <c r="DD5" s="289" t="s">
        <v>401</v>
      </c>
      <c r="DE5" s="38"/>
      <c r="DF5" s="78">
        <v>122815555</v>
      </c>
      <c r="DG5" s="289"/>
      <c r="DH5" s="38"/>
      <c r="DI5" s="78">
        <v>-46574092</v>
      </c>
      <c r="DJ5" s="289"/>
      <c r="DK5" s="38"/>
      <c r="DL5" s="78">
        <v>66350703</v>
      </c>
      <c r="DM5" s="289"/>
      <c r="DN5" s="38"/>
      <c r="DO5" s="78">
        <v>57813481</v>
      </c>
      <c r="DP5" s="289"/>
      <c r="DQ5" s="38"/>
      <c r="DR5" s="78">
        <v>-8141408</v>
      </c>
      <c r="DS5" s="289"/>
      <c r="DT5" s="38"/>
      <c r="DU5" s="78">
        <v>88188547</v>
      </c>
      <c r="DV5" s="289"/>
      <c r="DW5" s="38"/>
      <c r="DX5" s="78">
        <v>34929553</v>
      </c>
      <c r="DY5" s="289" t="s">
        <v>402</v>
      </c>
      <c r="DZ5" s="38"/>
      <c r="EA5" s="78">
        <v>43661088</v>
      </c>
      <c r="EB5" s="289"/>
      <c r="EC5" s="38"/>
      <c r="ED5" s="78">
        <v>-24571147</v>
      </c>
      <c r="EE5" s="289"/>
      <c r="EF5" s="38"/>
      <c r="EG5" s="78">
        <v>3578144</v>
      </c>
      <c r="EH5" s="289"/>
      <c r="EI5" s="38"/>
      <c r="EJ5" s="78">
        <v>25745362</v>
      </c>
      <c r="EK5" s="289" t="s">
        <v>285</v>
      </c>
      <c r="EL5" s="38"/>
      <c r="EM5" s="78">
        <v>55692531</v>
      </c>
      <c r="EN5" s="289"/>
      <c r="EO5" s="38"/>
      <c r="EP5" s="78">
        <v>45682180</v>
      </c>
      <c r="EQ5" s="289"/>
      <c r="ER5" s="38"/>
      <c r="ES5" s="78">
        <v>1446060</v>
      </c>
      <c r="ET5" s="289"/>
      <c r="EU5" s="38"/>
      <c r="EV5" s="78">
        <v>64198316</v>
      </c>
      <c r="EW5" s="289"/>
      <c r="EX5" s="38"/>
      <c r="EY5" s="78">
        <v>33681696</v>
      </c>
      <c r="EZ5" s="289"/>
      <c r="FA5" s="38"/>
      <c r="FB5" s="78">
        <v>-24642433</v>
      </c>
      <c r="FC5" s="289"/>
      <c r="FD5" s="38"/>
      <c r="FE5" s="78">
        <v>-49244</v>
      </c>
      <c r="FF5" s="83" t="s">
        <v>400</v>
      </c>
      <c r="FG5" s="83"/>
      <c r="FH5" s="78">
        <v>-37154901</v>
      </c>
      <c r="FI5" s="289"/>
      <c r="FJ5" s="71"/>
      <c r="FK5" s="78">
        <v>4314884</v>
      </c>
      <c r="FL5" s="289"/>
      <c r="FM5" s="71"/>
      <c r="FN5" s="78">
        <v>70213374</v>
      </c>
      <c r="FO5" s="289"/>
      <c r="FP5" s="71"/>
      <c r="FQ5" s="78">
        <v>36679887</v>
      </c>
      <c r="FR5" s="289"/>
      <c r="FS5" s="71"/>
      <c r="FT5" s="78">
        <v>7802000</v>
      </c>
      <c r="FU5" s="289"/>
      <c r="FV5" s="71"/>
      <c r="FW5" s="78">
        <v>-19549178</v>
      </c>
      <c r="FX5" s="289"/>
      <c r="FY5" s="71"/>
      <c r="FZ5" s="78">
        <v>-61545425</v>
      </c>
      <c r="GA5" s="289"/>
      <c r="GB5" s="71"/>
      <c r="GC5" s="78">
        <v>30196599</v>
      </c>
      <c r="GD5" s="289"/>
      <c r="GE5" s="71"/>
      <c r="GF5" s="78">
        <v>2474586</v>
      </c>
      <c r="GG5" s="289"/>
      <c r="GH5" s="71"/>
      <c r="GI5" s="78">
        <v>12372289</v>
      </c>
      <c r="GJ5" s="289"/>
      <c r="GK5" s="71"/>
      <c r="GL5" s="78">
        <v>-51610750</v>
      </c>
      <c r="GM5" s="289"/>
      <c r="GN5" s="71"/>
      <c r="GO5" s="78">
        <v>-51610750</v>
      </c>
      <c r="GP5" s="289"/>
      <c r="GQ5" s="71"/>
      <c r="GR5" s="78">
        <v>-29574806</v>
      </c>
      <c r="GS5" s="289"/>
      <c r="GT5" s="71"/>
      <c r="GU5" s="78">
        <v>-3271325</v>
      </c>
      <c r="GV5" s="289"/>
      <c r="GW5" s="71"/>
      <c r="GX5" s="78">
        <v>-392717134</v>
      </c>
      <c r="GY5" s="289" t="s">
        <v>403</v>
      </c>
      <c r="GZ5" s="71"/>
      <c r="HA5" s="78">
        <v>22066639</v>
      </c>
      <c r="HB5" s="289"/>
      <c r="HC5" s="71"/>
      <c r="HD5" s="78">
        <v>-13379926</v>
      </c>
      <c r="HE5" s="289"/>
      <c r="HF5" s="71"/>
      <c r="HG5" s="78">
        <v>21939665</v>
      </c>
      <c r="HH5" s="2"/>
      <c r="HI5" s="71"/>
      <c r="HJ5" s="78">
        <v>-183245627</v>
      </c>
      <c r="HK5" s="51" t="s">
        <v>403</v>
      </c>
      <c r="HL5" s="71"/>
      <c r="HM5" s="78">
        <v>46951860</v>
      </c>
      <c r="HN5" s="51"/>
      <c r="HO5" s="71"/>
      <c r="HP5" s="78">
        <v>44611138</v>
      </c>
      <c r="HQ5" s="51"/>
      <c r="HR5" s="71"/>
      <c r="HS5" s="78">
        <v>4878113</v>
      </c>
      <c r="HT5" s="51"/>
      <c r="HU5" s="71"/>
      <c r="HV5" s="78">
        <v>-49213432</v>
      </c>
      <c r="HW5" s="51"/>
      <c r="HX5" s="71"/>
      <c r="HY5" s="78">
        <v>49825000</v>
      </c>
      <c r="HZ5" s="51"/>
      <c r="IA5" s="71"/>
      <c r="IB5" s="78">
        <v>10100967</v>
      </c>
      <c r="IC5" s="51"/>
      <c r="ID5" s="71"/>
      <c r="IE5" s="78">
        <v>-2268124</v>
      </c>
      <c r="IF5" s="51"/>
      <c r="IG5" s="71"/>
      <c r="IH5" s="78">
        <v>-40203260</v>
      </c>
      <c r="II5" s="51"/>
      <c r="IJ5" s="71"/>
      <c r="IK5" s="78">
        <v>-627905</v>
      </c>
      <c r="IL5" s="51"/>
      <c r="IM5" s="71"/>
      <c r="IN5" s="78">
        <v>13983548</v>
      </c>
      <c r="IO5" s="51"/>
      <c r="IP5" s="71"/>
      <c r="IQ5" s="78">
        <v>-30651017</v>
      </c>
      <c r="IR5" s="51" t="s">
        <v>403</v>
      </c>
      <c r="IS5" s="71"/>
      <c r="IT5" s="78">
        <v>-17835782</v>
      </c>
      <c r="IU5" s="51" t="s">
        <v>404</v>
      </c>
      <c r="IV5" s="71"/>
      <c r="IW5" s="78">
        <v>562023</v>
      </c>
      <c r="IX5" s="51" t="s">
        <v>405</v>
      </c>
      <c r="IY5" s="71"/>
      <c r="IZ5" s="78">
        <v>14660741</v>
      </c>
      <c r="JA5" s="51"/>
      <c r="JB5" s="71"/>
      <c r="JC5" s="78">
        <v>11066572</v>
      </c>
      <c r="JD5" s="51"/>
      <c r="JE5" s="71"/>
      <c r="JF5" s="78">
        <v>2966086</v>
      </c>
      <c r="JG5" s="51"/>
      <c r="JH5" s="71"/>
      <c r="JI5" s="78">
        <v>4298366</v>
      </c>
      <c r="JJ5" s="51"/>
      <c r="JK5" s="71"/>
      <c r="JL5" s="78">
        <v>-16298072</v>
      </c>
      <c r="JM5" s="51"/>
      <c r="JN5" s="71"/>
      <c r="JO5" s="78">
        <v>-1572000</v>
      </c>
      <c r="JP5" s="51" t="s">
        <v>403</v>
      </c>
      <c r="JQ5" s="71"/>
    </row>
    <row r="6" spans="1:277">
      <c r="E6" s="51"/>
      <c r="F6" s="6"/>
      <c r="G6" s="40"/>
      <c r="H6" s="51"/>
      <c r="I6" s="6"/>
      <c r="J6" s="40"/>
      <c r="K6" s="51"/>
      <c r="L6" s="6"/>
      <c r="M6" s="40"/>
      <c r="N6" s="51"/>
      <c r="O6" s="6"/>
      <c r="P6" s="40"/>
      <c r="Q6" s="51"/>
      <c r="R6" s="6"/>
      <c r="S6" s="40"/>
      <c r="T6" s="51"/>
      <c r="U6" s="6"/>
      <c r="V6" s="40"/>
      <c r="W6" s="51"/>
      <c r="X6" s="6"/>
      <c r="Y6" s="40"/>
      <c r="Z6" s="51"/>
      <c r="AA6" s="6"/>
      <c r="AB6" s="40"/>
      <c r="AC6" s="51"/>
      <c r="AD6" s="6"/>
      <c r="AE6" s="40"/>
      <c r="AF6" s="51"/>
      <c r="AG6" s="6"/>
      <c r="AH6" s="40"/>
      <c r="AI6" s="51"/>
      <c r="AJ6" s="6"/>
      <c r="AK6" s="40"/>
      <c r="AL6" s="51"/>
      <c r="AM6" s="6"/>
      <c r="AN6" s="40"/>
      <c r="AO6" s="51"/>
      <c r="AP6" s="6"/>
      <c r="AQ6" s="40"/>
      <c r="AR6" s="51"/>
      <c r="AS6" s="6"/>
      <c r="AT6" s="40"/>
      <c r="AU6" s="51"/>
      <c r="AV6" s="6"/>
      <c r="AW6" s="40"/>
      <c r="AX6" s="51"/>
      <c r="AY6" s="6"/>
      <c r="AZ6" s="40"/>
      <c r="BA6" s="52" t="s">
        <v>406</v>
      </c>
      <c r="BB6" s="52"/>
      <c r="BC6" s="40"/>
      <c r="BD6" s="51"/>
      <c r="BE6" s="6"/>
      <c r="BF6" s="40"/>
      <c r="BG6" s="51"/>
      <c r="BH6" s="6"/>
      <c r="BI6" s="40"/>
      <c r="BJ6" s="83" t="s">
        <v>407</v>
      </c>
      <c r="BK6" s="83"/>
      <c r="BL6" s="40"/>
      <c r="BM6" s="6"/>
      <c r="BN6" s="6"/>
      <c r="BO6" s="40"/>
      <c r="BP6" s="6"/>
      <c r="BQ6" s="6"/>
      <c r="BR6" s="38"/>
      <c r="BS6" s="290" t="s">
        <v>403</v>
      </c>
      <c r="BT6" s="290"/>
      <c r="BU6" s="38"/>
      <c r="BV6" s="291"/>
      <c r="BW6" s="291"/>
      <c r="BX6" s="38"/>
      <c r="BY6" s="291"/>
      <c r="BZ6" s="291"/>
      <c r="CA6" s="38"/>
      <c r="CB6" s="86"/>
      <c r="CC6" s="86"/>
      <c r="CD6" s="38"/>
      <c r="CE6" s="86" t="s">
        <v>408</v>
      </c>
      <c r="CF6" s="86"/>
      <c r="CG6" s="38"/>
      <c r="CH6" s="86"/>
      <c r="CI6" s="86"/>
      <c r="CJ6" s="38"/>
      <c r="CK6" s="86"/>
      <c r="CL6" s="86"/>
      <c r="CM6" s="38"/>
      <c r="CN6" s="20"/>
      <c r="CO6" s="20"/>
      <c r="CP6" s="38"/>
      <c r="CQ6" s="86" t="s">
        <v>409</v>
      </c>
      <c r="CR6" s="86"/>
      <c r="CS6" s="38"/>
      <c r="CT6" s="86"/>
      <c r="CU6" s="86"/>
      <c r="CV6" s="38"/>
      <c r="CW6" s="86"/>
      <c r="CX6" s="86"/>
      <c r="CY6" s="38"/>
      <c r="CZ6" s="86"/>
      <c r="DA6" s="86"/>
      <c r="DB6" s="38"/>
      <c r="DC6" s="86"/>
      <c r="DD6" s="86"/>
      <c r="DE6" s="38"/>
      <c r="DF6" s="86"/>
      <c r="DG6" s="86"/>
      <c r="DH6" s="38"/>
      <c r="DI6" s="86"/>
      <c r="DJ6" s="86"/>
      <c r="DK6" s="38"/>
      <c r="DL6" s="86"/>
      <c r="DM6" s="86"/>
      <c r="DN6" s="38"/>
      <c r="DO6" s="86"/>
      <c r="DP6" s="86"/>
      <c r="DQ6" s="38"/>
      <c r="DR6" s="233" t="s">
        <v>410</v>
      </c>
      <c r="DS6" s="233"/>
      <c r="DT6" s="38"/>
      <c r="DU6" s="86"/>
      <c r="DV6" s="86"/>
      <c r="DW6" s="38"/>
      <c r="DX6" s="86"/>
      <c r="DY6" s="86"/>
      <c r="DZ6" s="38"/>
      <c r="EA6" s="86"/>
      <c r="EB6" s="86"/>
      <c r="EC6" s="38"/>
      <c r="ED6" s="86" t="s">
        <v>411</v>
      </c>
      <c r="EE6" s="86"/>
      <c r="EF6" s="38"/>
      <c r="EG6" s="86"/>
      <c r="EH6" s="86"/>
      <c r="EI6" s="38"/>
      <c r="EJ6" s="233" t="s">
        <v>412</v>
      </c>
      <c r="EK6" s="233"/>
      <c r="EL6" s="38"/>
      <c r="EM6" s="233"/>
      <c r="EN6" s="233"/>
      <c r="EO6" s="38"/>
      <c r="EP6" s="233"/>
      <c r="EQ6" s="233"/>
      <c r="ER6" s="38"/>
      <c r="ES6" s="233"/>
      <c r="ET6" s="233"/>
      <c r="EU6" s="38"/>
      <c r="EV6" s="233"/>
      <c r="EW6" s="233"/>
      <c r="EX6" s="38"/>
      <c r="EY6" s="233"/>
      <c r="EZ6" s="233"/>
      <c r="FA6" s="38"/>
      <c r="FB6" s="233"/>
      <c r="FC6" s="233"/>
      <c r="FD6" s="38"/>
      <c r="FE6" s="233"/>
      <c r="FF6" s="233"/>
      <c r="FG6" s="38"/>
      <c r="FH6" s="233" t="s">
        <v>404</v>
      </c>
      <c r="FI6" s="233"/>
      <c r="FJ6" s="38"/>
      <c r="FK6" s="233" t="s">
        <v>404</v>
      </c>
      <c r="FL6" s="233"/>
      <c r="FM6" s="38"/>
      <c r="FN6" s="233"/>
      <c r="FO6" s="233"/>
      <c r="FP6" s="38"/>
      <c r="FQ6" s="233"/>
      <c r="FR6" s="233"/>
      <c r="FS6" s="38"/>
      <c r="FT6" s="233"/>
      <c r="FU6" s="233"/>
      <c r="FV6" s="38"/>
      <c r="FW6" s="233"/>
      <c r="FX6" s="233"/>
      <c r="FY6" s="38"/>
      <c r="FZ6" s="233"/>
      <c r="GA6" s="233"/>
      <c r="GB6" s="38"/>
      <c r="GC6" s="233"/>
      <c r="GD6" s="233"/>
      <c r="GE6" s="38"/>
      <c r="GF6" s="233"/>
      <c r="GG6" s="233"/>
      <c r="GH6" s="38"/>
      <c r="GI6" s="233" t="s">
        <v>413</v>
      </c>
      <c r="GJ6" s="233"/>
      <c r="GK6" s="38"/>
      <c r="GL6" s="233" t="s">
        <v>414</v>
      </c>
      <c r="GM6" s="233"/>
      <c r="GN6" s="38"/>
      <c r="GO6" s="233" t="s">
        <v>414</v>
      </c>
      <c r="GP6" s="233"/>
      <c r="GQ6" s="38"/>
      <c r="GR6" s="233" t="s">
        <v>415</v>
      </c>
      <c r="GS6" s="233"/>
      <c r="GT6" s="38"/>
      <c r="GU6" s="233" t="s">
        <v>416</v>
      </c>
      <c r="GV6" s="233"/>
      <c r="GW6" s="38"/>
      <c r="GX6" s="233" t="s">
        <v>402</v>
      </c>
      <c r="GY6" s="233"/>
      <c r="GZ6" s="38"/>
      <c r="HA6" s="233"/>
      <c r="HB6" s="233"/>
      <c r="HC6" s="38"/>
      <c r="HD6" s="233" t="s">
        <v>417</v>
      </c>
      <c r="HE6" s="233"/>
      <c r="HF6" s="38"/>
      <c r="HG6" s="233"/>
      <c r="HH6" s="233"/>
      <c r="HI6" s="38"/>
      <c r="HJ6" s="233" t="s">
        <v>418</v>
      </c>
      <c r="HK6" s="233"/>
      <c r="HL6" s="38"/>
      <c r="HM6" s="233"/>
      <c r="HN6" s="233"/>
      <c r="HO6" s="38"/>
      <c r="HP6" s="233"/>
      <c r="HQ6" s="233"/>
      <c r="HR6" s="38"/>
      <c r="HS6" s="233"/>
      <c r="HT6" s="233"/>
      <c r="HU6" s="38"/>
      <c r="HV6" s="233"/>
      <c r="HW6" s="233"/>
      <c r="HX6" s="38"/>
      <c r="HY6" s="233"/>
      <c r="HZ6" s="233"/>
      <c r="IA6" s="38"/>
      <c r="IB6" s="86" t="s">
        <v>419</v>
      </c>
      <c r="IC6" s="86"/>
      <c r="ID6" s="38"/>
      <c r="IE6" s="233"/>
      <c r="IF6" s="233"/>
      <c r="IG6" s="38"/>
      <c r="IH6" s="233"/>
      <c r="II6" s="233"/>
      <c r="IJ6" s="38"/>
      <c r="IK6" s="233"/>
      <c r="IL6" s="233"/>
      <c r="IM6" s="38"/>
      <c r="IN6" s="233"/>
      <c r="IO6" s="233"/>
      <c r="IP6" s="38"/>
      <c r="IQ6" s="233" t="s">
        <v>402</v>
      </c>
      <c r="IR6" s="233"/>
      <c r="IS6" s="38"/>
      <c r="IT6" s="233" t="s">
        <v>402</v>
      </c>
      <c r="IU6" s="233"/>
      <c r="IV6" s="38"/>
      <c r="IW6" s="233" t="s">
        <v>420</v>
      </c>
      <c r="IX6" s="233"/>
      <c r="IY6" s="38"/>
      <c r="IZ6" s="233" t="s">
        <v>421</v>
      </c>
      <c r="JA6" s="233"/>
      <c r="JB6" s="38"/>
      <c r="JC6" s="233" t="s">
        <v>422</v>
      </c>
      <c r="JD6" s="233"/>
      <c r="JE6" s="38"/>
      <c r="JF6" s="233" t="s">
        <v>423</v>
      </c>
      <c r="JG6" s="233"/>
      <c r="JH6" s="38"/>
      <c r="JI6" s="233"/>
      <c r="JJ6" s="233"/>
      <c r="JK6" s="38"/>
      <c r="JL6" s="233" t="s">
        <v>424</v>
      </c>
      <c r="JM6" s="233"/>
      <c r="JN6" s="38"/>
      <c r="JO6" s="233" t="s">
        <v>425</v>
      </c>
      <c r="JP6" s="233"/>
      <c r="JQ6" s="38"/>
    </row>
    <row r="7" spans="1:277">
      <c r="A7" s="2">
        <v>2</v>
      </c>
      <c r="B7" s="41" t="s">
        <v>166</v>
      </c>
      <c r="C7" s="37" t="s">
        <v>167</v>
      </c>
      <c r="D7" s="2" t="s">
        <v>168</v>
      </c>
      <c r="E7" s="20">
        <v>520</v>
      </c>
      <c r="F7" s="42">
        <f>G3</f>
        <v>7.70890139524567</v>
      </c>
      <c r="G7" s="38">
        <f>E7/F7</f>
        <v>67.4544884334233</v>
      </c>
      <c r="H7" s="20">
        <v>197</v>
      </c>
      <c r="I7" s="42">
        <f>J3</f>
        <v>-13.0120572141029</v>
      </c>
      <c r="J7" s="288">
        <f>H7/I7</f>
        <v>-15.1398043182968</v>
      </c>
      <c r="K7" s="20">
        <v>860</v>
      </c>
      <c r="L7" s="42">
        <f>M3</f>
        <v>8.43191470388508</v>
      </c>
      <c r="M7" s="38">
        <f>K7/L7</f>
        <v>101.993441608671</v>
      </c>
      <c r="N7" s="20">
        <v>603</v>
      </c>
      <c r="O7" s="42">
        <f>P3</f>
        <v>29.4172465653704</v>
      </c>
      <c r="P7" s="38">
        <f>N7/O7</f>
        <v>20.4981794832506</v>
      </c>
      <c r="Q7" s="20">
        <v>587</v>
      </c>
      <c r="R7" s="42">
        <f>S3</f>
        <v>9.87488178420418</v>
      </c>
      <c r="S7" s="38">
        <f>Q7/R7</f>
        <v>59.4437495888774</v>
      </c>
      <c r="T7" s="20">
        <v>985</v>
      </c>
      <c r="U7" s="42">
        <f>V3</f>
        <v>5.30408014875283</v>
      </c>
      <c r="V7" s="38">
        <f>T7/U7</f>
        <v>185.706092739116</v>
      </c>
      <c r="W7" s="20">
        <v>333</v>
      </c>
      <c r="X7" s="42">
        <f>Y3</f>
        <v>-2.84504254541734</v>
      </c>
      <c r="Y7" s="219">
        <f>W7/X7</f>
        <v>-117.045701315216</v>
      </c>
      <c r="Z7" s="20">
        <v>313</v>
      </c>
      <c r="AA7" s="42">
        <f>AB3</f>
        <v>-0.6107639375</v>
      </c>
      <c r="AB7" s="219">
        <f>Z7/AA7</f>
        <v>-512.472955232397</v>
      </c>
      <c r="AC7" s="20">
        <v>297</v>
      </c>
      <c r="AD7" s="42">
        <f>AE3</f>
        <v>7.75539589983278</v>
      </c>
      <c r="AE7" s="38">
        <f>AC7/AD7</f>
        <v>38.2959172988711</v>
      </c>
      <c r="AF7" s="20">
        <v>506</v>
      </c>
      <c r="AG7" s="42">
        <f>AH3</f>
        <v>8.45782616</v>
      </c>
      <c r="AH7" s="38">
        <f>AF7/AG7</f>
        <v>59.826247362833</v>
      </c>
      <c r="AI7" s="20">
        <v>462</v>
      </c>
      <c r="AJ7" s="42">
        <f>AK3</f>
        <v>14.48469280128</v>
      </c>
      <c r="AK7" s="38">
        <f>AI7/AJ7</f>
        <v>31.8957403058747</v>
      </c>
      <c r="AL7" s="20">
        <v>492</v>
      </c>
      <c r="AM7" s="42">
        <f>AN3</f>
        <v>-5.6321310318125</v>
      </c>
      <c r="AN7" s="219">
        <f>AL7/AM7</f>
        <v>-87.3559221582363</v>
      </c>
      <c r="AO7" s="20">
        <v>608</v>
      </c>
      <c r="AP7" s="42">
        <f>AQ3</f>
        <v>23.8186159632034</v>
      </c>
      <c r="AQ7" s="38">
        <f>AO7/AP7</f>
        <v>25.5262522784397</v>
      </c>
      <c r="AR7" s="20">
        <v>763</v>
      </c>
      <c r="AS7" s="42">
        <f>AT3</f>
        <v>5.87865901541143</v>
      </c>
      <c r="AT7" s="38">
        <f>AR7/AS7</f>
        <v>129.791504831243</v>
      </c>
      <c r="AU7" s="20">
        <v>379</v>
      </c>
      <c r="AV7" s="42">
        <f>AW3</f>
        <v>0.827845431202382</v>
      </c>
      <c r="AW7" s="219">
        <f>AU7/AV7</f>
        <v>457.814932250736</v>
      </c>
      <c r="AX7" s="20">
        <v>895</v>
      </c>
      <c r="AY7" s="42">
        <f>AZ3</f>
        <v>14.6886819392551</v>
      </c>
      <c r="AZ7" s="38">
        <f>AX7/AY7</f>
        <v>60.9312669238305</v>
      </c>
      <c r="BA7" s="20">
        <v>318</v>
      </c>
      <c r="BB7" s="42">
        <f>BC3</f>
        <v>-8.86967864684932</v>
      </c>
      <c r="BC7" s="219">
        <f>BA7/BB7</f>
        <v>-35.8524826728598</v>
      </c>
      <c r="BD7" s="20">
        <v>597</v>
      </c>
      <c r="BE7" s="42">
        <f>BF3</f>
        <v>1.05061581631373</v>
      </c>
      <c r="BF7" s="219">
        <f>BD7/BE7</f>
        <v>568.238161590487</v>
      </c>
      <c r="BG7" s="20">
        <v>284</v>
      </c>
      <c r="BH7" s="42">
        <f>BI3</f>
        <v>11.8438246321534</v>
      </c>
      <c r="BI7" s="38">
        <f>BG7/BH7</f>
        <v>23.9787407210508</v>
      </c>
      <c r="BJ7" s="20">
        <v>253</v>
      </c>
      <c r="BK7" s="42">
        <f>BL3</f>
        <v>1.10170248407952</v>
      </c>
      <c r="BL7" s="219">
        <f>BJ7/BK7</f>
        <v>229.644576150141</v>
      </c>
      <c r="BM7" s="20">
        <v>253</v>
      </c>
      <c r="BN7" s="42">
        <f>BO3</f>
        <v>6.22154596700539</v>
      </c>
      <c r="BO7" s="38">
        <f>BM7/BN7</f>
        <v>40.665133930012</v>
      </c>
      <c r="BP7" s="20">
        <v>311</v>
      </c>
      <c r="BQ7" s="42">
        <f>BR3</f>
        <v>-3.42521244827586</v>
      </c>
      <c r="BR7" s="260">
        <f>BP7/BQ7</f>
        <v>-90.7972876708851</v>
      </c>
      <c r="BS7" s="20">
        <v>477</v>
      </c>
      <c r="BT7" s="42">
        <f>BU3</f>
        <v>-1.31482643249829</v>
      </c>
      <c r="BU7" s="219">
        <f>BS7/BT7</f>
        <v>-362.785526827034</v>
      </c>
      <c r="BV7" s="20">
        <v>284</v>
      </c>
      <c r="BW7" s="42">
        <f>BX3</f>
        <v>6.17461278837931</v>
      </c>
      <c r="BX7" s="38">
        <f>BV7/BW7</f>
        <v>45.9947869985453</v>
      </c>
      <c r="BY7" s="20">
        <v>210</v>
      </c>
      <c r="BZ7" s="42">
        <f>CA3</f>
        <v>-11.9107996809302</v>
      </c>
      <c r="CA7" s="260">
        <f>BY7/BZ7</f>
        <v>-17.6310579999276</v>
      </c>
      <c r="CB7" s="20">
        <v>878</v>
      </c>
      <c r="CC7" s="42">
        <f>CD3</f>
        <v>13.5535116375294</v>
      </c>
      <c r="CD7" s="38">
        <f>CB7/CC7</f>
        <v>64.7802594250803</v>
      </c>
      <c r="CE7" s="20">
        <v>456</v>
      </c>
      <c r="CF7" s="42">
        <f>CG3</f>
        <v>-3.8126466</v>
      </c>
      <c r="CG7" s="260">
        <f>CE7/CF7</f>
        <v>-119.601958387646</v>
      </c>
      <c r="CH7" s="20">
        <v>551</v>
      </c>
      <c r="CI7" s="42">
        <f>CJ3</f>
        <v>3.32616269809021</v>
      </c>
      <c r="CJ7" s="38">
        <f>CH7/CI7</f>
        <v>165.65635839653</v>
      </c>
      <c r="CK7" s="20">
        <v>882</v>
      </c>
      <c r="CL7" s="42">
        <f>CM3</f>
        <v>15.5193041316141</v>
      </c>
      <c r="CM7" s="38">
        <f>CK7/CL7</f>
        <v>56.8324450967678</v>
      </c>
      <c r="CN7" s="20">
        <v>1001</v>
      </c>
      <c r="CO7" s="42">
        <f>CP3</f>
        <v>9.46196283116168</v>
      </c>
      <c r="CP7" s="43">
        <f>CN7/CO7</f>
        <v>105.792002976734</v>
      </c>
      <c r="CQ7" s="20">
        <v>305</v>
      </c>
      <c r="CR7" s="42">
        <f>CS3</f>
        <v>-4.92015251820138</v>
      </c>
      <c r="CS7" s="260">
        <f>CQ7/CR7</f>
        <v>-61.9899482529651</v>
      </c>
      <c r="CT7" s="20">
        <v>391</v>
      </c>
      <c r="CU7" s="42">
        <f>CV3</f>
        <v>5.6958831433145</v>
      </c>
      <c r="CV7" s="38">
        <f>CT7/CU7</f>
        <v>68.6460712346132</v>
      </c>
      <c r="CW7" s="20">
        <v>521</v>
      </c>
      <c r="CX7" s="42">
        <f>CY3</f>
        <v>3.5872407084896</v>
      </c>
      <c r="CY7" s="288">
        <f>CW7/CX7</f>
        <v>145.236978039136</v>
      </c>
      <c r="CZ7" s="20">
        <v>597</v>
      </c>
      <c r="DA7" s="42">
        <f>DB3</f>
        <v>2.5337222777</v>
      </c>
      <c r="DB7" s="288">
        <f>CZ7/DA7</f>
        <v>235.621719576121</v>
      </c>
      <c r="DC7" s="20">
        <v>254</v>
      </c>
      <c r="DD7" s="42">
        <f>DE3</f>
        <v>0.321013989185796</v>
      </c>
      <c r="DE7" s="219">
        <f>DC7/DD7</f>
        <v>791.242776192505</v>
      </c>
      <c r="DF7" s="20">
        <v>254</v>
      </c>
      <c r="DG7" s="42">
        <f>DH3</f>
        <v>12.1268988751852</v>
      </c>
      <c r="DH7" s="38">
        <f>DF7/DG7</f>
        <v>20.9451734210261</v>
      </c>
      <c r="DI7" s="20">
        <v>197</v>
      </c>
      <c r="DJ7" s="42">
        <f>DK3</f>
        <v>-2.21725945128571</v>
      </c>
      <c r="DK7" s="219">
        <f>DI7/DJ7</f>
        <v>-88.8484204614694</v>
      </c>
      <c r="DL7" s="20">
        <v>468</v>
      </c>
      <c r="DM7" s="42">
        <f>DN3</f>
        <v>7.82841981757833</v>
      </c>
      <c r="DN7" s="38">
        <f>DL7/DM7</f>
        <v>59.7821796614853</v>
      </c>
      <c r="DO7" s="20">
        <v>494</v>
      </c>
      <c r="DP7" s="42">
        <f>DQ3</f>
        <v>7.23335277858341</v>
      </c>
      <c r="DQ7" s="38">
        <f>DO7/DP7</f>
        <v>68.2947472799392</v>
      </c>
      <c r="DR7" s="20">
        <v>211</v>
      </c>
      <c r="DS7" s="42">
        <f>DT3</f>
        <v>-0.439877596408409</v>
      </c>
      <c r="DT7" s="219">
        <f>DR7/DS7</f>
        <v>-479.678896408479</v>
      </c>
      <c r="DU7" s="20">
        <v>533</v>
      </c>
      <c r="DV7" s="42">
        <f>DW3</f>
        <v>12.5869046614405</v>
      </c>
      <c r="DW7" s="38">
        <f>DU7/DV7</f>
        <v>42.3455976140684</v>
      </c>
      <c r="DX7" s="20">
        <v>247</v>
      </c>
      <c r="DY7" s="42">
        <f>DZ3</f>
        <v>2.35157041156566</v>
      </c>
      <c r="DZ7" s="288">
        <f>DX7/DY7</f>
        <v>105.03619146813</v>
      </c>
      <c r="EA7" s="20">
        <v>411</v>
      </c>
      <c r="EB7" s="42">
        <f>EC3</f>
        <v>4.81048303455971</v>
      </c>
      <c r="EC7" s="38">
        <f>EA7/EB7</f>
        <v>85.4384054672417</v>
      </c>
      <c r="ED7" s="20">
        <v>212</v>
      </c>
      <c r="EE7" s="42">
        <f>EF3</f>
        <v>-1.45570395337778</v>
      </c>
      <c r="EF7" s="219">
        <f>ED7/EE7</f>
        <v>-145.634007181255</v>
      </c>
      <c r="EG7" s="20">
        <v>416</v>
      </c>
      <c r="EH7" s="42">
        <f>EI3</f>
        <v>0.89017029235837</v>
      </c>
      <c r="EI7" s="219">
        <f>EG7/EH7</f>
        <v>467.32631224737</v>
      </c>
      <c r="EJ7" s="20">
        <v>265</v>
      </c>
      <c r="EK7" s="42">
        <f>EL3</f>
        <v>1.90658708588889</v>
      </c>
      <c r="EL7" s="219">
        <f>EJ7/EK7</f>
        <v>138.99181525005</v>
      </c>
      <c r="EM7" s="20">
        <v>600</v>
      </c>
      <c r="EN7" s="42">
        <f>EO3</f>
        <v>9.76817681881579</v>
      </c>
      <c r="EO7" s="38">
        <f>EM7/EN7</f>
        <v>61.4239495382864</v>
      </c>
      <c r="EP7" s="20">
        <v>851</v>
      </c>
      <c r="EQ7" s="42">
        <f>ER3</f>
        <v>11.3821207364486</v>
      </c>
      <c r="ER7" s="38">
        <f>EP7/EQ7</f>
        <v>74.7663831464087</v>
      </c>
      <c r="ES7" s="20">
        <v>614</v>
      </c>
      <c r="ET7" s="42">
        <f>EU3</f>
        <v>0.27537114</v>
      </c>
      <c r="EU7" s="219">
        <f>ES7/ET7</f>
        <v>2229.7180452534</v>
      </c>
      <c r="EV7" s="20">
        <v>373</v>
      </c>
      <c r="EW7" s="42">
        <f>EX3</f>
        <v>7.81519225826484</v>
      </c>
      <c r="EX7" s="38">
        <f>EV7/EW7</f>
        <v>47.7275526530444</v>
      </c>
      <c r="EY7" s="20">
        <v>208</v>
      </c>
      <c r="EZ7" s="42">
        <f>FA3</f>
        <v>2.2448850384</v>
      </c>
      <c r="FA7" s="38">
        <f>EY7/EZ7</f>
        <v>92.6550787421382</v>
      </c>
      <c r="FB7" s="20">
        <v>208</v>
      </c>
      <c r="FC7" s="42">
        <f>FD3</f>
        <v>-1.99080989024242</v>
      </c>
      <c r="FD7" s="219">
        <f>FB7/FC7</f>
        <v>-104.480091755357</v>
      </c>
      <c r="FE7" s="20">
        <v>418</v>
      </c>
      <c r="FF7" s="42">
        <f>FG3</f>
        <v>-6.5642252</v>
      </c>
      <c r="FG7" s="219">
        <f>FE7/FF7</f>
        <v>-63.6784978065652</v>
      </c>
      <c r="FH7" s="20">
        <v>349</v>
      </c>
      <c r="FI7" s="42">
        <f>FJ3</f>
        <v>-8.08224284139298</v>
      </c>
      <c r="FJ7" s="219">
        <f>FH7/FI7</f>
        <v>-43.1810831286343</v>
      </c>
      <c r="FK7" s="20">
        <v>387</v>
      </c>
      <c r="FL7" s="42">
        <f>FM3</f>
        <v>0.522885488363636</v>
      </c>
      <c r="FM7" s="219">
        <f>FK7/FL7</f>
        <v>740.123810303307</v>
      </c>
      <c r="FN7" s="20">
        <v>716</v>
      </c>
      <c r="FO7" s="42">
        <f>FP3</f>
        <v>16.4975788964366</v>
      </c>
      <c r="FP7" s="38">
        <f>FN7/FO7</f>
        <v>43.4003076751251</v>
      </c>
      <c r="FQ7" s="20">
        <v>589</v>
      </c>
      <c r="FR7" s="42">
        <f>FS3</f>
        <v>7.5597984762985</v>
      </c>
      <c r="FS7" s="38">
        <f>FQ7/FR7</f>
        <v>77.9121297805271</v>
      </c>
      <c r="FT7" s="20">
        <v>388</v>
      </c>
      <c r="FU7" s="42">
        <f>FV3</f>
        <v>1.64401928548846</v>
      </c>
      <c r="FV7" s="219">
        <f>FT7/FU7</f>
        <v>236.00696380196</v>
      </c>
      <c r="FW7" s="20">
        <v>670</v>
      </c>
      <c r="FX7" s="42">
        <f>FY3</f>
        <v>-4.78979715483811</v>
      </c>
      <c r="FY7" s="260">
        <f>FW7/FX7</f>
        <v>-139.880662654627</v>
      </c>
      <c r="FZ7" s="20">
        <v>255</v>
      </c>
      <c r="GA7" s="42">
        <f>GB3</f>
        <v>-8.33722907071254</v>
      </c>
      <c r="GB7" s="219">
        <f>FZ7/GA7</f>
        <v>-30.5857015367105</v>
      </c>
      <c r="GC7" s="20">
        <v>466</v>
      </c>
      <c r="GD7" s="42">
        <f>GE3</f>
        <v>5.01583382766355</v>
      </c>
      <c r="GE7" s="38">
        <f>GC7/GD7</f>
        <v>92.9057891491333</v>
      </c>
      <c r="GF7" s="20">
        <v>994</v>
      </c>
      <c r="GG7" s="42">
        <f>GH3</f>
        <v>0.841149034773846</v>
      </c>
      <c r="GH7" s="219">
        <f>GF7/GG7</f>
        <v>1181.71686455926</v>
      </c>
      <c r="GI7" s="20">
        <v>570</v>
      </c>
      <c r="GJ7" s="42">
        <f>GK3</f>
        <v>2.660042135</v>
      </c>
      <c r="GK7" s="38">
        <f>GI7/GJ7</f>
        <v>214.282320005431</v>
      </c>
      <c r="GL7" s="20">
        <v>370</v>
      </c>
      <c r="GM7" s="42">
        <f>GN3</f>
        <v>-7.14775374025974</v>
      </c>
      <c r="GN7" s="219">
        <f>GL7/GM7</f>
        <v>-51.7645142019897</v>
      </c>
      <c r="GO7" s="20">
        <v>422</v>
      </c>
      <c r="GP7" s="42">
        <f>GQ3</f>
        <v>-7.14775374025974</v>
      </c>
      <c r="GQ7" s="219">
        <f>GO7/GP7</f>
        <v>-59.0395270087558</v>
      </c>
      <c r="GR7" s="20">
        <v>550</v>
      </c>
      <c r="GS7" s="42">
        <f>GT3</f>
        <v>-6.57053606633333</v>
      </c>
      <c r="GT7" s="219">
        <f>GR7/GS7</f>
        <v>-83.7070209260606</v>
      </c>
      <c r="GU7" s="20">
        <v>665</v>
      </c>
      <c r="GV7" s="42">
        <f>GW3</f>
        <v>-0.885416492385787</v>
      </c>
      <c r="GW7" s="219">
        <f>GU7/GV7</f>
        <v>-751.058971364011</v>
      </c>
      <c r="GX7" s="20">
        <v>265</v>
      </c>
      <c r="GY7" s="42">
        <f>GZ3</f>
        <v>-41.87935516976</v>
      </c>
      <c r="GZ7" s="219">
        <f>GX7/GY7</f>
        <v>-6.32770010249226</v>
      </c>
      <c r="HA7" s="20">
        <v>385</v>
      </c>
      <c r="HB7" s="42">
        <f>HC3</f>
        <v>7.35370744675</v>
      </c>
      <c r="HC7" s="38">
        <f>HA7/HB7</f>
        <v>52.3545439885771</v>
      </c>
      <c r="HD7" s="20">
        <v>560</v>
      </c>
      <c r="HE7" s="42">
        <f>HF3</f>
        <v>-3.32449334334913</v>
      </c>
      <c r="HF7" s="219">
        <f>HD7/HE7</f>
        <v>-168.446720195821</v>
      </c>
      <c r="HG7" s="20">
        <v>422</v>
      </c>
      <c r="HH7" s="42">
        <f>HI3</f>
        <v>3.89940979266667</v>
      </c>
      <c r="HI7" s="38">
        <f>HG7/HH7</f>
        <v>108.221505929852</v>
      </c>
      <c r="HJ7" s="20">
        <v>531</v>
      </c>
      <c r="HK7" s="42">
        <f>HL3</f>
        <v>-45.0191557298207</v>
      </c>
      <c r="HL7" s="219">
        <f>HJ7/HK7</f>
        <v>-11.7949790792782</v>
      </c>
      <c r="HM7" s="20">
        <v>600</v>
      </c>
      <c r="HN7" s="42">
        <f>HO3</f>
        <v>14.1247640216655</v>
      </c>
      <c r="HO7" s="38">
        <f>HM7/HN7</f>
        <v>42.4785857717466</v>
      </c>
      <c r="HP7" s="20">
        <v>554</v>
      </c>
      <c r="HQ7" s="42">
        <f>HR3</f>
        <v>11.8933293908</v>
      </c>
      <c r="HR7" s="38">
        <f>HP7/HQ7</f>
        <v>46.5807329298844</v>
      </c>
      <c r="HS7" s="20">
        <v>659</v>
      </c>
      <c r="HT7" s="42">
        <f>HU3</f>
        <v>1.62563115725</v>
      </c>
      <c r="HU7" s="219">
        <f>HS7/HT7</f>
        <v>405.381009745653</v>
      </c>
      <c r="HV7" s="20">
        <v>293</v>
      </c>
      <c r="HW7" s="42">
        <f>HX3</f>
        <v>-14.0862122670487</v>
      </c>
      <c r="HX7" s="219">
        <f>HV7/HW7</f>
        <v>-20.8004816657067</v>
      </c>
      <c r="HY7" s="20">
        <v>682</v>
      </c>
      <c r="HZ7" s="42">
        <f>IA3</f>
        <v>17.109025829669</v>
      </c>
      <c r="IA7" s="38">
        <f>HY7/HZ7</f>
        <v>39.8620007234623</v>
      </c>
      <c r="IB7" s="20">
        <v>1906</v>
      </c>
      <c r="IC7" s="42">
        <f>ID3</f>
        <v>10.0441381254746</v>
      </c>
      <c r="ID7" s="38">
        <f>IB7/IC7</f>
        <v>189.762424230893</v>
      </c>
      <c r="IE7" s="20">
        <v>513</v>
      </c>
      <c r="IF7" s="42">
        <f>IG3</f>
        <v>-0.6046818584</v>
      </c>
      <c r="IG7" s="219">
        <f>IE7/IF7</f>
        <v>-848.380008220204</v>
      </c>
      <c r="IH7" s="20">
        <v>322</v>
      </c>
      <c r="II7" s="42">
        <f>IJ3</f>
        <v>-13.8485947064106</v>
      </c>
      <c r="IJ7" s="219">
        <f>IH7/II7</f>
        <v>-23.2514566875832</v>
      </c>
      <c r="IK7" s="20">
        <v>468</v>
      </c>
      <c r="IL7" s="42">
        <f>IM3</f>
        <v>-0.164180227106888</v>
      </c>
      <c r="IM7" s="219">
        <f>IK7/IL7</f>
        <v>-2850.52596312534</v>
      </c>
      <c r="IN7" s="20">
        <v>788</v>
      </c>
      <c r="IO7" s="42">
        <f>IP3</f>
        <v>6.65716767285714</v>
      </c>
      <c r="IP7" s="38">
        <f>IN7/IO7</f>
        <v>118.368657471685</v>
      </c>
      <c r="IQ7" s="20">
        <v>608</v>
      </c>
      <c r="IR7" s="42">
        <f>IS3</f>
        <v>-12.017001665</v>
      </c>
      <c r="IS7" s="219">
        <f>IQ7/IR7</f>
        <v>-50.5949834201009</v>
      </c>
      <c r="IT7" s="20">
        <v>346</v>
      </c>
      <c r="IU7" s="42">
        <f>IV3</f>
        <v>-6.40148018470652</v>
      </c>
      <c r="IV7" s="219">
        <f>IT7/IU7</f>
        <v>-54.0499993777397</v>
      </c>
      <c r="IW7" s="20">
        <v>503</v>
      </c>
      <c r="IX7" s="42">
        <f>IY3</f>
        <v>0.18729416475</v>
      </c>
      <c r="IY7" s="219">
        <f>IW7/IX7</f>
        <v>2685.61490247923</v>
      </c>
      <c r="IZ7" s="20">
        <v>517</v>
      </c>
      <c r="JA7" s="42">
        <f>JB3</f>
        <v>5.19312769431744</v>
      </c>
      <c r="JB7" s="38">
        <f>IZ7/JA7</f>
        <v>99.5546480718595</v>
      </c>
      <c r="JC7" s="20">
        <v>660</v>
      </c>
      <c r="JD7" s="42">
        <f>JE3</f>
        <v>4.91724682533333</v>
      </c>
      <c r="JE7" s="38">
        <f>JC7/JD7</f>
        <v>134.221450222861</v>
      </c>
      <c r="JF7" s="20">
        <v>756</v>
      </c>
      <c r="JG7" s="42">
        <f>JH3</f>
        <v>1.5815170552</v>
      </c>
      <c r="JH7" s="219">
        <f>JF7/JG7</f>
        <v>478.022034295669</v>
      </c>
      <c r="JI7" s="20">
        <v>828</v>
      </c>
      <c r="JJ7" s="42">
        <f>JK3</f>
        <v>2.864860939</v>
      </c>
      <c r="JK7" s="219">
        <f>JI7/JJ7</f>
        <v>289.019263981804</v>
      </c>
      <c r="JL7" s="20">
        <v>619</v>
      </c>
      <c r="JM7" s="42">
        <f>JN3</f>
        <v>-9.87514998909091</v>
      </c>
      <c r="JN7" s="219">
        <f>JL7/JM7</f>
        <v>-62.6825922324026</v>
      </c>
      <c r="JO7" s="20">
        <v>322</v>
      </c>
      <c r="JP7" s="42">
        <f>JQ3</f>
        <v>-0.793740909090909</v>
      </c>
      <c r="JQ7" s="219">
        <f>JO7/JP7</f>
        <v>-405.673937568362</v>
      </c>
    </row>
    <row r="8" spans="1:277">
      <c r="A8" s="2"/>
      <c r="B8" s="41"/>
      <c r="C8" s="2" t="s">
        <v>169</v>
      </c>
      <c r="D8" s="2"/>
      <c r="E8" s="20"/>
      <c r="F8" s="42"/>
      <c r="G8" s="38"/>
      <c r="H8" s="20"/>
      <c r="I8" s="42"/>
      <c r="J8" s="28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219"/>
      <c r="Z8" s="20"/>
      <c r="AA8" s="42"/>
      <c r="AB8" s="219"/>
      <c r="AC8" s="20"/>
      <c r="AD8" s="42"/>
      <c r="AE8" s="38"/>
      <c r="AF8" s="20"/>
      <c r="AG8" s="42"/>
      <c r="AH8" s="38"/>
      <c r="AI8" s="20"/>
      <c r="AJ8" s="42"/>
      <c r="AK8" s="38"/>
      <c r="AL8" s="20"/>
      <c r="AM8" s="42"/>
      <c r="AN8" s="219"/>
      <c r="AO8" s="20"/>
      <c r="AP8" s="42"/>
      <c r="AQ8" s="38"/>
      <c r="AR8" s="20"/>
      <c r="AS8" s="42"/>
      <c r="AT8" s="38"/>
      <c r="AU8" s="20"/>
      <c r="AV8" s="42"/>
      <c r="AW8" s="219"/>
      <c r="AX8" s="20"/>
      <c r="AY8" s="42"/>
      <c r="AZ8" s="38"/>
      <c r="BA8" s="20"/>
      <c r="BB8" s="42"/>
      <c r="BC8" s="219"/>
      <c r="BD8" s="20"/>
      <c r="BE8" s="42"/>
      <c r="BF8" s="219"/>
      <c r="BG8" s="20"/>
      <c r="BH8" s="42"/>
      <c r="BI8" s="38"/>
      <c r="BJ8" s="20"/>
      <c r="BK8" s="42"/>
      <c r="BL8" s="219"/>
      <c r="BM8" s="20"/>
      <c r="BN8" s="42"/>
      <c r="BO8" s="38"/>
      <c r="BP8" s="20"/>
      <c r="BQ8" s="42"/>
      <c r="BR8" s="260"/>
      <c r="BS8" s="20"/>
      <c r="BT8" s="42"/>
      <c r="BU8" s="219"/>
      <c r="BV8" s="20"/>
      <c r="BW8" s="42"/>
      <c r="BX8" s="38"/>
      <c r="BY8" s="20"/>
      <c r="BZ8" s="42"/>
      <c r="CA8" s="260"/>
      <c r="CB8" s="20"/>
      <c r="CC8" s="42"/>
      <c r="CD8" s="38"/>
      <c r="CE8" s="20"/>
      <c r="CF8" s="42"/>
      <c r="CG8" s="260"/>
      <c r="CH8" s="20"/>
      <c r="CI8" s="42"/>
      <c r="CJ8" s="38"/>
      <c r="CK8" s="20"/>
      <c r="CL8" s="42"/>
      <c r="CM8" s="38"/>
      <c r="CN8" s="20"/>
      <c r="CO8" s="42"/>
      <c r="CP8" s="43"/>
      <c r="CQ8" s="20"/>
      <c r="CR8" s="42"/>
      <c r="CS8" s="260"/>
      <c r="CT8" s="20"/>
      <c r="CU8" s="42"/>
      <c r="CV8" s="38"/>
      <c r="CW8" s="20"/>
      <c r="CX8" s="42"/>
      <c r="CY8" s="288"/>
      <c r="CZ8" s="20"/>
      <c r="DA8" s="42"/>
      <c r="DB8" s="288"/>
      <c r="DC8" s="20"/>
      <c r="DD8" s="42"/>
      <c r="DE8" s="219"/>
      <c r="DF8" s="20"/>
      <c r="DG8" s="42"/>
      <c r="DH8" s="38"/>
      <c r="DI8" s="20"/>
      <c r="DJ8" s="42"/>
      <c r="DK8" s="219"/>
      <c r="DL8" s="20"/>
      <c r="DM8" s="42"/>
      <c r="DN8" s="38"/>
      <c r="DO8" s="20"/>
      <c r="DP8" s="42"/>
      <c r="DQ8" s="38"/>
      <c r="DR8" s="20"/>
      <c r="DS8" s="42"/>
      <c r="DT8" s="219"/>
      <c r="DU8" s="20"/>
      <c r="DV8" s="42"/>
      <c r="DW8" s="38"/>
      <c r="DX8" s="20"/>
      <c r="DY8" s="42"/>
      <c r="DZ8" s="288"/>
      <c r="EA8" s="20"/>
      <c r="EB8" s="42"/>
      <c r="EC8" s="38"/>
      <c r="ED8" s="20"/>
      <c r="EE8" s="42"/>
      <c r="EF8" s="219"/>
      <c r="EG8" s="20"/>
      <c r="EH8" s="42"/>
      <c r="EI8" s="219"/>
      <c r="EJ8" s="20"/>
      <c r="EK8" s="42"/>
      <c r="EL8" s="219"/>
      <c r="EM8" s="20"/>
      <c r="EN8" s="42"/>
      <c r="EO8" s="38"/>
      <c r="EP8" s="20"/>
      <c r="EQ8" s="42"/>
      <c r="ER8" s="38"/>
      <c r="ES8" s="20"/>
      <c r="ET8" s="42"/>
      <c r="EU8" s="219"/>
      <c r="EV8" s="20"/>
      <c r="EW8" s="42"/>
      <c r="EX8" s="38"/>
      <c r="EY8" s="20"/>
      <c r="EZ8" s="42"/>
      <c r="FA8" s="38"/>
      <c r="FB8" s="20"/>
      <c r="FC8" s="42"/>
      <c r="FD8" s="219"/>
      <c r="FE8" s="20"/>
      <c r="FF8" s="42"/>
      <c r="FG8" s="219"/>
      <c r="FH8" s="20"/>
      <c r="FI8" s="42"/>
      <c r="FJ8" s="219"/>
      <c r="FK8" s="20"/>
      <c r="FL8" s="42"/>
      <c r="FM8" s="219"/>
      <c r="FN8" s="20"/>
      <c r="FO8" s="42"/>
      <c r="FP8" s="38"/>
      <c r="FQ8" s="20"/>
      <c r="FR8" s="42"/>
      <c r="FS8" s="38"/>
      <c r="FT8" s="20"/>
      <c r="FU8" s="42"/>
      <c r="FV8" s="219"/>
      <c r="FW8" s="20"/>
      <c r="FX8" s="42"/>
      <c r="FY8" s="260"/>
      <c r="FZ8" s="20"/>
      <c r="GA8" s="42"/>
      <c r="GB8" s="219"/>
      <c r="GC8" s="20"/>
      <c r="GD8" s="42"/>
      <c r="GE8" s="38"/>
      <c r="GF8" s="20"/>
      <c r="GG8" s="42"/>
      <c r="GH8" s="219"/>
      <c r="GI8" s="20"/>
      <c r="GJ8" s="42"/>
      <c r="GK8" s="38"/>
      <c r="GL8" s="20"/>
      <c r="GM8" s="42"/>
      <c r="GN8" s="219"/>
      <c r="GO8" s="20"/>
      <c r="GP8" s="42"/>
      <c r="GQ8" s="219"/>
      <c r="GR8" s="20"/>
      <c r="GS8" s="42"/>
      <c r="GT8" s="219"/>
      <c r="GU8" s="20"/>
      <c r="GV8" s="42"/>
      <c r="GW8" s="219"/>
      <c r="GX8" s="20"/>
      <c r="GY8" s="42"/>
      <c r="GZ8" s="219"/>
      <c r="HA8" s="20"/>
      <c r="HB8" s="42"/>
      <c r="HC8" s="38"/>
      <c r="HD8" s="20"/>
      <c r="HE8" s="42"/>
      <c r="HF8" s="219"/>
      <c r="HG8" s="20"/>
      <c r="HH8" s="42"/>
      <c r="HI8" s="38"/>
      <c r="HJ8" s="20"/>
      <c r="HK8" s="42"/>
      <c r="HL8" s="219"/>
      <c r="HM8" s="20"/>
      <c r="HN8" s="42"/>
      <c r="HO8" s="38"/>
      <c r="HP8" s="20"/>
      <c r="HQ8" s="42"/>
      <c r="HR8" s="38"/>
      <c r="HS8" s="20"/>
      <c r="HT8" s="42"/>
      <c r="HU8" s="219"/>
      <c r="HV8" s="20"/>
      <c r="HW8" s="42"/>
      <c r="HX8" s="219"/>
      <c r="HY8" s="20"/>
      <c r="HZ8" s="42"/>
      <c r="IA8" s="38"/>
      <c r="IB8" s="20"/>
      <c r="IC8" s="42"/>
      <c r="ID8" s="38"/>
      <c r="IE8" s="20"/>
      <c r="IF8" s="42"/>
      <c r="IG8" s="219"/>
      <c r="IH8" s="20"/>
      <c r="II8" s="42"/>
      <c r="IJ8" s="219"/>
      <c r="IK8" s="20"/>
      <c r="IL8" s="42"/>
      <c r="IM8" s="219"/>
      <c r="IN8" s="20"/>
      <c r="IO8" s="42"/>
      <c r="IP8" s="38"/>
      <c r="IQ8" s="20"/>
      <c r="IR8" s="42"/>
      <c r="IS8" s="219"/>
      <c r="IT8" s="20"/>
      <c r="IU8" s="42"/>
      <c r="IV8" s="219"/>
      <c r="IW8" s="20"/>
      <c r="IX8" s="42"/>
      <c r="IY8" s="219"/>
      <c r="IZ8" s="20"/>
      <c r="JA8" s="42"/>
      <c r="JB8" s="38"/>
      <c r="JC8" s="20"/>
      <c r="JD8" s="42"/>
      <c r="JE8" s="38"/>
      <c r="JF8" s="20"/>
      <c r="JG8" s="42"/>
      <c r="JH8" s="219"/>
      <c r="JI8" s="20"/>
      <c r="JJ8" s="42"/>
      <c r="JK8" s="219"/>
      <c r="JL8" s="20"/>
      <c r="JM8" s="42"/>
      <c r="JN8" s="219"/>
      <c r="JO8" s="20"/>
      <c r="JP8" s="42"/>
      <c r="JQ8" s="219"/>
    </row>
    <row r="9" spans="1:277">
      <c r="A9" s="2"/>
      <c r="B9" s="2"/>
      <c r="C9" s="2"/>
      <c r="D9" s="2"/>
      <c r="E9" s="20"/>
      <c r="F9" s="42"/>
      <c r="G9" s="38"/>
      <c r="H9" s="20"/>
      <c r="I9" s="42"/>
      <c r="J9" s="38"/>
      <c r="K9" s="20"/>
      <c r="L9" s="42"/>
      <c r="M9" s="38"/>
      <c r="N9" s="20"/>
      <c r="O9" s="42"/>
      <c r="P9" s="38"/>
      <c r="Q9" s="20"/>
      <c r="R9" s="42"/>
      <c r="S9" s="38"/>
      <c r="T9" s="20"/>
      <c r="U9" s="42"/>
      <c r="V9" s="38"/>
      <c r="W9" s="292" t="s">
        <v>426</v>
      </c>
      <c r="X9" s="292"/>
      <c r="Y9" s="38"/>
      <c r="Z9" s="292" t="s">
        <v>426</v>
      </c>
      <c r="AA9" s="292"/>
      <c r="AB9" s="38"/>
      <c r="AC9" s="20"/>
      <c r="AD9" s="42"/>
      <c r="AE9" s="38"/>
      <c r="AF9" s="20"/>
      <c r="AG9" s="42"/>
      <c r="AH9" s="38"/>
      <c r="AI9" s="20"/>
      <c r="AJ9" s="42"/>
      <c r="AK9" s="38"/>
      <c r="AL9" s="292" t="s">
        <v>426</v>
      </c>
      <c r="AM9" s="292"/>
      <c r="AN9" s="38"/>
      <c r="AO9" s="20"/>
      <c r="AP9" s="42"/>
      <c r="AQ9" s="38"/>
      <c r="AR9" s="20"/>
      <c r="AS9" s="42"/>
      <c r="AT9" s="38"/>
      <c r="AU9" s="292" t="s">
        <v>426</v>
      </c>
      <c r="AV9" s="292"/>
      <c r="AW9" s="38"/>
      <c r="AX9" s="20"/>
      <c r="AY9" s="42"/>
      <c r="AZ9" s="38"/>
      <c r="BA9" s="292" t="s">
        <v>426</v>
      </c>
      <c r="BB9" s="292"/>
      <c r="BC9" s="38"/>
      <c r="BD9" s="292" t="s">
        <v>426</v>
      </c>
      <c r="BE9" s="292"/>
      <c r="BF9" s="38"/>
      <c r="BG9" s="20"/>
      <c r="BH9" s="20"/>
      <c r="BI9" s="38"/>
      <c r="BJ9" s="292" t="s">
        <v>426</v>
      </c>
      <c r="BK9" s="292"/>
      <c r="BL9" s="38"/>
      <c r="BM9" s="20"/>
      <c r="BN9" s="20"/>
      <c r="BO9" s="38"/>
      <c r="BP9" s="292" t="s">
        <v>426</v>
      </c>
      <c r="BQ9" s="292"/>
      <c r="BR9" s="38"/>
      <c r="BS9" s="20"/>
      <c r="BT9" s="20"/>
      <c r="BU9" s="38"/>
      <c r="BV9" s="20"/>
      <c r="BW9" s="20"/>
      <c r="BX9" s="38"/>
      <c r="BY9" s="292" t="s">
        <v>426</v>
      </c>
      <c r="BZ9" s="292"/>
      <c r="CA9" s="38"/>
      <c r="CB9" s="20"/>
      <c r="CC9" s="20"/>
      <c r="CD9" s="38"/>
      <c r="CE9" s="292" t="s">
        <v>426</v>
      </c>
      <c r="CF9" s="292"/>
      <c r="CG9" s="38"/>
      <c r="CH9" s="20"/>
      <c r="CI9" s="20"/>
      <c r="CJ9" s="38"/>
      <c r="CK9" s="20"/>
      <c r="CL9" s="20"/>
      <c r="CM9" s="38"/>
      <c r="CN9" s="20"/>
      <c r="CO9" s="20"/>
      <c r="CP9" s="38"/>
      <c r="CQ9" s="293" t="s">
        <v>427</v>
      </c>
      <c r="CR9" s="293"/>
      <c r="CS9" s="38"/>
      <c r="CT9" s="20"/>
      <c r="CU9" s="20"/>
      <c r="CV9" s="38"/>
      <c r="CW9" s="20"/>
      <c r="CX9" s="20"/>
      <c r="CY9" s="38"/>
      <c r="CZ9" s="20"/>
      <c r="DA9" s="20"/>
      <c r="DB9" s="38"/>
      <c r="DC9" s="294" t="s">
        <v>428</v>
      </c>
      <c r="DD9" s="294"/>
      <c r="DE9" s="38"/>
      <c r="DF9" s="295"/>
      <c r="DG9" s="295"/>
      <c r="DH9" s="38"/>
      <c r="DI9" s="294" t="s">
        <v>289</v>
      </c>
      <c r="DJ9" s="294"/>
      <c r="DK9" s="38"/>
      <c r="DL9" s="295"/>
      <c r="DM9" s="295"/>
      <c r="DN9" s="38"/>
      <c r="DO9" s="295"/>
      <c r="DP9" s="295"/>
      <c r="DQ9" s="38"/>
      <c r="DR9" s="296" t="s">
        <v>289</v>
      </c>
      <c r="DS9" s="296"/>
      <c r="DT9" s="38"/>
      <c r="DU9" s="233"/>
      <c r="DV9" s="233"/>
      <c r="DW9" s="38"/>
      <c r="DX9" s="233" t="s">
        <v>429</v>
      </c>
      <c r="DY9" s="233"/>
      <c r="DZ9" s="38"/>
      <c r="EA9" s="233"/>
      <c r="EB9" s="233"/>
      <c r="EC9" s="38"/>
      <c r="ED9" s="233" t="s">
        <v>429</v>
      </c>
      <c r="EE9" s="233"/>
      <c r="EF9" s="38"/>
      <c r="EG9" s="233" t="s">
        <v>429</v>
      </c>
      <c r="EH9" s="233"/>
      <c r="EI9" s="38"/>
      <c r="EJ9" s="233" t="s">
        <v>429</v>
      </c>
      <c r="EK9" s="233"/>
      <c r="EL9" s="38"/>
      <c r="EM9" s="233"/>
      <c r="EN9" s="233"/>
      <c r="EO9" s="38"/>
      <c r="EP9" s="233"/>
      <c r="EQ9" s="233"/>
      <c r="ER9" s="38"/>
      <c r="ES9" s="233" t="s">
        <v>429</v>
      </c>
      <c r="ET9" s="233"/>
      <c r="EU9" s="38"/>
      <c r="EV9" s="233"/>
      <c r="EW9" s="233"/>
      <c r="EX9" s="38"/>
      <c r="EY9" s="233"/>
      <c r="EZ9" s="233"/>
      <c r="FA9" s="38"/>
      <c r="FB9" s="233" t="s">
        <v>430</v>
      </c>
      <c r="FC9" s="233"/>
      <c r="FD9" s="38"/>
      <c r="FE9" s="233" t="s">
        <v>429</v>
      </c>
      <c r="FF9" s="233"/>
      <c r="FG9" s="38"/>
      <c r="FH9" s="233" t="s">
        <v>431</v>
      </c>
      <c r="FI9" s="233"/>
      <c r="FJ9" s="38"/>
      <c r="FK9" s="233" t="s">
        <v>289</v>
      </c>
      <c r="FL9" s="233"/>
      <c r="FM9" s="38"/>
      <c r="FN9" s="233"/>
      <c r="FO9" s="233"/>
      <c r="FP9" s="38"/>
      <c r="FQ9" s="233"/>
      <c r="FR9" s="233"/>
      <c r="FS9" s="38"/>
      <c r="FT9" s="233"/>
      <c r="FU9" s="233"/>
      <c r="FV9" s="38"/>
      <c r="FW9" s="233" t="s">
        <v>289</v>
      </c>
      <c r="FX9" s="233"/>
      <c r="FY9" s="38"/>
      <c r="FZ9" s="233" t="s">
        <v>432</v>
      </c>
      <c r="GA9" s="233"/>
      <c r="GB9" s="38"/>
      <c r="GC9" s="233"/>
      <c r="GD9" s="233"/>
      <c r="GE9" s="38"/>
      <c r="GF9" s="233" t="s">
        <v>289</v>
      </c>
      <c r="GG9" s="233"/>
      <c r="GH9" s="38"/>
      <c r="GI9" s="233"/>
      <c r="GJ9" s="233"/>
      <c r="GK9" s="38"/>
      <c r="GL9" s="233" t="s">
        <v>433</v>
      </c>
      <c r="GM9" s="233"/>
      <c r="GN9" s="38"/>
      <c r="GO9" s="233" t="s">
        <v>433</v>
      </c>
      <c r="GP9" s="233"/>
      <c r="GQ9" s="38"/>
      <c r="GR9" s="233" t="s">
        <v>434</v>
      </c>
      <c r="GS9" s="233"/>
      <c r="GT9" s="38"/>
      <c r="GU9" s="233" t="s">
        <v>434</v>
      </c>
      <c r="GV9" s="233"/>
      <c r="GW9" s="38"/>
      <c r="GX9" s="233" t="s">
        <v>434</v>
      </c>
      <c r="GY9" s="233"/>
      <c r="GZ9" s="38"/>
      <c r="HA9" s="233"/>
      <c r="HB9" s="233"/>
      <c r="HC9" s="38"/>
      <c r="HD9" s="233" t="s">
        <v>433</v>
      </c>
      <c r="HE9" s="233"/>
      <c r="HF9" s="38"/>
      <c r="HG9" s="233"/>
      <c r="HH9" s="233"/>
      <c r="HI9" s="38"/>
      <c r="HJ9" s="233" t="s">
        <v>429</v>
      </c>
      <c r="HK9" s="233"/>
      <c r="HL9" s="38"/>
      <c r="HM9" s="233"/>
      <c r="HN9" s="233"/>
      <c r="HO9" s="38"/>
      <c r="HP9" s="233"/>
      <c r="HQ9" s="233"/>
      <c r="HR9" s="38"/>
      <c r="HS9" s="233" t="s">
        <v>429</v>
      </c>
      <c r="HT9" s="233"/>
      <c r="HU9" s="38"/>
      <c r="HV9" s="233" t="s">
        <v>429</v>
      </c>
      <c r="HW9" s="233"/>
      <c r="HX9" s="38"/>
      <c r="HY9" s="233"/>
      <c r="HZ9" s="233"/>
      <c r="IA9" s="38"/>
      <c r="IB9" s="233"/>
      <c r="IC9" s="233"/>
      <c r="ID9" s="38"/>
      <c r="IE9" s="233" t="s">
        <v>435</v>
      </c>
      <c r="IF9" s="233"/>
      <c r="IG9" s="38"/>
      <c r="IH9" s="233" t="s">
        <v>435</v>
      </c>
      <c r="II9" s="233"/>
      <c r="IJ9" s="38"/>
      <c r="IK9" s="233" t="s">
        <v>435</v>
      </c>
      <c r="IL9" s="233"/>
      <c r="IM9" s="38"/>
      <c r="IN9" s="233"/>
      <c r="IO9" s="233"/>
      <c r="IP9" s="38"/>
      <c r="IQ9" s="233" t="s">
        <v>436</v>
      </c>
      <c r="IR9" s="233"/>
      <c r="IS9" s="38"/>
      <c r="IT9" s="233" t="s">
        <v>436</v>
      </c>
      <c r="IU9" s="233"/>
      <c r="IV9" s="38"/>
      <c r="IW9" s="233" t="s">
        <v>436</v>
      </c>
      <c r="IX9" s="233"/>
      <c r="IY9" s="38"/>
      <c r="IZ9" s="233"/>
      <c r="JA9" s="233"/>
      <c r="JB9" s="38"/>
      <c r="JC9" s="233"/>
      <c r="JD9" s="233"/>
      <c r="JE9" s="38"/>
      <c r="JF9" s="233" t="s">
        <v>429</v>
      </c>
      <c r="JG9" s="233"/>
      <c r="JH9" s="38"/>
      <c r="JI9" s="233" t="s">
        <v>429</v>
      </c>
      <c r="JJ9" s="233"/>
      <c r="JK9" s="38"/>
      <c r="JL9" s="233" t="s">
        <v>429</v>
      </c>
      <c r="JM9" s="233"/>
      <c r="JN9" s="38"/>
      <c r="JO9" s="233" t="s">
        <v>289</v>
      </c>
      <c r="JP9" s="233"/>
      <c r="JQ9" s="38"/>
    </row>
    <row r="10" spans="1:277">
      <c r="A10" s="2">
        <v>3</v>
      </c>
      <c r="B10" s="2" t="s">
        <v>437</v>
      </c>
      <c r="C10" s="97" t="s">
        <v>438</v>
      </c>
      <c r="D10" s="2" t="s">
        <v>175</v>
      </c>
      <c r="E10" s="20">
        <f>E5</f>
        <v>507896660</v>
      </c>
      <c r="F10" s="20">
        <v>824905760</v>
      </c>
      <c r="G10" s="38">
        <f>(E10/F10)*100</f>
        <v>61.5702647051464</v>
      </c>
      <c r="H10" s="20">
        <f>H5</f>
        <v>-2067482159</v>
      </c>
      <c r="I10" s="20">
        <v>4270827263</v>
      </c>
      <c r="J10" s="38">
        <f>(H10/I10)*100</f>
        <v>-48.4094071636069</v>
      </c>
      <c r="K10" s="20">
        <f>K5</f>
        <v>215641000</v>
      </c>
      <c r="L10" s="20">
        <v>558735000</v>
      </c>
      <c r="M10" s="38">
        <f>(K10/L10)*100</f>
        <v>38.5945036555791</v>
      </c>
      <c r="N10" s="20">
        <f>N5</f>
        <v>834187487</v>
      </c>
      <c r="O10" s="20">
        <v>2143520425</v>
      </c>
      <c r="P10" s="38">
        <f>(N10/O10)*100</f>
        <v>38.916703441256</v>
      </c>
      <c r="Q10" s="20">
        <f>Q5</f>
        <v>276911072</v>
      </c>
      <c r="R10" s="20">
        <v>512954570</v>
      </c>
      <c r="S10" s="38">
        <f>(Q10/R10)*100</f>
        <v>53.9835471199721</v>
      </c>
      <c r="T10" s="20">
        <f>T5</f>
        <v>87738160</v>
      </c>
      <c r="U10" s="20">
        <v>741281480</v>
      </c>
      <c r="V10" s="38">
        <f>(T10/U10)*100</f>
        <v>11.8360113353972</v>
      </c>
      <c r="W10" s="20">
        <f>W5</f>
        <v>-146032000</v>
      </c>
      <c r="X10" s="20">
        <v>611075000</v>
      </c>
      <c r="Y10" s="219">
        <f>(W10/X10)*100</f>
        <v>-23.8975575829481</v>
      </c>
      <c r="Z10" s="20">
        <f>Z5</f>
        <v>-27491250</v>
      </c>
      <c r="AA10" s="297">
        <v>1</v>
      </c>
      <c r="AB10" s="38">
        <f>(Z10/AA10)*100</f>
        <v>-2749125000</v>
      </c>
      <c r="AC10" s="20">
        <f>AC5</f>
        <v>353497566</v>
      </c>
      <c r="AD10" s="20">
        <v>1197098360</v>
      </c>
      <c r="AE10" s="38">
        <f>(AC10/AD10)*100</f>
        <v>29.5295338972814</v>
      </c>
      <c r="AF10" s="20">
        <f>AF5</f>
        <v>211445654</v>
      </c>
      <c r="AG10" s="20">
        <v>1607505752</v>
      </c>
      <c r="AH10" s="38">
        <f>(AF10/AG10)*100</f>
        <v>13.1536483609422</v>
      </c>
      <c r="AI10" s="20">
        <f>AI5</f>
        <v>373526868</v>
      </c>
      <c r="AJ10" s="20">
        <v>1286493842</v>
      </c>
      <c r="AK10" s="38">
        <f>(AI10/AJ10)*100</f>
        <v>29.0344854989209</v>
      </c>
      <c r="AL10" s="20">
        <f>AL5</f>
        <v>-135204946</v>
      </c>
      <c r="AM10" s="20">
        <v>762252976</v>
      </c>
      <c r="AN10" s="38">
        <f>(AL10/AM10)*100</f>
        <v>-17.7375425556882</v>
      </c>
      <c r="AO10" s="20">
        <f>AO5</f>
        <v>465064409</v>
      </c>
      <c r="AP10" s="20">
        <v>922766940</v>
      </c>
      <c r="AQ10" s="38">
        <f>(AO10/AP10)*100</f>
        <v>50.398902349059</v>
      </c>
      <c r="AR10" s="20">
        <f>AR5</f>
        <v>81100767</v>
      </c>
      <c r="AS10" s="20">
        <v>103883196</v>
      </c>
      <c r="AT10" s="38">
        <f>(AR10/AS10)*100</f>
        <v>78.0691874362433</v>
      </c>
      <c r="AU10" s="20">
        <f>AU5</f>
        <v>22994344</v>
      </c>
      <c r="AV10" s="20">
        <v>103883196</v>
      </c>
      <c r="AW10" s="38">
        <f>(AU10/AV10)*100</f>
        <v>22.134806095107</v>
      </c>
      <c r="AX10" s="20">
        <f>AX5</f>
        <v>150262792</v>
      </c>
      <c r="AY10" s="20">
        <v>442998041</v>
      </c>
      <c r="AZ10" s="38">
        <f>(AX10/AY10)*100</f>
        <v>33.9195161361899</v>
      </c>
      <c r="BA10" s="20">
        <f>BA5</f>
        <v>-242868170</v>
      </c>
      <c r="BB10" s="20">
        <v>442998041</v>
      </c>
      <c r="BC10" s="38">
        <f>(BA10/BB10)*100</f>
        <v>-54.823757110023</v>
      </c>
      <c r="BD10" s="20">
        <f>BD5</f>
        <v>15073539</v>
      </c>
      <c r="BE10" s="20">
        <v>251369979</v>
      </c>
      <c r="BF10" s="38">
        <f>(BD10/BE10)*100</f>
        <v>5.99655498240703</v>
      </c>
      <c r="BG10" s="20">
        <f>BG5</f>
        <v>341898520</v>
      </c>
      <c r="BH10" s="20">
        <v>197431605</v>
      </c>
      <c r="BI10" s="38">
        <f>(BG10/BH10)*100</f>
        <v>173.173145201347</v>
      </c>
      <c r="BJ10" s="20">
        <f>BJ5</f>
        <v>32199318</v>
      </c>
      <c r="BK10" s="20">
        <v>197431605</v>
      </c>
      <c r="BL10" s="38">
        <f>(BJ10/BK10)*100</f>
        <v>16.3091000551811</v>
      </c>
      <c r="BM10" s="20">
        <f>BM5</f>
        <v>106411768</v>
      </c>
      <c r="BN10" s="20">
        <v>261398265</v>
      </c>
      <c r="BO10" s="38">
        <f>(BM10/BN10)*100</f>
        <v>40.7086741757831</v>
      </c>
      <c r="BP10" s="20">
        <f>BP5</f>
        <v>-74517</v>
      </c>
      <c r="BQ10" s="20">
        <v>261398265</v>
      </c>
      <c r="BR10" s="38">
        <f>(BP10/BQ10)*100</f>
        <v>-0.0285070752095466</v>
      </c>
      <c r="BS10" s="20">
        <f>BS5</f>
        <v>-17647700</v>
      </c>
      <c r="BT10" s="20">
        <v>261398265</v>
      </c>
      <c r="BU10" s="38">
        <f>(BS10/BT10)*100</f>
        <v>-6.75126898795598</v>
      </c>
      <c r="BV10" s="20">
        <f>BV5</f>
        <v>134331411</v>
      </c>
      <c r="BW10" s="20">
        <v>551608523</v>
      </c>
      <c r="BX10" s="38">
        <f>(BV10/BW10)*100</f>
        <v>24.3526713962685</v>
      </c>
      <c r="BY10" s="20">
        <f>BY5</f>
        <v>-326670435</v>
      </c>
      <c r="BZ10" s="20">
        <v>551608523</v>
      </c>
      <c r="CA10" s="38">
        <f>(BY10/BZ10)*100</f>
        <v>-59.2214263157787</v>
      </c>
      <c r="CB10" s="20">
        <f>CB5</f>
        <v>86425243</v>
      </c>
      <c r="CC10" s="20">
        <v>241976328</v>
      </c>
      <c r="CD10" s="38">
        <f>(CB10/CC10)*100</f>
        <v>35.7164040442832</v>
      </c>
      <c r="CE10" s="20">
        <f>CE5</f>
        <v>-42903000</v>
      </c>
      <c r="CF10" s="20">
        <v>241976328</v>
      </c>
      <c r="CG10" s="38">
        <f>(CE10/CF10)*100</f>
        <v>-17.7302467371932</v>
      </c>
      <c r="CH10" s="20">
        <f>CH5</f>
        <v>30704</v>
      </c>
      <c r="CI10" s="20">
        <v>218062</v>
      </c>
      <c r="CJ10" s="38">
        <f>(CH10/CI10)*100</f>
        <v>14.0803991525346</v>
      </c>
      <c r="CK10" s="20">
        <f>CK5</f>
        <v>87131637</v>
      </c>
      <c r="CL10" s="20">
        <v>241258320</v>
      </c>
      <c r="CM10" s="38">
        <f>(CK10/CL10)*100</f>
        <v>36.1154952086212</v>
      </c>
      <c r="CN10" s="20">
        <f>CN5</f>
        <v>42230827</v>
      </c>
      <c r="CO10" s="20">
        <v>101687482</v>
      </c>
      <c r="CP10" s="38">
        <f>(CN10/CO10)*100</f>
        <v>41.5300154644404</v>
      </c>
      <c r="CQ10" s="20">
        <f>CQ5</f>
        <v>-38913143</v>
      </c>
      <c r="CR10" s="20">
        <v>104787924</v>
      </c>
      <c r="CS10" s="38">
        <f>(CQ10/CR10)*100</f>
        <v>-37.135140686631</v>
      </c>
      <c r="CT10" s="20">
        <f>CT5</f>
        <v>68068581</v>
      </c>
      <c r="CU10" s="20">
        <v>657413018</v>
      </c>
      <c r="CV10" s="38">
        <f>(CT10/CU10)*100</f>
        <v>10.3540056458085</v>
      </c>
      <c r="CW10" s="20">
        <f>CW5</f>
        <v>31572024</v>
      </c>
      <c r="CX10" s="20">
        <v>178920942</v>
      </c>
      <c r="CY10" s="38">
        <f>(CW10/CX10)*100</f>
        <v>17.6457957615716</v>
      </c>
      <c r="CZ10" s="20">
        <f>CZ5</f>
        <v>19007669</v>
      </c>
      <c r="DA10" s="20">
        <v>310145681</v>
      </c>
      <c r="DB10" s="38">
        <f>(CZ10/DA10)*100</f>
        <v>6.12862605041403</v>
      </c>
      <c r="DC10" s="20">
        <f>DC5</f>
        <v>5595112</v>
      </c>
      <c r="DD10" s="20">
        <v>310145681</v>
      </c>
      <c r="DE10" s="38">
        <f>(DC10/DD10)*100</f>
        <v>1.80402705656249</v>
      </c>
      <c r="DF10" s="20">
        <f>DF5</f>
        <v>122815555</v>
      </c>
      <c r="DG10" s="20">
        <v>585687100</v>
      </c>
      <c r="DH10" s="38">
        <f>(DF10/DG10)*100</f>
        <v>20.9694826811108</v>
      </c>
      <c r="DI10" s="20">
        <f>DI5</f>
        <v>-46574092</v>
      </c>
      <c r="DJ10" s="20">
        <v>585687100</v>
      </c>
      <c r="DK10" s="38">
        <f>(DI10/DJ10)*100</f>
        <v>-7.95204333508455</v>
      </c>
      <c r="DL10" s="20">
        <f>DL5</f>
        <v>66350703</v>
      </c>
      <c r="DM10" s="20">
        <v>307498187</v>
      </c>
      <c r="DN10" s="38">
        <f>(DL10/DM10)*100</f>
        <v>21.5775916103206</v>
      </c>
      <c r="DO10" s="20">
        <f>DO5</f>
        <v>57813481</v>
      </c>
      <c r="DP10" s="20">
        <v>558730304</v>
      </c>
      <c r="DQ10" s="38">
        <f>(DO10/DP10)*100</f>
        <v>10.3472964659529</v>
      </c>
      <c r="DR10" s="20">
        <f>DR5</f>
        <v>-8141408</v>
      </c>
      <c r="DS10" s="20">
        <v>558730304</v>
      </c>
      <c r="DT10" s="38">
        <f>(DR10/DS10)*100</f>
        <v>-1.45712662114708</v>
      </c>
      <c r="DU10" s="20">
        <f>DU5</f>
        <v>88188547</v>
      </c>
      <c r="DV10" s="20">
        <v>153410733</v>
      </c>
      <c r="DW10" s="38">
        <f>(DU10/DV10)*100</f>
        <v>57.4852523519329</v>
      </c>
      <c r="DX10" s="20">
        <f>DX5</f>
        <v>34929553</v>
      </c>
      <c r="DY10" s="20">
        <v>153410733</v>
      </c>
      <c r="DZ10" s="38">
        <f>(DX10/DY10)*100</f>
        <v>22.7686500917768</v>
      </c>
      <c r="EA10" s="20">
        <f>EA5</f>
        <v>43661088</v>
      </c>
      <c r="EB10" s="20">
        <v>135250191</v>
      </c>
      <c r="EC10" s="38">
        <f>(EA10/EB10)*100</f>
        <v>32.2817200309906</v>
      </c>
      <c r="ED10" s="20">
        <f>ED5</f>
        <v>-24571147</v>
      </c>
      <c r="EE10" s="20">
        <v>135250191</v>
      </c>
      <c r="EF10" s="38">
        <f>(ED10/EE10)*100</f>
        <v>-18.1671809986575</v>
      </c>
      <c r="EG10" s="20">
        <f>EG5</f>
        <v>3578144</v>
      </c>
      <c r="EH10" s="20">
        <v>135250191</v>
      </c>
      <c r="EI10" s="38">
        <f>(EG10/EH10)*100</f>
        <v>2.64557408277523</v>
      </c>
      <c r="EJ10" s="20">
        <f>EJ5</f>
        <v>25745362</v>
      </c>
      <c r="EK10" s="20">
        <v>135250191</v>
      </c>
      <c r="EL10" s="38">
        <f>(EJ10/EK10)*100</f>
        <v>19.03536091864</v>
      </c>
      <c r="EM10" s="20">
        <f>EM5</f>
        <v>55692531</v>
      </c>
      <c r="EN10" s="20">
        <v>314212983</v>
      </c>
      <c r="EO10" s="38">
        <f>(EM10/EN10)*100</f>
        <v>17.7244525252478</v>
      </c>
      <c r="EP10" s="20">
        <f>EP5</f>
        <v>45682180</v>
      </c>
      <c r="EQ10" s="20">
        <v>116635853</v>
      </c>
      <c r="ER10" s="38">
        <f>(EP10/EQ10)*100</f>
        <v>39.1664988294808</v>
      </c>
      <c r="ES10" s="20">
        <f>ES5</f>
        <v>1446060</v>
      </c>
      <c r="ET10" s="20">
        <v>314212983</v>
      </c>
      <c r="EU10" s="38">
        <f>(ES10/ET10)*100</f>
        <v>0.460216502257006</v>
      </c>
      <c r="EV10" s="20">
        <f>EV5</f>
        <v>64198316</v>
      </c>
      <c r="EW10" s="20">
        <v>257267737</v>
      </c>
      <c r="EX10" s="38">
        <f>(EV10/EW10)*100</f>
        <v>24.9538930721033</v>
      </c>
      <c r="EY10" s="20">
        <f>EY5</f>
        <v>33681696</v>
      </c>
      <c r="EZ10" s="20">
        <v>130728079</v>
      </c>
      <c r="FA10" s="38">
        <f>(EY10/EZ10)*100</f>
        <v>25.7646989519367</v>
      </c>
      <c r="FB10" s="20">
        <f>FB5</f>
        <v>-24642433</v>
      </c>
      <c r="FC10" s="20">
        <v>130728079</v>
      </c>
      <c r="FD10" s="38">
        <f>(FB10/FC10)*100</f>
        <v>-18.8501454228514</v>
      </c>
      <c r="FE10" s="20">
        <f>FE5</f>
        <v>-49244</v>
      </c>
      <c r="FF10" s="20">
        <v>130728079</v>
      </c>
      <c r="FG10" s="38">
        <f>(FE10/FF10)*100</f>
        <v>-0.0376690305378082</v>
      </c>
      <c r="FH10" s="20">
        <f>FH5</f>
        <v>-37154901</v>
      </c>
      <c r="FI10" s="20">
        <v>118373539</v>
      </c>
      <c r="FJ10" s="38">
        <f>(FH10/FI10)*100</f>
        <v>-31.387843359148</v>
      </c>
      <c r="FK10" s="20">
        <f>FK5</f>
        <v>4314884</v>
      </c>
      <c r="FL10" s="20">
        <v>118373539</v>
      </c>
      <c r="FM10" s="38">
        <f>(FK10/FL10)*100</f>
        <v>3.64514234891634</v>
      </c>
      <c r="FN10" s="20">
        <f>FN5</f>
        <v>70213374</v>
      </c>
      <c r="FO10" s="20">
        <v>118373539</v>
      </c>
      <c r="FP10" s="38">
        <f>(FN10/FO10)*100</f>
        <v>59.3150923704326</v>
      </c>
      <c r="FQ10" s="20">
        <f>FQ5</f>
        <v>36679887</v>
      </c>
      <c r="FR10" s="20">
        <v>87342006</v>
      </c>
      <c r="FS10" s="38">
        <f>(FQ10/FR10)*100</f>
        <v>41.9957002132513</v>
      </c>
      <c r="FT10" s="20">
        <f>FT5</f>
        <v>7802000</v>
      </c>
      <c r="FU10" s="20">
        <v>69640000</v>
      </c>
      <c r="FV10" s="38">
        <f>(FT10/FU10)*100</f>
        <v>11.2033314187249</v>
      </c>
      <c r="FW10" s="20">
        <f>FW5</f>
        <v>-19549178</v>
      </c>
      <c r="FX10" s="20">
        <v>69640000</v>
      </c>
      <c r="FY10" s="38">
        <f>(FW10/FX10)*100</f>
        <v>-28.0717662263067</v>
      </c>
      <c r="FZ10" s="20">
        <f>FZ5</f>
        <v>-61545425</v>
      </c>
      <c r="GA10" s="20">
        <v>69640000</v>
      </c>
      <c r="GB10" s="38">
        <f>(FZ10/GA10)*100</f>
        <v>-88.3765436530729</v>
      </c>
      <c r="GC10" s="20">
        <f>GC5</f>
        <v>30196599</v>
      </c>
      <c r="GD10" s="20">
        <v>127924936</v>
      </c>
      <c r="GE10" s="38">
        <f>(GC10/GD10)*100</f>
        <v>23.6049357882813</v>
      </c>
      <c r="GF10" s="20">
        <f>GF5</f>
        <v>2474586</v>
      </c>
      <c r="GG10" s="20">
        <v>127924936</v>
      </c>
      <c r="GH10" s="38">
        <f>(GF10/GG10)*100</f>
        <v>1.93440471996797</v>
      </c>
      <c r="GI10" s="20">
        <f>GI5</f>
        <v>12372289</v>
      </c>
      <c r="GJ10" s="20">
        <v>104711420</v>
      </c>
      <c r="GK10" s="38">
        <f>(GI10/GJ10)*100</f>
        <v>11.815606167885</v>
      </c>
      <c r="GL10" s="20">
        <f>GL5</f>
        <v>-51610750</v>
      </c>
      <c r="GM10" s="20">
        <v>104711420</v>
      </c>
      <c r="GN10" s="38">
        <f>(GL10/GM10)*100</f>
        <v>-49.2885589747518</v>
      </c>
      <c r="GO10" s="20">
        <f>GO5</f>
        <v>-51610750</v>
      </c>
      <c r="GP10" s="20">
        <v>104711420</v>
      </c>
      <c r="GQ10" s="38">
        <f>(GO10/GP10)*100</f>
        <v>-49.2885589747518</v>
      </c>
      <c r="GR10" s="20">
        <f>GR5</f>
        <v>-29574806</v>
      </c>
      <c r="GS10" s="20">
        <v>104711420</v>
      </c>
      <c r="GT10" s="38">
        <f>(GR10/GS10)*100</f>
        <v>-28.2441074717543</v>
      </c>
      <c r="GU10" s="20">
        <f>GU5</f>
        <v>-3271325</v>
      </c>
      <c r="GV10" s="20">
        <v>104711420</v>
      </c>
      <c r="GW10" s="38">
        <f>(GU10/GV10)*100</f>
        <v>-3.12413392923141</v>
      </c>
      <c r="GX10" s="20">
        <f>GX5</f>
        <v>-392717134</v>
      </c>
      <c r="GY10" s="20">
        <v>104711420</v>
      </c>
      <c r="GZ10" s="38">
        <f>(GX10/GY10)*100</f>
        <v>-375.04709037467</v>
      </c>
      <c r="HA10" s="20">
        <f>HA5</f>
        <v>22066639</v>
      </c>
      <c r="HB10" s="20">
        <v>121327738</v>
      </c>
      <c r="HC10" s="38">
        <f>(HA10/HB10)*100</f>
        <v>18.1876291141272</v>
      </c>
      <c r="HD10" s="20">
        <f>HD5</f>
        <v>-13379926</v>
      </c>
      <c r="HE10" s="20">
        <v>121327738</v>
      </c>
      <c r="HF10" s="38">
        <f>(HD10/HE10)*100</f>
        <v>-11.0279200952382</v>
      </c>
      <c r="HG10" s="20">
        <f>HG5</f>
        <v>21939665</v>
      </c>
      <c r="HH10" s="20">
        <v>58940989</v>
      </c>
      <c r="HI10" s="38">
        <f>(HG10/HH10)*100</f>
        <v>37.2231029241807</v>
      </c>
      <c r="HJ10" s="20">
        <f>HJ5</f>
        <v>-183245627</v>
      </c>
      <c r="HK10" s="20">
        <v>58940989</v>
      </c>
      <c r="HL10" s="38">
        <f>(HJ10/HK10)*100</f>
        <v>-310.896763201581</v>
      </c>
      <c r="HM10" s="20">
        <f>HM5</f>
        <v>46951860</v>
      </c>
      <c r="HN10" s="20">
        <v>136196794</v>
      </c>
      <c r="HO10" s="38">
        <f>(HM10/HN10)*100</f>
        <v>34.4735427472691</v>
      </c>
      <c r="HP10" s="20">
        <f>HP5</f>
        <v>44611138</v>
      </c>
      <c r="HQ10" s="20">
        <v>167223558</v>
      </c>
      <c r="HR10" s="38">
        <f>(HP10/HQ10)*100</f>
        <v>26.6775438422378</v>
      </c>
      <c r="HS10" s="20">
        <f>HS5</f>
        <v>4878113</v>
      </c>
      <c r="HT10" s="20">
        <v>167223558</v>
      </c>
      <c r="HU10" s="38">
        <f>(HS10/HT10)*100</f>
        <v>2.91712068463464</v>
      </c>
      <c r="HV10" s="20">
        <f>HV5</f>
        <v>-49213432</v>
      </c>
      <c r="HW10" s="20">
        <v>167223558</v>
      </c>
      <c r="HX10" s="38">
        <f>(HV10/HW10)*100</f>
        <v>-29.4297242497376</v>
      </c>
      <c r="HY10" s="20">
        <f>HY5</f>
        <v>49825000</v>
      </c>
      <c r="HZ10" s="20">
        <v>90255000</v>
      </c>
      <c r="IA10" s="38">
        <f>(HY10/HZ10)*100</f>
        <v>55.2046978006759</v>
      </c>
      <c r="IB10" s="20">
        <f>IB5</f>
        <v>10100967</v>
      </c>
      <c r="IC10" s="20">
        <v>27369769</v>
      </c>
      <c r="ID10" s="38">
        <f>(IB10/IC10)*100</f>
        <v>36.9055617531883</v>
      </c>
      <c r="IE10" s="20">
        <f>IE5</f>
        <v>-2268124</v>
      </c>
      <c r="IF10" s="20">
        <v>27369769</v>
      </c>
      <c r="IG10" s="38">
        <f>(IE10/IF10)*100</f>
        <v>-8.28696800473544</v>
      </c>
      <c r="IH10" s="20">
        <f>IH5</f>
        <v>-40203260</v>
      </c>
      <c r="II10" s="20">
        <v>27369769</v>
      </c>
      <c r="IJ10" s="38">
        <f>(IH10/II10)*100</f>
        <v>-146.88929234295</v>
      </c>
      <c r="IK10" s="20">
        <f>IK5</f>
        <v>-627905</v>
      </c>
      <c r="IL10" s="20">
        <v>27369769</v>
      </c>
      <c r="IM10" s="38">
        <f>(IK10/IL10)*100</f>
        <v>-2.29415527767151</v>
      </c>
      <c r="IN10" s="20">
        <f>IN5</f>
        <v>13983548</v>
      </c>
      <c r="IO10" s="20">
        <v>73596826</v>
      </c>
      <c r="IP10" s="38">
        <f>(IN10/IO10)*100</f>
        <v>19.0002052534168</v>
      </c>
      <c r="IQ10" s="20">
        <f>IQ5</f>
        <v>-30651017</v>
      </c>
      <c r="IR10" s="20">
        <v>73596826</v>
      </c>
      <c r="IS10" s="38">
        <f>(IQ10/IR10)*100</f>
        <v>-41.6471995680901</v>
      </c>
      <c r="IT10" s="20">
        <f>IT5</f>
        <v>-17835782</v>
      </c>
      <c r="IU10" s="20">
        <v>73596826</v>
      </c>
      <c r="IV10" s="38">
        <f>(IT10/IU10)*100</f>
        <v>-24.2344445669437</v>
      </c>
      <c r="IW10" s="20">
        <f>IW5</f>
        <v>562023</v>
      </c>
      <c r="IX10" s="20">
        <v>73596826</v>
      </c>
      <c r="IY10" s="38">
        <f>(IW10/IX10)*100</f>
        <v>0.763651138977107</v>
      </c>
      <c r="IZ10" s="20">
        <f>IZ5</f>
        <v>14660741</v>
      </c>
      <c r="JA10" s="20">
        <v>75939296</v>
      </c>
      <c r="JB10" s="38">
        <f>(IZ10/JA10)*100</f>
        <v>19.3058689930441</v>
      </c>
      <c r="JC10" s="20">
        <f>JC5</f>
        <v>11066572</v>
      </c>
      <c r="JD10" s="20">
        <v>48903621</v>
      </c>
      <c r="JE10" s="38">
        <f>(JC10/JD10)*100</f>
        <v>22.6293509022573</v>
      </c>
      <c r="JF10" s="20">
        <f>JF5</f>
        <v>2966086</v>
      </c>
      <c r="JG10" s="20">
        <v>48903621</v>
      </c>
      <c r="JH10" s="38">
        <f>(JF10/JG10)*100</f>
        <v>6.06516642193019</v>
      </c>
      <c r="JI10" s="20">
        <f>JI5</f>
        <v>4298366</v>
      </c>
      <c r="JJ10" s="20">
        <v>48903621</v>
      </c>
      <c r="JK10" s="38">
        <f>(JI10/JJ10)*100</f>
        <v>8.78946366773127</v>
      </c>
      <c r="JL10" s="20">
        <f>JL5</f>
        <v>-16298072</v>
      </c>
      <c r="JM10" s="20">
        <v>48903621</v>
      </c>
      <c r="JN10" s="38">
        <f>(JL10/JM10)*100</f>
        <v>-33.3269227650852</v>
      </c>
      <c r="JO10" s="20">
        <f>JO5</f>
        <v>-1572000</v>
      </c>
      <c r="JP10" s="20">
        <v>48903621</v>
      </c>
      <c r="JQ10" s="38">
        <f>(JO10/JP10)*100</f>
        <v>-3.21448589665784</v>
      </c>
    </row>
    <row r="11" spans="1:277">
      <c r="A11" s="2"/>
      <c r="B11" s="2"/>
      <c r="C11" s="6" t="s">
        <v>439</v>
      </c>
      <c r="D11" s="2"/>
      <c r="E11" s="20"/>
      <c r="F11" s="20"/>
      <c r="G11" s="38"/>
      <c r="H11" s="20"/>
      <c r="I11" s="20"/>
      <c r="J11" s="38"/>
      <c r="K11" s="20"/>
      <c r="L11" s="20"/>
      <c r="M11" s="38"/>
      <c r="N11" s="20"/>
      <c r="O11" s="20"/>
      <c r="P11" s="38"/>
      <c r="Q11" s="20"/>
      <c r="R11" s="20"/>
      <c r="S11" s="38"/>
      <c r="T11" s="20"/>
      <c r="U11" s="20"/>
      <c r="V11" s="38"/>
      <c r="W11" s="20"/>
      <c r="X11" s="20"/>
      <c r="Y11" s="219"/>
      <c r="Z11" s="20"/>
      <c r="AA11" s="297"/>
      <c r="AB11" s="38"/>
      <c r="AC11" s="20"/>
      <c r="AD11" s="20"/>
      <c r="AE11" s="38"/>
      <c r="AF11" s="20"/>
      <c r="AG11" s="20"/>
      <c r="AH11" s="38"/>
      <c r="AI11" s="20"/>
      <c r="AJ11" s="20"/>
      <c r="AK11" s="38"/>
      <c r="AL11" s="20"/>
      <c r="AM11" s="20"/>
      <c r="AN11" s="38"/>
      <c r="AO11" s="20"/>
      <c r="AP11" s="20"/>
      <c r="AQ11" s="38"/>
      <c r="AR11" s="20"/>
      <c r="AS11" s="20"/>
      <c r="AT11" s="38"/>
      <c r="AU11" s="20"/>
      <c r="AV11" s="20"/>
      <c r="AW11" s="38"/>
      <c r="AX11" s="20"/>
      <c r="AY11" s="20"/>
      <c r="AZ11" s="38"/>
      <c r="BA11" s="20"/>
      <c r="BB11" s="20"/>
      <c r="BC11" s="38"/>
      <c r="BD11" s="20"/>
      <c r="BE11" s="20"/>
      <c r="BF11" s="38"/>
      <c r="BG11" s="20"/>
      <c r="BH11" s="20"/>
      <c r="BI11" s="38"/>
      <c r="BJ11" s="20"/>
      <c r="BK11" s="20"/>
      <c r="BL11" s="38"/>
      <c r="BM11" s="20"/>
      <c r="BN11" s="20"/>
      <c r="BO11" s="38"/>
      <c r="BP11" s="20"/>
      <c r="BQ11" s="20"/>
      <c r="BR11" s="38"/>
      <c r="BS11" s="20"/>
      <c r="BT11" s="20"/>
      <c r="BU11" s="38"/>
      <c r="BV11" s="20"/>
      <c r="BW11" s="20"/>
      <c r="BX11" s="38"/>
      <c r="BY11" s="20"/>
      <c r="BZ11" s="20"/>
      <c r="CA11" s="38"/>
      <c r="CB11" s="20"/>
      <c r="CC11" s="20"/>
      <c r="CD11" s="38"/>
      <c r="CE11" s="20"/>
      <c r="CF11" s="20"/>
      <c r="CG11" s="38"/>
      <c r="CH11" s="20"/>
      <c r="CI11" s="20"/>
      <c r="CJ11" s="38"/>
      <c r="CK11" s="20"/>
      <c r="CL11" s="20"/>
      <c r="CM11" s="38"/>
      <c r="CN11" s="20"/>
      <c r="CO11" s="20"/>
      <c r="CP11" s="38"/>
      <c r="CQ11" s="20"/>
      <c r="CR11" s="20"/>
      <c r="CS11" s="38"/>
      <c r="CT11" s="20"/>
      <c r="CU11" s="20"/>
      <c r="CV11" s="38"/>
      <c r="CW11" s="20"/>
      <c r="CX11" s="20"/>
      <c r="CY11" s="38"/>
      <c r="CZ11" s="20"/>
      <c r="DA11" s="20"/>
      <c r="DB11" s="38"/>
      <c r="DC11" s="20"/>
      <c r="DD11" s="20"/>
      <c r="DE11" s="38"/>
      <c r="DF11" s="20"/>
      <c r="DG11" s="20"/>
      <c r="DH11" s="38"/>
      <c r="DI11" s="20"/>
      <c r="DJ11" s="20"/>
      <c r="DK11" s="38"/>
      <c r="DL11" s="20"/>
      <c r="DM11" s="20"/>
      <c r="DN11" s="38"/>
      <c r="DO11" s="20"/>
      <c r="DP11" s="20"/>
      <c r="DQ11" s="38"/>
      <c r="DR11" s="20"/>
      <c r="DS11" s="20"/>
      <c r="DT11" s="38"/>
      <c r="DU11" s="20"/>
      <c r="DV11" s="20"/>
      <c r="DW11" s="38"/>
      <c r="DX11" s="20"/>
      <c r="DY11" s="20"/>
      <c r="DZ11" s="38"/>
      <c r="EA11" s="20"/>
      <c r="EB11" s="20"/>
      <c r="EC11" s="38"/>
      <c r="ED11" s="20"/>
      <c r="EE11" s="20"/>
      <c r="EF11" s="38"/>
      <c r="EG11" s="20"/>
      <c r="EH11" s="20"/>
      <c r="EI11" s="38"/>
      <c r="EJ11" s="20"/>
      <c r="EK11" s="20"/>
      <c r="EL11" s="38"/>
      <c r="EM11" s="20"/>
      <c r="EN11" s="20"/>
      <c r="EO11" s="38"/>
      <c r="EP11" s="20"/>
      <c r="EQ11" s="20"/>
      <c r="ER11" s="38"/>
      <c r="ES11" s="20"/>
      <c r="ET11" s="20"/>
      <c r="EU11" s="38"/>
      <c r="EV11" s="20"/>
      <c r="EW11" s="20"/>
      <c r="EX11" s="38"/>
      <c r="EY11" s="20"/>
      <c r="EZ11" s="20"/>
      <c r="FA11" s="38"/>
      <c r="FB11" s="20"/>
      <c r="FC11" s="20"/>
      <c r="FD11" s="38"/>
      <c r="FE11" s="20"/>
      <c r="FF11" s="20"/>
      <c r="FG11" s="38"/>
      <c r="FH11" s="20"/>
      <c r="FI11" s="20"/>
      <c r="FJ11" s="38"/>
      <c r="FK11" s="20"/>
      <c r="FL11" s="20"/>
      <c r="FM11" s="38"/>
      <c r="FN11" s="20"/>
      <c r="FO11" s="20"/>
      <c r="FP11" s="38"/>
      <c r="FQ11" s="20"/>
      <c r="FR11" s="20"/>
      <c r="FS11" s="38"/>
      <c r="FT11" s="20"/>
      <c r="FU11" s="20"/>
      <c r="FV11" s="38"/>
      <c r="FW11" s="20"/>
      <c r="FX11" s="20"/>
      <c r="FY11" s="38"/>
      <c r="FZ11" s="20"/>
      <c r="GA11" s="20"/>
      <c r="GB11" s="38"/>
      <c r="GC11" s="20"/>
      <c r="GD11" s="20"/>
      <c r="GE11" s="38"/>
      <c r="GF11" s="20"/>
      <c r="GG11" s="20"/>
      <c r="GH11" s="38"/>
      <c r="GI11" s="20"/>
      <c r="GJ11" s="20"/>
      <c r="GK11" s="38"/>
      <c r="GL11" s="20"/>
      <c r="GM11" s="20"/>
      <c r="GN11" s="38"/>
      <c r="GO11" s="20"/>
      <c r="GP11" s="20"/>
      <c r="GQ11" s="38"/>
      <c r="GR11" s="20"/>
      <c r="GS11" s="20"/>
      <c r="GT11" s="38"/>
      <c r="GU11" s="20"/>
      <c r="GV11" s="20"/>
      <c r="GW11" s="38"/>
      <c r="GX11" s="20"/>
      <c r="GY11" s="20"/>
      <c r="GZ11" s="38"/>
      <c r="HA11" s="20"/>
      <c r="HB11" s="20"/>
      <c r="HC11" s="38"/>
      <c r="HD11" s="20"/>
      <c r="HE11" s="20"/>
      <c r="HF11" s="38"/>
      <c r="HG11" s="20"/>
      <c r="HH11" s="20"/>
      <c r="HI11" s="38"/>
      <c r="HJ11" s="20"/>
      <c r="HK11" s="20"/>
      <c r="HL11" s="38"/>
      <c r="HM11" s="20"/>
      <c r="HN11" s="20"/>
      <c r="HO11" s="38"/>
      <c r="HP11" s="20"/>
      <c r="HQ11" s="20"/>
      <c r="HR11" s="38"/>
      <c r="HS11" s="20"/>
      <c r="HT11" s="20"/>
      <c r="HU11" s="38"/>
      <c r="HV11" s="20"/>
      <c r="HW11" s="20"/>
      <c r="HX11" s="38"/>
      <c r="HY11" s="20"/>
      <c r="HZ11" s="20"/>
      <c r="IA11" s="38"/>
      <c r="IB11" s="20"/>
      <c r="IC11" s="20"/>
      <c r="ID11" s="38"/>
      <c r="IE11" s="20"/>
      <c r="IF11" s="20"/>
      <c r="IG11" s="38"/>
      <c r="IH11" s="20"/>
      <c r="II11" s="20"/>
      <c r="IJ11" s="38"/>
      <c r="IK11" s="20"/>
      <c r="IL11" s="20"/>
      <c r="IM11" s="38"/>
      <c r="IN11" s="20"/>
      <c r="IO11" s="20"/>
      <c r="IP11" s="38"/>
      <c r="IQ11" s="20"/>
      <c r="IR11" s="20"/>
      <c r="IS11" s="38"/>
      <c r="IT11" s="20"/>
      <c r="IU11" s="20"/>
      <c r="IV11" s="38"/>
      <c r="IW11" s="20"/>
      <c r="IX11" s="20"/>
      <c r="IY11" s="38"/>
      <c r="IZ11" s="20"/>
      <c r="JA11" s="20"/>
      <c r="JB11" s="38"/>
      <c r="JC11" s="20"/>
      <c r="JD11" s="20"/>
      <c r="JE11" s="38"/>
      <c r="JF11" s="20"/>
      <c r="JG11" s="20"/>
      <c r="JH11" s="38"/>
      <c r="JI11" s="20"/>
      <c r="JJ11" s="20"/>
      <c r="JK11" s="38"/>
      <c r="JL11" s="20"/>
      <c r="JM11" s="20"/>
      <c r="JN11" s="38"/>
      <c r="JO11" s="20"/>
      <c r="JP11" s="20"/>
      <c r="JQ11" s="38"/>
    </row>
    <row r="12" spans="1:277">
      <c r="A12" s="2"/>
      <c r="E12" s="45"/>
      <c r="G12" s="48"/>
      <c r="H12" s="45"/>
      <c r="J12" s="48"/>
      <c r="K12" s="45"/>
      <c r="M12" s="48"/>
      <c r="N12" s="45"/>
      <c r="P12" s="48"/>
      <c r="Q12" s="45"/>
      <c r="S12" s="48"/>
      <c r="T12" s="45"/>
      <c r="V12" s="48"/>
      <c r="W12" s="298"/>
      <c r="X12" s="298"/>
      <c r="Y12" s="48"/>
      <c r="Z12" s="298"/>
      <c r="AA12" s="298"/>
      <c r="AB12" s="48"/>
      <c r="AC12" s="45"/>
      <c r="AE12" s="48"/>
      <c r="AF12" s="45"/>
      <c r="AG12" s="290" t="s">
        <v>440</v>
      </c>
      <c r="AH12" s="48"/>
      <c r="AI12" s="45"/>
      <c r="AJ12" s="83"/>
      <c r="AK12" s="48"/>
      <c r="AL12" s="45"/>
      <c r="AM12" s="83"/>
      <c r="AN12" s="48"/>
      <c r="AO12" s="45"/>
      <c r="AP12" s="83"/>
      <c r="AQ12" s="48"/>
      <c r="AR12" s="45"/>
      <c r="AS12" s="83"/>
      <c r="AT12" s="48"/>
      <c r="AU12" s="45"/>
      <c r="AV12" s="83"/>
      <c r="AW12" s="48"/>
      <c r="AX12" s="45"/>
      <c r="AY12" s="83" t="s">
        <v>441</v>
      </c>
      <c r="AZ12" s="48"/>
      <c r="BA12" s="45"/>
      <c r="BB12" s="83"/>
      <c r="BC12" s="48"/>
      <c r="BD12" s="45"/>
      <c r="BE12" s="83"/>
      <c r="BF12" s="48"/>
      <c r="BG12" s="83"/>
      <c r="BH12" s="83"/>
      <c r="BI12" s="48"/>
      <c r="BJ12" s="83"/>
      <c r="BK12" s="83"/>
      <c r="BL12" s="48"/>
      <c r="BM12" s="83"/>
      <c r="BN12" s="83"/>
      <c r="BO12" s="48"/>
      <c r="BP12" s="83"/>
      <c r="BQ12" s="83"/>
      <c r="BR12" s="48"/>
      <c r="BS12" s="83"/>
      <c r="BT12" s="83"/>
      <c r="BU12" s="48"/>
      <c r="BV12" s="83"/>
      <c r="BW12" s="83"/>
      <c r="BX12" s="48"/>
      <c r="BY12" s="83"/>
      <c r="BZ12" s="83"/>
      <c r="CA12" s="48"/>
      <c r="CB12" s="83"/>
      <c r="CC12" s="83"/>
      <c r="CD12" s="48"/>
      <c r="CE12" s="83"/>
      <c r="CF12" s="83"/>
      <c r="CG12" s="48"/>
      <c r="CH12" s="83"/>
      <c r="CI12" s="83"/>
      <c r="CJ12" s="48"/>
      <c r="CK12" s="83"/>
      <c r="CL12" s="83"/>
      <c r="CM12" s="48"/>
      <c r="CN12" s="83"/>
      <c r="CO12" s="83"/>
      <c r="CP12" s="48"/>
      <c r="CQ12" s="83"/>
      <c r="CR12" s="83"/>
      <c r="CS12" s="48"/>
      <c r="CT12" s="83"/>
      <c r="CU12" s="83"/>
      <c r="CV12" s="48"/>
      <c r="CW12" s="83"/>
      <c r="CX12" s="83"/>
      <c r="CY12" s="48"/>
      <c r="CZ12" s="83"/>
      <c r="DA12" s="83"/>
      <c r="DB12" s="48"/>
      <c r="DC12" s="83"/>
      <c r="DD12" s="83"/>
      <c r="DE12" s="48"/>
      <c r="DF12" s="83"/>
      <c r="DG12" s="83"/>
      <c r="DH12" s="48"/>
      <c r="DI12" s="83"/>
      <c r="DJ12" s="83"/>
      <c r="DK12" s="48"/>
      <c r="DL12" s="83"/>
      <c r="DM12" s="83"/>
      <c r="DN12" s="48"/>
      <c r="DO12" s="83"/>
      <c r="DP12" s="83"/>
      <c r="DQ12" s="48"/>
      <c r="DR12" s="83"/>
      <c r="DS12" s="83"/>
      <c r="DT12" s="48"/>
      <c r="DU12" s="83"/>
      <c r="DV12" s="83"/>
      <c r="DW12" s="48"/>
      <c r="DX12" s="83"/>
      <c r="DY12" s="83"/>
      <c r="DZ12" s="48"/>
      <c r="EA12" s="83"/>
      <c r="EB12" s="83"/>
      <c r="EC12" s="48"/>
      <c r="ED12" s="83"/>
      <c r="EE12" s="83"/>
      <c r="EF12" s="48"/>
      <c r="EG12" s="83"/>
      <c r="EH12" s="83"/>
      <c r="EI12" s="48"/>
      <c r="EJ12" s="83"/>
      <c r="EK12" s="83"/>
      <c r="EL12" s="48"/>
      <c r="EM12" s="83"/>
      <c r="EN12" s="83"/>
      <c r="EO12" s="48"/>
      <c r="EP12" s="83"/>
      <c r="EQ12" s="83"/>
      <c r="ER12" s="48"/>
      <c r="ES12" s="83"/>
      <c r="ET12" s="83"/>
      <c r="EU12" s="48"/>
      <c r="EV12" s="83"/>
      <c r="EW12" s="83"/>
      <c r="EX12" s="48"/>
      <c r="EY12" s="83"/>
      <c r="EZ12" s="83"/>
      <c r="FA12" s="48"/>
      <c r="FB12" s="83"/>
      <c r="FC12" s="83"/>
      <c r="FD12" s="48"/>
      <c r="FE12" s="83"/>
      <c r="FF12" s="83"/>
      <c r="FG12" s="48"/>
      <c r="FH12" s="83"/>
      <c r="FI12" s="83"/>
      <c r="FJ12" s="48"/>
      <c r="FK12" s="83"/>
      <c r="FL12" s="83"/>
      <c r="FM12" s="48"/>
      <c r="FN12" s="83"/>
      <c r="FO12" s="83"/>
      <c r="FP12" s="48"/>
      <c r="FQ12" s="83"/>
      <c r="FR12" s="83"/>
      <c r="FS12" s="48"/>
      <c r="FT12" s="83"/>
      <c r="FU12" s="83"/>
      <c r="FV12" s="48"/>
      <c r="FW12" s="83"/>
      <c r="FX12" s="83"/>
      <c r="FY12" s="48"/>
      <c r="FZ12" s="83"/>
      <c r="GA12" s="83"/>
      <c r="GB12" s="48"/>
      <c r="GC12" s="83"/>
      <c r="GD12" s="83"/>
      <c r="GE12" s="48"/>
      <c r="GF12" s="83"/>
      <c r="GG12" s="83"/>
      <c r="GH12" s="48"/>
      <c r="GI12" s="290" t="s">
        <v>433</v>
      </c>
      <c r="GJ12" s="290"/>
      <c r="GK12" s="48"/>
      <c r="GL12" s="290"/>
      <c r="GM12" s="290"/>
      <c r="GN12" s="48"/>
      <c r="GO12" s="290"/>
      <c r="GP12" s="290"/>
      <c r="GQ12" s="48"/>
      <c r="GR12" s="290"/>
      <c r="GS12" s="290"/>
      <c r="GT12" s="48"/>
      <c r="GU12" s="290"/>
      <c r="GV12" s="290"/>
      <c r="GW12" s="48"/>
      <c r="GX12" s="290"/>
      <c r="GY12" s="290"/>
      <c r="GZ12" s="48"/>
      <c r="HA12" s="290"/>
      <c r="HB12" s="290"/>
      <c r="HC12" s="48"/>
      <c r="HD12" s="290"/>
      <c r="HE12" s="290"/>
      <c r="HF12" s="48"/>
      <c r="HG12" s="290"/>
      <c r="HH12" s="290"/>
      <c r="HI12" s="48"/>
      <c r="HJ12" s="290"/>
      <c r="HK12" s="290"/>
      <c r="HL12" s="48"/>
      <c r="HM12" s="290"/>
      <c r="HN12" s="290"/>
      <c r="HO12" s="48"/>
      <c r="HP12" s="290"/>
      <c r="HQ12" s="290"/>
      <c r="HR12" s="48"/>
      <c r="HS12" s="290"/>
      <c r="HT12" s="290"/>
      <c r="HU12" s="48"/>
      <c r="HV12" s="290"/>
      <c r="HW12" s="290"/>
      <c r="HX12" s="48"/>
      <c r="HY12" s="290"/>
      <c r="HZ12" s="290"/>
      <c r="IA12" s="48"/>
      <c r="IB12" s="290"/>
      <c r="IC12" s="290"/>
      <c r="ID12" s="48"/>
      <c r="IE12" s="290"/>
      <c r="IF12" s="290"/>
      <c r="IG12" s="48"/>
      <c r="IH12" s="290"/>
      <c r="II12" s="290"/>
      <c r="IJ12" s="48"/>
      <c r="IK12" s="299"/>
      <c r="IL12" s="299" t="s">
        <v>442</v>
      </c>
      <c r="IM12" s="48"/>
      <c r="IN12" s="299"/>
      <c r="IO12" s="299"/>
      <c r="IP12" s="48"/>
      <c r="IQ12" s="299"/>
      <c r="IR12" s="299"/>
      <c r="IS12" s="48"/>
      <c r="IT12" s="299"/>
      <c r="IU12" s="299"/>
      <c r="IV12" s="48"/>
      <c r="IW12" s="299"/>
      <c r="IX12" s="299"/>
      <c r="IY12" s="48"/>
      <c r="IZ12" s="299"/>
      <c r="JA12" s="299"/>
      <c r="JB12" s="48"/>
      <c r="JC12" s="299"/>
      <c r="JD12" s="299"/>
      <c r="JE12" s="48"/>
      <c r="JF12" s="299"/>
      <c r="JG12" s="299"/>
      <c r="JH12" s="48"/>
      <c r="JI12" s="299"/>
      <c r="JJ12" s="299"/>
      <c r="JK12" s="48"/>
      <c r="JL12" s="299"/>
      <c r="JM12" s="299"/>
      <c r="JN12" s="48"/>
      <c r="JO12" s="299"/>
      <c r="JP12" s="299"/>
      <c r="JQ12" s="48"/>
    </row>
    <row r="13" spans="1:277">
      <c r="A13" s="2">
        <v>4</v>
      </c>
      <c r="B13" s="2" t="s">
        <v>120</v>
      </c>
      <c r="C13" s="41" t="s">
        <v>174</v>
      </c>
      <c r="D13" s="41" t="s">
        <v>443</v>
      </c>
      <c r="E13" s="20">
        <v>11295161920</v>
      </c>
      <c r="F13" s="20">
        <v>10613514000</v>
      </c>
      <c r="G13" s="44">
        <f>(E13-F13)/F13</f>
        <v>0.064224527333737</v>
      </c>
      <c r="H13" s="20">
        <v>9909112999</v>
      </c>
      <c r="I13" s="20">
        <v>13397334733</v>
      </c>
      <c r="J13" s="44">
        <f>(H13-I13)/I13</f>
        <v>-0.260366841876981</v>
      </c>
      <c r="K13" s="20">
        <v>7077335000</v>
      </c>
      <c r="L13" s="20">
        <v>7034883000</v>
      </c>
      <c r="M13" s="44">
        <f>(K13-L13)/L13</f>
        <v>0.00603449979196527</v>
      </c>
      <c r="N13" s="20">
        <v>6881183848</v>
      </c>
      <c r="O13" s="20">
        <v>6123424250</v>
      </c>
      <c r="P13" s="44">
        <f>(N13-O13)/O13</f>
        <v>0.123747688721715</v>
      </c>
      <c r="Q13" s="20">
        <v>6461246873</v>
      </c>
      <c r="R13" s="20">
        <v>5616196073</v>
      </c>
      <c r="S13" s="44">
        <f>(Q13-R13)/R13</f>
        <v>0.150466755258529</v>
      </c>
      <c r="T13" s="20">
        <v>2321437410</v>
      </c>
      <c r="U13" s="20">
        <v>2208409540</v>
      </c>
      <c r="V13" s="44">
        <f>(T13-U13)/U13</f>
        <v>0.0511806655209432</v>
      </c>
      <c r="W13" s="20">
        <v>2321437410</v>
      </c>
      <c r="X13" s="20">
        <v>2208409540</v>
      </c>
      <c r="Y13" s="44">
        <f>(W13-X13)/X13</f>
        <v>0.0511806655209432</v>
      </c>
      <c r="Z13" s="20">
        <v>2321437410</v>
      </c>
      <c r="AA13" s="20">
        <v>2208409540</v>
      </c>
      <c r="AB13" s="44">
        <f>(Z13-AA13)/AA13</f>
        <v>0.0511806655209432</v>
      </c>
      <c r="AC13" s="20">
        <v>6674455407</v>
      </c>
      <c r="AD13" s="20">
        <v>6087455855</v>
      </c>
      <c r="AE13" s="44">
        <f>(AC13-AD13)/AD13</f>
        <v>0.0964277303987119</v>
      </c>
      <c r="AF13" s="20">
        <v>3471390152</v>
      </c>
      <c r="AG13" s="20">
        <v>3228768241</v>
      </c>
      <c r="AH13" s="44">
        <f>(AF13-AG13)/AG13</f>
        <v>0.0751437987772254</v>
      </c>
      <c r="AI13" s="20">
        <v>3850293298</v>
      </c>
      <c r="AJ13" s="20">
        <v>3603439410</v>
      </c>
      <c r="AK13" s="44">
        <f>(AI13-AJ13)/AJ13</f>
        <v>0.0685050752664105</v>
      </c>
      <c r="AL13" s="20">
        <v>3850293298</v>
      </c>
      <c r="AM13" s="20">
        <v>3603439410</v>
      </c>
      <c r="AN13" s="44">
        <f>(AL13-AM13)/AM13</f>
        <v>0.0685050752664105</v>
      </c>
      <c r="AO13" s="20">
        <v>3796642117</v>
      </c>
      <c r="AP13" s="20">
        <v>3433669366</v>
      </c>
      <c r="AQ13" s="44">
        <f>(AO13-AP13)/AP13</f>
        <v>0.105709872532905</v>
      </c>
      <c r="AR13" s="20">
        <v>2162737997</v>
      </c>
      <c r="AS13" s="20">
        <v>2108652234</v>
      </c>
      <c r="AT13" s="44">
        <f>(AR13-AS13)/AS13</f>
        <v>0.0256494466597758</v>
      </c>
      <c r="AU13" s="20">
        <v>2162737997</v>
      </c>
      <c r="AV13" s="20">
        <v>2108652234</v>
      </c>
      <c r="AW13" s="44">
        <f>(AU13-AV13)/AV13</f>
        <v>0.0256494466597758</v>
      </c>
      <c r="AX13" s="20">
        <v>1992306837</v>
      </c>
      <c r="AY13" s="20">
        <v>1957223411</v>
      </c>
      <c r="AZ13" s="44">
        <f>(AX13-AY13)/AY13</f>
        <v>0.0179251003246864</v>
      </c>
      <c r="BA13" s="20">
        <v>1992306837</v>
      </c>
      <c r="BB13" s="20">
        <v>1957223411</v>
      </c>
      <c r="BC13" s="44">
        <f>(BA13-BB13)/BB13</f>
        <v>0.0179251003246864</v>
      </c>
      <c r="BD13" s="20">
        <v>1992306837</v>
      </c>
      <c r="BE13" s="20">
        <v>1957223411</v>
      </c>
      <c r="BF13" s="44">
        <f>(BD13-BE13)/BE13</f>
        <v>0.0179251003246864</v>
      </c>
      <c r="BG13" s="20">
        <v>4215884164</v>
      </c>
      <c r="BH13" s="20">
        <v>1933164754</v>
      </c>
      <c r="BI13" s="44">
        <f>(BG13-BH13)/BH13</f>
        <v>1.18081989922314</v>
      </c>
      <c r="BJ13" s="20">
        <v>4215884164</v>
      </c>
      <c r="BK13" s="20">
        <v>1933164754</v>
      </c>
      <c r="BL13" s="44">
        <f>(BJ13-BK13)/BK13</f>
        <v>1.18081989922314</v>
      </c>
      <c r="BM13" s="20">
        <v>2532722344</v>
      </c>
      <c r="BN13" s="20">
        <v>2424607880</v>
      </c>
      <c r="BO13" s="44">
        <f>(BM13-BN13)/BN13</f>
        <v>0.0445904943606799</v>
      </c>
      <c r="BP13" s="20">
        <v>2532722344</v>
      </c>
      <c r="BQ13" s="20">
        <v>2424607880</v>
      </c>
      <c r="BR13" s="44">
        <f>(BP13-BQ13)/BQ13</f>
        <v>0.0445904943606799</v>
      </c>
      <c r="BS13" s="20">
        <v>2532722344</v>
      </c>
      <c r="BT13" s="20">
        <v>2424607880</v>
      </c>
      <c r="BU13" s="44">
        <f>(BS13-BT13)/BT13</f>
        <v>0.0445904943606799</v>
      </c>
      <c r="BV13" s="20">
        <v>3160635582</v>
      </c>
      <c r="BW13" s="20">
        <v>2920731572</v>
      </c>
      <c r="BX13" s="44">
        <f>(BV13-BW13)/BW13</f>
        <v>0.0821383287323879</v>
      </c>
      <c r="BY13" s="20">
        <v>3160635582</v>
      </c>
      <c r="BZ13" s="20">
        <v>2920731572</v>
      </c>
      <c r="CA13" s="44">
        <f>(BY13-BZ13)/BZ13</f>
        <v>0.0821383287323879</v>
      </c>
      <c r="CB13" s="20">
        <v>1005463472</v>
      </c>
      <c r="CC13" s="20">
        <v>922856518</v>
      </c>
      <c r="CD13" s="44">
        <f>(CB13-CC13)/CC13</f>
        <v>0.089512239864789</v>
      </c>
      <c r="CE13" s="20">
        <v>1005463472</v>
      </c>
      <c r="CF13" s="20">
        <v>922856518</v>
      </c>
      <c r="CG13" s="44">
        <f>(CE13-CF13)/CF13</f>
        <v>0.089512239864789</v>
      </c>
      <c r="CH13" s="20">
        <v>1332071</v>
      </c>
      <c r="CI13" s="20">
        <v>1280858</v>
      </c>
      <c r="CJ13" s="44">
        <f>(CH13-CI13)/CI13</f>
        <v>0.0399833549074136</v>
      </c>
      <c r="CK13" s="20">
        <v>854311288</v>
      </c>
      <c r="CL13" s="20">
        <v>768108627</v>
      </c>
      <c r="CM13" s="44">
        <f>(CK13-CL13)/CL13</f>
        <v>0.112227174607687</v>
      </c>
      <c r="CN13" s="20">
        <v>692201177</v>
      </c>
      <c r="CO13" s="20">
        <v>691082770</v>
      </c>
      <c r="CP13" s="44">
        <f>(CN13-CO13)/CO13</f>
        <v>0.00161834015916791</v>
      </c>
      <c r="CQ13" s="20">
        <v>692201177</v>
      </c>
      <c r="CR13" s="20">
        <v>691082770</v>
      </c>
      <c r="CS13" s="44">
        <f>(CQ13-CR13)/CR13</f>
        <v>0.00161834015916791</v>
      </c>
      <c r="CT13" s="20">
        <v>1218549363</v>
      </c>
      <c r="CU13" s="20">
        <v>1233184814</v>
      </c>
      <c r="CV13" s="44">
        <f>(CT13-CU13)/CU13</f>
        <v>-0.0118680110506129</v>
      </c>
      <c r="CW13" s="20">
        <v>1258391642</v>
      </c>
      <c r="CX13" s="20">
        <v>1231051544</v>
      </c>
      <c r="CY13" s="44">
        <f>(CW13-CX13)/CX13</f>
        <v>0.0222087353963791</v>
      </c>
      <c r="CZ13" s="20">
        <v>920243202</v>
      </c>
      <c r="DA13" s="20">
        <v>919960446</v>
      </c>
      <c r="DB13" s="44">
        <f>(CZ13-DA13)/DA13</f>
        <v>0.000307356692594151</v>
      </c>
      <c r="DC13" s="20">
        <v>920243202</v>
      </c>
      <c r="DD13" s="20">
        <v>919960446</v>
      </c>
      <c r="DE13" s="44">
        <f>(DC13-DD13)/DD13</f>
        <v>0.000307356692594151</v>
      </c>
      <c r="DF13" s="20">
        <v>1397794822</v>
      </c>
      <c r="DG13" s="20">
        <v>1304748602</v>
      </c>
      <c r="DH13" s="44">
        <f>(DF13-DG13)/DG13</f>
        <v>0.0713135234307766</v>
      </c>
      <c r="DI13" s="20">
        <v>1397794822</v>
      </c>
      <c r="DJ13" s="20">
        <v>1304748602</v>
      </c>
      <c r="DK13" s="44">
        <f>(DI13-DJ13)/DJ13</f>
        <v>0.0713135234307766</v>
      </c>
      <c r="DL13" s="20">
        <v>1244470115</v>
      </c>
      <c r="DM13" s="20">
        <v>1210045463</v>
      </c>
      <c r="DN13" s="44">
        <f>(DL13-DM13)/DM13</f>
        <v>0.0284490567111857</v>
      </c>
      <c r="DO13" s="20">
        <v>1222184231</v>
      </c>
      <c r="DP13" s="20">
        <v>860653719</v>
      </c>
      <c r="DQ13" s="44">
        <f>(DO13-DP13)/DP13</f>
        <v>0.420065008747147</v>
      </c>
      <c r="DR13" s="20">
        <v>1222184231</v>
      </c>
      <c r="DS13" s="20">
        <v>860653719</v>
      </c>
      <c r="DT13" s="44">
        <f>(DR13-DS13)/DS13</f>
        <v>0.420065008747147</v>
      </c>
      <c r="DU13" s="20">
        <v>1053848028</v>
      </c>
      <c r="DV13" s="20">
        <v>955431219</v>
      </c>
      <c r="DW13" s="44">
        <f>(DU13-DV13)/DV13</f>
        <v>0.103007738330979</v>
      </c>
      <c r="DX13" s="20">
        <v>1053848028</v>
      </c>
      <c r="DY13" s="20">
        <v>955431219</v>
      </c>
      <c r="DZ13" s="44">
        <f>(DX13-DY13)/DY13</f>
        <v>0.103007738330979</v>
      </c>
      <c r="EA13" s="20">
        <v>1379106236</v>
      </c>
      <c r="EB13" s="20">
        <v>1336255854</v>
      </c>
      <c r="EC13" s="44">
        <f>(EA13-EB13)/EB13</f>
        <v>0.032067498055653</v>
      </c>
      <c r="ED13" s="20">
        <v>1379106236</v>
      </c>
      <c r="EE13" s="20">
        <v>1336255854</v>
      </c>
      <c r="EF13" s="44">
        <f>(ED13-EE13)/EE13</f>
        <v>0.032067498055653</v>
      </c>
      <c r="EG13" s="20">
        <v>1379106236</v>
      </c>
      <c r="EH13" s="20">
        <v>1336255854</v>
      </c>
      <c r="EI13" s="44">
        <f>(EG13-EH13)/EH13</f>
        <v>0.032067498055653</v>
      </c>
      <c r="EJ13" s="20">
        <v>1379106236</v>
      </c>
      <c r="EK13" s="20">
        <v>1336255854</v>
      </c>
      <c r="EL13" s="44">
        <f>(EJ13-EK13)/EK13</f>
        <v>0.032067498055653</v>
      </c>
      <c r="EM13" s="20">
        <v>801854904</v>
      </c>
      <c r="EN13" s="20">
        <v>721802189</v>
      </c>
      <c r="EO13" s="44">
        <f>(EM13-EN13)/EN13</f>
        <v>0.110906722395656</v>
      </c>
      <c r="EP13" s="20">
        <v>639591938</v>
      </c>
      <c r="EQ13" s="20">
        <v>640647225</v>
      </c>
      <c r="ER13" s="44">
        <f>(EP13-EQ13)/EQ13</f>
        <v>-0.00164722012180729</v>
      </c>
      <c r="ES13" s="20">
        <v>801854904</v>
      </c>
      <c r="ET13" s="20">
        <v>721802189</v>
      </c>
      <c r="EU13" s="44">
        <f>(ES13-ET13)/ET13</f>
        <v>0.110906722395656</v>
      </c>
      <c r="EV13" s="20">
        <v>853660070</v>
      </c>
      <c r="EW13" s="20">
        <v>794119155</v>
      </c>
      <c r="EX13" s="44">
        <f>(EV13-EW13)/EW13</f>
        <v>0.074977306144945</v>
      </c>
      <c r="EY13" s="20">
        <v>1800815548</v>
      </c>
      <c r="EZ13" s="20">
        <v>555494082</v>
      </c>
      <c r="FA13" s="44">
        <f>(EY13-EZ13)/EZ13</f>
        <v>2.24182670230499</v>
      </c>
      <c r="FB13" s="20">
        <v>1800815548</v>
      </c>
      <c r="FC13" s="20">
        <v>555494082</v>
      </c>
      <c r="FD13" s="44">
        <f>(FB13-FC13)/FC13</f>
        <v>2.24182670230499</v>
      </c>
      <c r="FE13" s="20">
        <v>1800815548</v>
      </c>
      <c r="FF13" s="20">
        <v>555494082</v>
      </c>
      <c r="FG13" s="44">
        <f>(FE13-FF13)/FF13</f>
        <v>2.24182670230499</v>
      </c>
      <c r="FH13" s="20">
        <v>741304032</v>
      </c>
      <c r="FI13" s="20">
        <v>671380428</v>
      </c>
      <c r="FJ13" s="44">
        <f>(FH13-FI13)/FI13</f>
        <v>0.104149005666278</v>
      </c>
      <c r="FK13" s="20">
        <v>741304032</v>
      </c>
      <c r="FL13" s="20">
        <v>671380428</v>
      </c>
      <c r="FM13" s="44">
        <f>(FK13-FL13)/FL13</f>
        <v>0.104149005666278</v>
      </c>
      <c r="FN13" s="20">
        <v>741304032</v>
      </c>
      <c r="FO13" s="20">
        <v>671380428</v>
      </c>
      <c r="FP13" s="44">
        <f>(FN13-FO13)/FO13</f>
        <v>0.104149005666278</v>
      </c>
      <c r="FQ13" s="20">
        <v>689683890</v>
      </c>
      <c r="FR13" s="20">
        <v>688722428</v>
      </c>
      <c r="FS13" s="44">
        <f>(FQ13-FR13)/FR13</f>
        <v>0.0013960079720244</v>
      </c>
      <c r="FT13" s="20">
        <v>620082000</v>
      </c>
      <c r="FU13" s="20">
        <v>614133000</v>
      </c>
      <c r="FV13" s="44">
        <f>(FT13-FU13)/FU13</f>
        <v>0.00968682679484737</v>
      </c>
      <c r="FW13" s="20">
        <v>620082000</v>
      </c>
      <c r="FX13" s="20">
        <v>614133000</v>
      </c>
      <c r="FY13" s="44">
        <f>(FW13-FX13)/FX13</f>
        <v>0.00968682679484737</v>
      </c>
      <c r="FZ13" s="20">
        <v>620082000</v>
      </c>
      <c r="GA13" s="20">
        <v>614133000</v>
      </c>
      <c r="GB13" s="44">
        <f>(FZ13-GA13)/GA13</f>
        <v>0.00968682679484737</v>
      </c>
      <c r="GC13" s="20">
        <v>645418543</v>
      </c>
      <c r="GD13" s="20">
        <v>622143792</v>
      </c>
      <c r="GE13" s="44">
        <f>(GC13-GD13)/GD13</f>
        <v>0.0374105653697498</v>
      </c>
      <c r="GF13" s="20">
        <v>645418543</v>
      </c>
      <c r="GG13" s="20">
        <v>622143792</v>
      </c>
      <c r="GH13" s="44">
        <f>(GF13-GG13)/GG13</f>
        <v>0.0374105653697498</v>
      </c>
      <c r="GI13" s="20">
        <v>645418543</v>
      </c>
      <c r="GJ13" s="20">
        <v>622143792</v>
      </c>
      <c r="GK13" s="44">
        <f>(GI13-GJ13)/GJ13</f>
        <v>0.0374105653697498</v>
      </c>
      <c r="GL13" s="20">
        <v>645418543</v>
      </c>
      <c r="GM13" s="20">
        <v>622143792</v>
      </c>
      <c r="GN13" s="44">
        <f>(GL13-GM13)/GM13</f>
        <v>0.0374105653697498</v>
      </c>
      <c r="GO13" s="20">
        <v>645418543</v>
      </c>
      <c r="GP13" s="20">
        <v>622143792</v>
      </c>
      <c r="GQ13" s="44">
        <f>(GO13-GP13)/GP13</f>
        <v>0.0374105653697498</v>
      </c>
      <c r="GR13" s="20">
        <v>645418543</v>
      </c>
      <c r="GS13" s="20">
        <v>622143792</v>
      </c>
      <c r="GT13" s="44">
        <f>(GR13-GS13)/GS13</f>
        <v>0.0374105653697498</v>
      </c>
      <c r="GU13" s="20">
        <v>645418543</v>
      </c>
      <c r="GV13" s="20">
        <v>622143792</v>
      </c>
      <c r="GW13" s="44">
        <f>(GU13-GV13)/GV13</f>
        <v>0.0374105653697498</v>
      </c>
      <c r="GX13" s="20">
        <v>645418543</v>
      </c>
      <c r="GY13" s="20">
        <v>622143792</v>
      </c>
      <c r="GZ13" s="44">
        <f>(GX13-GY13)/GY13</f>
        <v>0.0374105653697498</v>
      </c>
      <c r="HA13" s="20">
        <v>245183190</v>
      </c>
      <c r="HB13" s="20">
        <v>234390469</v>
      </c>
      <c r="HC13" s="44">
        <f>(HA13-HB13)/HB13</f>
        <v>0.0460459038545633</v>
      </c>
      <c r="HD13" s="20">
        <v>245183190</v>
      </c>
      <c r="HE13" s="20">
        <v>234390469</v>
      </c>
      <c r="HF13" s="44">
        <f>(HD13-HE13)/HE13</f>
        <v>0.0460459038545633</v>
      </c>
      <c r="HG13" s="20">
        <v>752403522</v>
      </c>
      <c r="HH13" s="20">
        <v>754186850</v>
      </c>
      <c r="HI13" s="44">
        <f>(HG13-HH13)/HH13</f>
        <v>-0.00236457053049917</v>
      </c>
      <c r="HJ13" s="20">
        <v>752403522</v>
      </c>
      <c r="HK13" s="20">
        <v>754186850</v>
      </c>
      <c r="HL13" s="44">
        <f>(HJ13-HK13)/HK13</f>
        <v>-0.00236457053049917</v>
      </c>
      <c r="HM13" s="20">
        <v>508965708</v>
      </c>
      <c r="HN13" s="20">
        <v>467736338</v>
      </c>
      <c r="HO13" s="44">
        <f>(HM13-HN13)/HN13</f>
        <v>0.0881466045086281</v>
      </c>
      <c r="HP13" s="20">
        <v>555710604</v>
      </c>
      <c r="HQ13" s="20">
        <v>520677429</v>
      </c>
      <c r="HR13" s="44">
        <f>(HP13-HQ13)/HQ13</f>
        <v>0.0672838364960122</v>
      </c>
      <c r="HS13" s="20">
        <v>555710604</v>
      </c>
      <c r="HT13" s="20">
        <v>520677429</v>
      </c>
      <c r="HU13" s="44">
        <f>(HS13-HT13)/HT13</f>
        <v>0.0672838364960122</v>
      </c>
      <c r="HV13" s="20">
        <v>555710604</v>
      </c>
      <c r="HW13" s="20">
        <v>520677429</v>
      </c>
      <c r="HX13" s="44">
        <f>(HV13-HW13)/HW13</f>
        <v>0.0672838364960122</v>
      </c>
      <c r="HY13" s="20">
        <v>469114000</v>
      </c>
      <c r="HZ13" s="20">
        <v>418280000</v>
      </c>
      <c r="IA13" s="44">
        <f>(HY13-HZ13)/HZ13</f>
        <v>0.121531031844697</v>
      </c>
      <c r="IB13" s="20">
        <v>184948055</v>
      </c>
      <c r="IC13" s="20">
        <v>195886840</v>
      </c>
      <c r="ID13" s="44">
        <f>(IB13-IC13)/IC13</f>
        <v>-0.0558423679712226</v>
      </c>
      <c r="IE13" s="20">
        <v>184948055</v>
      </c>
      <c r="IF13" s="20">
        <v>195886840</v>
      </c>
      <c r="IG13" s="44">
        <f>(IE13-IF13)/IF13</f>
        <v>-0.0558423679712226</v>
      </c>
      <c r="IH13" s="20">
        <v>184948055</v>
      </c>
      <c r="II13" s="20">
        <v>195886840</v>
      </c>
      <c r="IJ13" s="44">
        <f>(IH13-II13)/II13</f>
        <v>-0.0558423679712226</v>
      </c>
      <c r="IK13" s="20">
        <v>184948055</v>
      </c>
      <c r="IL13" s="20">
        <v>195886840</v>
      </c>
      <c r="IM13" s="44">
        <f>(IK13-IL13)/IL13</f>
        <v>-0.0558423679712226</v>
      </c>
      <c r="IN13" s="20">
        <v>206694486</v>
      </c>
      <c r="IO13" s="20">
        <v>223722592</v>
      </c>
      <c r="IP13" s="44">
        <f>(IN13-IO13)/IO13</f>
        <v>-0.0761125903636947</v>
      </c>
      <c r="IQ13" s="20">
        <v>206694486</v>
      </c>
      <c r="IR13" s="20">
        <v>223722592</v>
      </c>
      <c r="IS13" s="44">
        <f>(IQ13-IR13)/IR13</f>
        <v>-0.0761125903636947</v>
      </c>
      <c r="IT13" s="20">
        <v>206694486</v>
      </c>
      <c r="IU13" s="20">
        <v>223722592</v>
      </c>
      <c r="IV13" s="44">
        <f>(IT13-IU13)/IU13</f>
        <v>-0.0761125903636947</v>
      </c>
      <c r="IW13" s="20">
        <v>206694486</v>
      </c>
      <c r="IX13" s="20">
        <v>223722592</v>
      </c>
      <c r="IY13" s="44">
        <f>(IW13-IX13)/IX13</f>
        <v>-0.0761125903636947</v>
      </c>
      <c r="IZ13" s="20">
        <v>392408803</v>
      </c>
      <c r="JA13" s="20">
        <v>383264527</v>
      </c>
      <c r="JB13" s="44">
        <f>(IZ13-JA13)/JA13</f>
        <v>0.0238589155943461</v>
      </c>
      <c r="JC13" s="20">
        <v>279434593</v>
      </c>
      <c r="JD13" s="20">
        <v>273164734</v>
      </c>
      <c r="JE13" s="44">
        <f>(JC13-JD13)/JD13</f>
        <v>0.0229526663569976</v>
      </c>
      <c r="JF13" s="20">
        <v>279434593</v>
      </c>
      <c r="JG13" s="20">
        <v>273164734</v>
      </c>
      <c r="JH13" s="44">
        <f>(JF13-JG13)/JG13</f>
        <v>0.0229526663569976</v>
      </c>
      <c r="JI13" s="20">
        <v>279434593</v>
      </c>
      <c r="JJ13" s="20">
        <v>273164734</v>
      </c>
      <c r="JK13" s="44">
        <f>(JI13-JJ13)/JJ13</f>
        <v>0.0229526663569976</v>
      </c>
      <c r="JL13" s="20">
        <v>279434593</v>
      </c>
      <c r="JM13" s="20">
        <v>273164734</v>
      </c>
      <c r="JN13" s="44">
        <f>(JL13-JM13)/JM13</f>
        <v>0.0229526663569976</v>
      </c>
      <c r="JO13" s="20">
        <v>279434593</v>
      </c>
      <c r="JP13" s="20">
        <v>273164734</v>
      </c>
      <c r="JQ13" s="44">
        <f>(JO13-JP13)/JP13</f>
        <v>0.0229526663569976</v>
      </c>
    </row>
    <row r="14" spans="1:277">
      <c r="A14" s="2"/>
      <c r="B14" s="2"/>
      <c r="C14" s="41"/>
      <c r="D14" s="41"/>
      <c r="E14" s="20"/>
      <c r="F14" s="20"/>
      <c r="G14" s="44"/>
      <c r="H14" s="2"/>
      <c r="I14" s="20"/>
      <c r="J14" s="44"/>
      <c r="K14" s="2"/>
      <c r="L14" s="20"/>
      <c r="M14" s="44"/>
      <c r="N14" s="2"/>
      <c r="O14" s="20"/>
      <c r="P14" s="44"/>
      <c r="Q14" s="2"/>
      <c r="R14" s="20"/>
      <c r="S14" s="44"/>
      <c r="T14" s="2"/>
      <c r="U14" s="20"/>
      <c r="V14" s="44"/>
      <c r="W14" s="2"/>
      <c r="X14" s="20"/>
      <c r="Y14" s="44"/>
      <c r="Z14" s="2"/>
      <c r="AA14" s="20"/>
      <c r="AB14" s="44"/>
      <c r="AC14" s="2"/>
      <c r="AD14" s="20"/>
      <c r="AE14" s="44"/>
      <c r="AF14" s="2"/>
      <c r="AG14" s="20"/>
      <c r="AH14" s="44"/>
      <c r="AI14" s="2"/>
      <c r="AJ14" s="20"/>
      <c r="AK14" s="44"/>
      <c r="AL14" s="2"/>
      <c r="AM14" s="20"/>
      <c r="AN14" s="44"/>
      <c r="AO14" s="2"/>
      <c r="AP14" s="20"/>
      <c r="AQ14" s="44"/>
      <c r="AR14" s="2"/>
      <c r="AS14" s="20"/>
      <c r="AT14" s="44"/>
      <c r="AU14" s="2"/>
      <c r="AV14" s="20"/>
      <c r="AW14" s="44"/>
      <c r="AX14" s="2"/>
      <c r="AY14" s="20"/>
      <c r="AZ14" s="44"/>
      <c r="BA14" s="2"/>
      <c r="BB14" s="20"/>
      <c r="BC14" s="44"/>
      <c r="BD14" s="2"/>
      <c r="BE14" s="20"/>
      <c r="BF14" s="44"/>
      <c r="BG14" s="2"/>
      <c r="BH14" s="20"/>
      <c r="BI14" s="44"/>
      <c r="BJ14" s="2"/>
      <c r="BK14" s="20"/>
      <c r="BL14" s="44"/>
      <c r="BM14" s="2"/>
      <c r="BN14" s="20"/>
      <c r="BO14" s="44"/>
      <c r="BP14" s="2"/>
      <c r="BQ14" s="20"/>
      <c r="BR14" s="44"/>
      <c r="BS14" s="2"/>
      <c r="BT14" s="20"/>
      <c r="BU14" s="44"/>
      <c r="BV14" s="2"/>
      <c r="BW14" s="20"/>
      <c r="BX14" s="44"/>
      <c r="BY14" s="2"/>
      <c r="BZ14" s="20"/>
      <c r="CA14" s="44"/>
      <c r="CB14" s="2"/>
      <c r="CC14" s="20"/>
      <c r="CD14" s="44"/>
      <c r="CE14" s="2"/>
      <c r="CF14" s="20"/>
      <c r="CG14" s="44"/>
      <c r="CH14" s="2"/>
      <c r="CI14" s="20"/>
      <c r="CJ14" s="44"/>
      <c r="CK14" s="2"/>
      <c r="CL14" s="20"/>
      <c r="CM14" s="44"/>
      <c r="CN14" s="2"/>
      <c r="CO14" s="20"/>
      <c r="CP14" s="44"/>
      <c r="CQ14" s="2"/>
      <c r="CR14" s="20"/>
      <c r="CS14" s="44"/>
      <c r="CT14" s="2"/>
      <c r="CU14" s="20"/>
      <c r="CV14" s="44"/>
      <c r="CW14" s="2"/>
      <c r="CX14" s="20"/>
      <c r="CY14" s="44"/>
      <c r="CZ14" s="2"/>
      <c r="DA14" s="20"/>
      <c r="DB14" s="44"/>
      <c r="DC14" s="2"/>
      <c r="DD14" s="20"/>
      <c r="DE14" s="44"/>
      <c r="DF14" s="2"/>
      <c r="DG14" s="20"/>
      <c r="DH14" s="44"/>
      <c r="DI14" s="2"/>
      <c r="DJ14" s="20"/>
      <c r="DK14" s="44"/>
      <c r="DL14" s="2"/>
      <c r="DM14" s="20"/>
      <c r="DN14" s="44"/>
      <c r="DO14" s="2"/>
      <c r="DP14" s="20"/>
      <c r="DQ14" s="44"/>
      <c r="DR14" s="2"/>
      <c r="DS14" s="20"/>
      <c r="DT14" s="44"/>
      <c r="DU14" s="2"/>
      <c r="DV14" s="20"/>
      <c r="DW14" s="44"/>
      <c r="DX14" s="2"/>
      <c r="DY14" s="20"/>
      <c r="DZ14" s="44"/>
      <c r="EA14" s="2"/>
      <c r="EB14" s="20"/>
      <c r="EC14" s="44"/>
      <c r="ED14" s="2"/>
      <c r="EE14" s="20"/>
      <c r="EF14" s="44"/>
      <c r="EG14" s="2"/>
      <c r="EH14" s="20"/>
      <c r="EI14" s="44"/>
      <c r="EJ14" s="2"/>
      <c r="EK14" s="20"/>
      <c r="EL14" s="44"/>
      <c r="EM14" s="2"/>
      <c r="EN14" s="20"/>
      <c r="EO14" s="44"/>
      <c r="EP14" s="2"/>
      <c r="EQ14" s="20"/>
      <c r="ER14" s="44"/>
      <c r="ES14" s="2"/>
      <c r="ET14" s="20"/>
      <c r="EU14" s="44"/>
      <c r="EV14" s="2"/>
      <c r="EW14" s="20"/>
      <c r="EX14" s="44"/>
      <c r="EY14" s="2"/>
      <c r="EZ14" s="20"/>
      <c r="FA14" s="44"/>
      <c r="FB14" s="2"/>
      <c r="FC14" s="20"/>
      <c r="FD14" s="44"/>
      <c r="FE14" s="2"/>
      <c r="FF14" s="20"/>
      <c r="FG14" s="44"/>
      <c r="FH14" s="2"/>
      <c r="FI14" s="20"/>
      <c r="FJ14" s="44"/>
      <c r="FK14" s="2"/>
      <c r="FL14" s="20"/>
      <c r="FM14" s="44"/>
      <c r="FN14" s="2"/>
      <c r="FO14" s="20"/>
      <c r="FP14" s="44"/>
      <c r="FQ14" s="2"/>
      <c r="FR14" s="20"/>
      <c r="FS14" s="44"/>
      <c r="FT14" s="2"/>
      <c r="FU14" s="20"/>
      <c r="FV14" s="44"/>
      <c r="FW14" s="2"/>
      <c r="FX14" s="20"/>
      <c r="FY14" s="44"/>
      <c r="FZ14" s="2"/>
      <c r="GA14" s="20"/>
      <c r="GB14" s="44"/>
      <c r="GC14" s="2"/>
      <c r="GD14" s="20"/>
      <c r="GE14" s="44"/>
      <c r="GF14" s="2"/>
      <c r="GG14" s="20"/>
      <c r="GH14" s="44"/>
      <c r="GI14" s="2"/>
      <c r="GJ14" s="20"/>
      <c r="GK14" s="44"/>
      <c r="GL14" s="2"/>
      <c r="GM14" s="20"/>
      <c r="GN14" s="44"/>
      <c r="GO14" s="2"/>
      <c r="GP14" s="20"/>
      <c r="GQ14" s="44"/>
      <c r="GR14" s="2"/>
      <c r="GS14" s="20"/>
      <c r="GT14" s="44"/>
      <c r="GU14" s="2"/>
      <c r="GV14" s="20"/>
      <c r="GW14" s="44"/>
      <c r="GX14" s="2"/>
      <c r="GY14" s="20"/>
      <c r="GZ14" s="44"/>
      <c r="HA14" s="2"/>
      <c r="HB14" s="20"/>
      <c r="HC14" s="44"/>
      <c r="HD14" s="2"/>
      <c r="HE14" s="20"/>
      <c r="HF14" s="44"/>
      <c r="HG14" s="2"/>
      <c r="HH14" s="20"/>
      <c r="HI14" s="44"/>
      <c r="HJ14" s="2"/>
      <c r="HK14" s="20"/>
      <c r="HL14" s="44"/>
      <c r="HM14" s="2"/>
      <c r="HN14" s="20"/>
      <c r="HO14" s="44"/>
      <c r="HP14" s="2"/>
      <c r="HQ14" s="20"/>
      <c r="HR14" s="44"/>
      <c r="HS14" s="2"/>
      <c r="HT14" s="20"/>
      <c r="HU14" s="44"/>
      <c r="HV14" s="2"/>
      <c r="HW14" s="20"/>
      <c r="HX14" s="44"/>
      <c r="HY14" s="2"/>
      <c r="HZ14" s="20"/>
      <c r="IA14" s="44"/>
      <c r="IB14" s="2"/>
      <c r="IC14" s="20"/>
      <c r="ID14" s="44"/>
      <c r="IE14" s="2"/>
      <c r="IF14" s="20"/>
      <c r="IG14" s="44"/>
      <c r="IH14" s="2"/>
      <c r="II14" s="20"/>
      <c r="IJ14" s="44"/>
      <c r="IK14" s="2"/>
      <c r="IL14" s="20"/>
      <c r="IM14" s="44"/>
      <c r="IN14" s="2"/>
      <c r="IO14" s="20"/>
      <c r="IP14" s="44"/>
      <c r="IQ14" s="2"/>
      <c r="IR14" s="20"/>
      <c r="IS14" s="44"/>
      <c r="IT14" s="2"/>
      <c r="IU14" s="20"/>
      <c r="IV14" s="44"/>
      <c r="IW14" s="2"/>
      <c r="IX14" s="20"/>
      <c r="IY14" s="44"/>
      <c r="IZ14" s="2"/>
      <c r="JA14" s="20"/>
      <c r="JB14" s="44"/>
      <c r="JC14" s="2"/>
      <c r="JD14" s="20"/>
      <c r="JE14" s="44"/>
      <c r="JF14" s="2"/>
      <c r="JG14" s="20"/>
      <c r="JH14" s="44"/>
      <c r="JI14" s="2"/>
      <c r="JJ14" s="20"/>
      <c r="JK14" s="44"/>
      <c r="JL14" s="2"/>
      <c r="JM14" s="20"/>
      <c r="JN14" s="44"/>
      <c r="JO14" s="2"/>
      <c r="JP14" s="20"/>
      <c r="JQ14" s="44"/>
    </row>
    <row r="15" spans="1:277">
      <c r="A15" s="2"/>
      <c r="C15" s="6"/>
      <c r="D15" s="2"/>
      <c r="E15" s="83"/>
      <c r="F15" s="2"/>
      <c r="G15" s="80"/>
      <c r="H15" s="83"/>
      <c r="I15" s="2"/>
      <c r="J15" s="80"/>
      <c r="K15" s="83"/>
      <c r="L15" s="2"/>
      <c r="M15" s="80"/>
      <c r="N15" s="83"/>
      <c r="O15" s="2"/>
      <c r="P15" s="80"/>
      <c r="Q15" s="83"/>
      <c r="R15" s="2"/>
      <c r="S15" s="80"/>
      <c r="T15" s="83"/>
      <c r="U15" s="2"/>
      <c r="V15" s="80"/>
      <c r="W15" s="83"/>
      <c r="X15" s="2"/>
      <c r="Y15" s="80"/>
      <c r="Z15" s="83"/>
      <c r="AA15" s="2"/>
      <c r="AB15" s="80"/>
      <c r="AC15" s="83"/>
      <c r="AD15" s="2"/>
      <c r="AE15" s="80"/>
      <c r="AF15" s="83"/>
      <c r="AG15" s="2"/>
      <c r="AH15" s="80"/>
      <c r="AI15" s="83"/>
      <c r="AJ15" s="2"/>
      <c r="AK15" s="80"/>
      <c r="AL15" s="83"/>
      <c r="AM15" s="2"/>
      <c r="AN15" s="80"/>
      <c r="AO15" s="83"/>
      <c r="AP15" s="2"/>
      <c r="AQ15" s="80"/>
      <c r="AR15" s="83"/>
      <c r="AS15" s="2"/>
      <c r="AT15" s="80"/>
      <c r="AU15" s="83"/>
      <c r="AV15" s="2"/>
      <c r="AW15" s="80"/>
      <c r="AX15" s="83"/>
      <c r="AY15" s="2"/>
      <c r="AZ15" s="80"/>
      <c r="BA15" s="83"/>
      <c r="BB15" s="2"/>
      <c r="BC15" s="80"/>
      <c r="BD15" s="83"/>
      <c r="BE15" s="2"/>
      <c r="BF15" s="80"/>
      <c r="BG15" s="83"/>
      <c r="BH15" s="2"/>
      <c r="BI15" s="80"/>
      <c r="BJ15" s="83"/>
      <c r="BK15" s="2"/>
      <c r="BL15" s="80"/>
      <c r="BM15" s="83"/>
      <c r="BN15" s="2"/>
      <c r="BO15" s="80"/>
      <c r="BP15" s="83"/>
      <c r="BQ15" s="2"/>
      <c r="BR15" s="80"/>
      <c r="BS15" s="83"/>
      <c r="BT15" s="2"/>
      <c r="BU15" s="80"/>
      <c r="BV15" s="83"/>
      <c r="BW15" s="2"/>
      <c r="BX15" s="80"/>
      <c r="BY15" s="83"/>
      <c r="BZ15" s="2"/>
      <c r="CA15" s="80"/>
      <c r="CB15" s="83"/>
      <c r="CC15" s="2"/>
      <c r="CD15" s="80"/>
      <c r="CE15" s="83"/>
      <c r="CF15" s="2"/>
      <c r="CG15" s="80"/>
      <c r="CH15" s="83"/>
      <c r="CI15" s="2"/>
      <c r="CJ15" s="80"/>
      <c r="CK15" s="83"/>
      <c r="CL15" s="2"/>
      <c r="CM15" s="80"/>
      <c r="CN15" s="83"/>
      <c r="CO15" s="2"/>
      <c r="CP15" s="80"/>
      <c r="CQ15" s="83"/>
      <c r="CR15" s="2"/>
      <c r="CS15" s="80"/>
      <c r="CT15" s="83" t="s">
        <v>444</v>
      </c>
      <c r="CU15" s="2"/>
      <c r="CV15" s="80"/>
      <c r="CW15" s="83"/>
      <c r="CX15" s="2"/>
      <c r="CY15" s="80"/>
      <c r="CZ15" s="83"/>
      <c r="DA15" s="2"/>
      <c r="DB15" s="80"/>
      <c r="DC15" s="83"/>
      <c r="DD15" s="2"/>
      <c r="DE15" s="80"/>
      <c r="DF15" s="83"/>
      <c r="DG15" s="2"/>
      <c r="DH15" s="80"/>
      <c r="DI15" s="83"/>
      <c r="DJ15" s="2"/>
      <c r="DK15" s="80"/>
      <c r="DL15" s="83"/>
      <c r="DM15" s="2"/>
      <c r="DN15" s="80"/>
      <c r="DO15" s="83"/>
      <c r="DP15" s="2"/>
      <c r="DQ15" s="80"/>
      <c r="DR15" s="83"/>
      <c r="DS15" s="2"/>
      <c r="DT15" s="80"/>
      <c r="DU15" s="83"/>
      <c r="DV15" s="2"/>
      <c r="DW15" s="80"/>
      <c r="DX15" s="83"/>
      <c r="DY15" s="2"/>
      <c r="DZ15" s="80"/>
      <c r="EA15" s="83"/>
      <c r="EB15" s="2"/>
      <c r="EC15" s="80"/>
      <c r="ED15" s="83"/>
      <c r="EE15" s="2"/>
      <c r="EF15" s="80"/>
      <c r="EG15" s="83"/>
      <c r="EH15" s="2"/>
      <c r="EI15" s="80"/>
      <c r="EJ15" s="83"/>
      <c r="EK15" s="2"/>
      <c r="EL15" s="80"/>
      <c r="EM15" s="83"/>
      <c r="EN15" s="2"/>
      <c r="EO15" s="80"/>
      <c r="EP15" s="83"/>
      <c r="EQ15" s="2"/>
      <c r="ER15" s="80"/>
      <c r="ES15" s="83"/>
      <c r="ET15" s="2"/>
      <c r="EU15" s="80"/>
      <c r="EV15" s="83"/>
      <c r="EW15" s="2"/>
      <c r="EX15" s="80"/>
      <c r="EY15" s="83"/>
      <c r="EZ15" s="2"/>
      <c r="FA15" s="80"/>
      <c r="FB15" s="83"/>
      <c r="FC15" s="2"/>
      <c r="FD15" s="80"/>
      <c r="FE15" s="83"/>
      <c r="FF15" s="2"/>
      <c r="FG15" s="80"/>
      <c r="FH15" s="83"/>
      <c r="FI15" s="2"/>
      <c r="FJ15" s="80"/>
      <c r="FK15" s="83"/>
      <c r="FL15" s="2"/>
      <c r="FM15" s="80"/>
      <c r="FN15" s="83"/>
      <c r="FO15" s="2"/>
      <c r="FP15" s="80"/>
      <c r="FQ15" s="83"/>
      <c r="FR15" s="2"/>
      <c r="FS15" s="80"/>
      <c r="FT15" s="83"/>
      <c r="FU15" s="2"/>
      <c r="FV15" s="80"/>
      <c r="FW15" s="83"/>
      <c r="FX15" s="2"/>
      <c r="FY15" s="80"/>
      <c r="FZ15" s="83"/>
      <c r="GA15" s="2"/>
      <c r="GB15" s="80"/>
      <c r="GC15" s="83"/>
      <c r="GD15" s="2"/>
      <c r="GE15" s="80"/>
      <c r="GF15" s="83"/>
      <c r="GG15" s="2"/>
      <c r="GH15" s="80"/>
      <c r="GI15" s="83"/>
      <c r="GJ15" s="2"/>
      <c r="GK15" s="80"/>
      <c r="GL15" s="83"/>
      <c r="GM15" s="2"/>
      <c r="GN15" s="80"/>
      <c r="GO15" s="83"/>
      <c r="GP15" s="2"/>
      <c r="GQ15" s="80"/>
      <c r="GR15" s="83"/>
      <c r="GS15" s="2"/>
      <c r="GT15" s="80"/>
      <c r="GU15" s="83"/>
      <c r="GV15" s="2"/>
      <c r="GW15" s="80"/>
      <c r="GX15" s="83"/>
      <c r="GY15" s="2"/>
      <c r="GZ15" s="80"/>
      <c r="HA15" s="83"/>
      <c r="HB15" s="2"/>
      <c r="HC15" s="80"/>
      <c r="HD15" s="83"/>
      <c r="HE15" s="2"/>
      <c r="HF15" s="80"/>
      <c r="HG15" s="83"/>
      <c r="HH15" s="2"/>
      <c r="HI15" s="80"/>
      <c r="HJ15" s="83"/>
      <c r="HK15" s="2"/>
      <c r="HL15" s="80"/>
      <c r="HM15" s="83" t="s">
        <v>445</v>
      </c>
      <c r="HN15" s="2"/>
      <c r="HO15" s="80"/>
      <c r="HP15" s="83" t="s">
        <v>445</v>
      </c>
      <c r="HQ15" s="2"/>
      <c r="HR15" s="80"/>
      <c r="HS15" s="83" t="s">
        <v>445</v>
      </c>
      <c r="HT15" s="2"/>
      <c r="HU15" s="80"/>
      <c r="HV15" s="83" t="s">
        <v>445</v>
      </c>
      <c r="HW15" s="2"/>
      <c r="HX15" s="80"/>
      <c r="HY15" s="83" t="s">
        <v>445</v>
      </c>
      <c r="HZ15" s="2"/>
      <c r="IA15" s="80"/>
      <c r="IB15" s="83" t="s">
        <v>445</v>
      </c>
      <c r="IC15" s="2"/>
      <c r="ID15" s="80"/>
      <c r="IE15" s="83" t="s">
        <v>445</v>
      </c>
      <c r="IF15" s="2"/>
      <c r="IG15" s="80"/>
      <c r="IH15" s="83" t="s">
        <v>445</v>
      </c>
      <c r="II15" s="2"/>
      <c r="IJ15" s="80"/>
      <c r="IK15" s="83" t="s">
        <v>445</v>
      </c>
      <c r="IL15" s="2"/>
      <c r="IM15" s="80"/>
      <c r="IN15" s="83" t="s">
        <v>445</v>
      </c>
      <c r="IO15" s="2"/>
      <c r="IP15" s="80"/>
      <c r="IQ15" s="83" t="s">
        <v>445</v>
      </c>
      <c r="IR15" s="2"/>
      <c r="IS15" s="80"/>
      <c r="IT15" s="83" t="s">
        <v>445</v>
      </c>
      <c r="IU15" s="2"/>
      <c r="IV15" s="80"/>
      <c r="IW15" s="83" t="s">
        <v>445</v>
      </c>
      <c r="IX15" s="2"/>
      <c r="IY15" s="80"/>
      <c r="IZ15" s="83" t="s">
        <v>445</v>
      </c>
      <c r="JA15" s="2"/>
      <c r="JB15" s="80"/>
      <c r="JC15" s="83" t="s">
        <v>445</v>
      </c>
      <c r="JD15" s="2"/>
      <c r="JE15" s="80"/>
      <c r="JF15" s="83" t="s">
        <v>445</v>
      </c>
      <c r="JG15" s="2"/>
      <c r="JH15" s="80"/>
      <c r="JI15" s="83" t="s">
        <v>445</v>
      </c>
      <c r="JJ15" s="2"/>
      <c r="JK15" s="80"/>
      <c r="JL15" s="83" t="s">
        <v>445</v>
      </c>
      <c r="JM15" s="2"/>
      <c r="JN15" s="80"/>
      <c r="JO15" s="83" t="s">
        <v>445</v>
      </c>
      <c r="JP15" s="2"/>
      <c r="JQ15" s="80"/>
    </row>
    <row r="16" spans="1:277">
      <c r="A16" s="2">
        <v>5</v>
      </c>
      <c r="B16" s="2" t="s">
        <v>94</v>
      </c>
      <c r="C16" s="37" t="s">
        <v>161</v>
      </c>
      <c r="D16" s="2" t="s">
        <v>175</v>
      </c>
      <c r="E16" s="20">
        <f>E3</f>
        <v>677026247.78</v>
      </c>
      <c r="F16" s="20">
        <f>E13</f>
        <v>11295161920</v>
      </c>
      <c r="G16" s="38">
        <f>(E16/F16)*100</f>
        <v>5.99394902503531</v>
      </c>
      <c r="H16" s="20">
        <f>H3</f>
        <v>-2755953717.947</v>
      </c>
      <c r="I16" s="20">
        <v>9909112999</v>
      </c>
      <c r="J16" s="38">
        <f>(H16/I16)*100</f>
        <v>-27.8123149693128</v>
      </c>
      <c r="K16" s="20">
        <f>K3</f>
        <v>287449453</v>
      </c>
      <c r="L16" s="20">
        <f>K13</f>
        <v>7077335000</v>
      </c>
      <c r="M16" s="38">
        <f>(K16/L16)*100</f>
        <v>4.06154934025308</v>
      </c>
      <c r="N16" s="20">
        <f>N3</f>
        <v>1111971920.171</v>
      </c>
      <c r="O16" s="20">
        <f>N13</f>
        <v>6881183848</v>
      </c>
      <c r="P16" s="38">
        <f>(N16/O16)*100</f>
        <v>16.1596019628831</v>
      </c>
      <c r="Q16" s="20">
        <f>Q3</f>
        <v>369122458.976</v>
      </c>
      <c r="R16" s="20">
        <f>Q13</f>
        <v>6461246873</v>
      </c>
      <c r="S16" s="38">
        <f>(Q16/R16)*100</f>
        <v>5.71286728755829</v>
      </c>
      <c r="T16" s="20">
        <f>T3</f>
        <v>116954967.28</v>
      </c>
      <c r="U16" s="20">
        <f>T13</f>
        <v>2321437410</v>
      </c>
      <c r="V16" s="38">
        <f>(T16/U16)*100</f>
        <v>5.03804094722502</v>
      </c>
      <c r="W16" s="20">
        <f>W3</f>
        <v>-194660656</v>
      </c>
      <c r="X16" s="20">
        <f>W13</f>
        <v>2321437410</v>
      </c>
      <c r="Y16" s="38">
        <f>(W16/X16)*100</f>
        <v>-8.38535017836212</v>
      </c>
      <c r="Z16" s="20">
        <f>Z3</f>
        <v>-36645836.25</v>
      </c>
      <c r="AA16" s="20">
        <f>Z13</f>
        <v>2321437410</v>
      </c>
      <c r="AB16" s="38">
        <f>(Z16/AA16)*100</f>
        <v>-1.57858385895487</v>
      </c>
      <c r="AC16" s="20">
        <f>AC3</f>
        <v>471212255.478</v>
      </c>
      <c r="AD16" s="20">
        <f>AC13</f>
        <v>6674455407</v>
      </c>
      <c r="AE16" s="38">
        <f>(AC16/AD16)*100</f>
        <v>7.05993563135959</v>
      </c>
      <c r="AF16" s="20">
        <f>AF3</f>
        <v>281857056.782</v>
      </c>
      <c r="AG16" s="20">
        <f>AF13</f>
        <v>3471390152</v>
      </c>
      <c r="AH16" s="38">
        <f>(AF16/AG16)*100</f>
        <v>8.11942894461492</v>
      </c>
      <c r="AI16" s="20">
        <f>AI3</f>
        <v>497911315.044</v>
      </c>
      <c r="AJ16" s="20">
        <f>AI13</f>
        <v>3850293298</v>
      </c>
      <c r="AK16" s="38">
        <f>(AI16/AJ16)*100</f>
        <v>12.9317762702035</v>
      </c>
      <c r="AL16" s="20">
        <f>AL3</f>
        <v>-180228193.018</v>
      </c>
      <c r="AM16" s="20">
        <f>AL13</f>
        <v>3850293298</v>
      </c>
      <c r="AN16" s="38">
        <f>(AL16/AM16)*100</f>
        <v>-4.68089517002816</v>
      </c>
      <c r="AO16" s="20">
        <f>AO3</f>
        <v>619930857.197</v>
      </c>
      <c r="AP16" s="20">
        <f>AO13</f>
        <v>3796642117</v>
      </c>
      <c r="AQ16" s="38">
        <f>(AO16/AP16)*100</f>
        <v>16.3283985714949</v>
      </c>
      <c r="AR16" s="20">
        <f>AR3</f>
        <v>108107322.411</v>
      </c>
      <c r="AS16" s="20">
        <f>AR13</f>
        <v>2162737997</v>
      </c>
      <c r="AT16" s="38">
        <f>(AR16/AS16)*100</f>
        <v>4.99863240766838</v>
      </c>
      <c r="AU16" s="20">
        <f>AU3</f>
        <v>30651460.552</v>
      </c>
      <c r="AV16" s="20">
        <f>AU13</f>
        <v>2162737997</v>
      </c>
      <c r="AW16" s="38">
        <f>(AU16/AV16)*100</f>
        <v>1.41725260269702</v>
      </c>
      <c r="AX16" s="20">
        <f>AX3</f>
        <v>200300301.736</v>
      </c>
      <c r="AY16" s="20">
        <f>AX13</f>
        <v>1992306837</v>
      </c>
      <c r="AZ16" s="38">
        <f>(AX16/AY16)*100</f>
        <v>10.0536874148166</v>
      </c>
      <c r="BA16" s="20">
        <f>BA3</f>
        <v>-323743270.61</v>
      </c>
      <c r="BB16" s="20">
        <f>BA13</f>
        <v>1992306837</v>
      </c>
      <c r="BC16" s="38">
        <f>(BA16/BB16)*100</f>
        <v>-16.2496692074545</v>
      </c>
      <c r="BD16" s="20">
        <f>BD3</f>
        <v>20093027.487</v>
      </c>
      <c r="BE16" s="20">
        <f>BD13</f>
        <v>1992306837</v>
      </c>
      <c r="BF16" s="38">
        <f>(BD16/BE16)*100</f>
        <v>1.00853077015265</v>
      </c>
      <c r="BG16" s="20">
        <f>BG3</f>
        <v>455750727.16</v>
      </c>
      <c r="BH16" s="20">
        <f>BG13</f>
        <v>4215884164</v>
      </c>
      <c r="BI16" s="38">
        <f>(BG16/BH16)*100</f>
        <v>10.810323752529</v>
      </c>
      <c r="BJ16" s="20">
        <f>BJ3</f>
        <v>42921690.894</v>
      </c>
      <c r="BK16" s="20">
        <f>BJ13</f>
        <v>4215884164</v>
      </c>
      <c r="BL16" s="38">
        <f>(BJ16/BK16)*100</f>
        <v>1.01809464454726</v>
      </c>
      <c r="BM16" s="20">
        <f>BM3</f>
        <v>141846886.744</v>
      </c>
      <c r="BN16" s="20">
        <f>BM13</f>
        <v>2532722344</v>
      </c>
      <c r="BO16" s="38">
        <f>(BM16/BN16)*100</f>
        <v>5.60056995904167</v>
      </c>
      <c r="BP16" s="20">
        <f>BP3</f>
        <v>-99331.161</v>
      </c>
      <c r="BQ16" s="20">
        <f>BP13</f>
        <v>2532722344</v>
      </c>
      <c r="BR16" s="38">
        <f>(BP16/BQ16)*100</f>
        <v>-0.00392191276850045</v>
      </c>
      <c r="BS16" s="20">
        <f>BS3</f>
        <v>-23524384.1</v>
      </c>
      <c r="BT16" s="20">
        <f>BS13</f>
        <v>2532722344</v>
      </c>
      <c r="BU16" s="38">
        <f>(BS16/BT16)*100</f>
        <v>-0.928818121565085</v>
      </c>
      <c r="BV16" s="20">
        <f>BV3</f>
        <v>179063770.863</v>
      </c>
      <c r="BW16" s="20">
        <f>BV13</f>
        <v>3160635582</v>
      </c>
      <c r="BX16" s="38">
        <f>(BV16/BW16)*100</f>
        <v>5.66543551818433</v>
      </c>
      <c r="BY16" s="20">
        <f>BY3</f>
        <v>-435451689.855</v>
      </c>
      <c r="BZ16" s="20">
        <f>BY13</f>
        <v>3160635582</v>
      </c>
      <c r="CA16" s="38">
        <f>(BY16/BZ16)*100</f>
        <v>-13.7773456811953</v>
      </c>
      <c r="CB16" s="20">
        <f>CB3</f>
        <v>115204848.919</v>
      </c>
      <c r="CC16" s="20">
        <f>CB13</f>
        <v>1005463472</v>
      </c>
      <c r="CD16" s="38">
        <f>(CB16/CC16)*100</f>
        <v>11.457885057708</v>
      </c>
      <c r="CE16" s="20">
        <f>CE3</f>
        <v>-57189699</v>
      </c>
      <c r="CF16" s="20">
        <f>CE13</f>
        <v>1005463472</v>
      </c>
      <c r="CG16" s="38">
        <f>(CE16/CF16)*100</f>
        <v>-5.68789424903146</v>
      </c>
      <c r="CH16" s="20">
        <f>CH3</f>
        <v>40928.432</v>
      </c>
      <c r="CI16" s="20">
        <f>CH13</f>
        <v>1332071</v>
      </c>
      <c r="CJ16" s="38">
        <f>(CH16/CI16)*100</f>
        <v>3.07254132850276</v>
      </c>
      <c r="CK16" s="20">
        <f>CK3</f>
        <v>116146472.121</v>
      </c>
      <c r="CL16" s="20">
        <f>CK13</f>
        <v>854311288</v>
      </c>
      <c r="CM16" s="38">
        <f>(CK16/CL16)*100</f>
        <v>13.5953338967236</v>
      </c>
      <c r="CN16" s="20">
        <f>CN3</f>
        <v>56293692.391</v>
      </c>
      <c r="CO16" s="20">
        <f>CN13</f>
        <v>692201177</v>
      </c>
      <c r="CP16" s="38">
        <f>(CN16/CO16)*100</f>
        <v>8.13256236214114</v>
      </c>
      <c r="CQ16" s="20">
        <f>CQ3</f>
        <v>-51871219.619</v>
      </c>
      <c r="CR16" s="20">
        <f>CQ13</f>
        <v>692201177</v>
      </c>
      <c r="CS16" s="38">
        <f>(CQ16/CR16)*100</f>
        <v>-7.49366244128764</v>
      </c>
      <c r="CT16" s="20">
        <f>CT3</f>
        <v>90735418.473</v>
      </c>
      <c r="CU16" s="20">
        <f>CT13</f>
        <v>1218549363</v>
      </c>
      <c r="CV16" s="38">
        <f>(CT16/CU16)*100</f>
        <v>7.44618324280393</v>
      </c>
      <c r="CW16" s="20">
        <f>CW3</f>
        <v>42085507.992</v>
      </c>
      <c r="CX16" s="20">
        <f>CW13</f>
        <v>1258391642</v>
      </c>
      <c r="CY16" s="38">
        <f>(CW16/CX16)*100</f>
        <v>3.34438870915514</v>
      </c>
      <c r="CZ16" s="20">
        <f>CZ3</f>
        <v>25337222.777</v>
      </c>
      <c r="DA16" s="20">
        <f>CZ13</f>
        <v>920243202</v>
      </c>
      <c r="DB16" s="38">
        <f>(CZ16/DA16)*100</f>
        <v>2.7533181143782</v>
      </c>
      <c r="DC16" s="20">
        <f>DC3</f>
        <v>7458284.296</v>
      </c>
      <c r="DD16" s="20">
        <f>DC13</f>
        <v>920243202</v>
      </c>
      <c r="DE16" s="38">
        <f>(DC16/DD16)*100</f>
        <v>0.810468828217435</v>
      </c>
      <c r="DF16" s="20">
        <f>DF3</f>
        <v>163713134.815</v>
      </c>
      <c r="DG16" s="20">
        <f>DF13</f>
        <v>1397794822</v>
      </c>
      <c r="DH16" s="38">
        <f>(DF16/DG16)*100</f>
        <v>11.7122436167531</v>
      </c>
      <c r="DI16" s="20">
        <f>DI3</f>
        <v>-62083264.636</v>
      </c>
      <c r="DJ16" s="20">
        <f>DI13</f>
        <v>1397794822</v>
      </c>
      <c r="DK16" s="38">
        <f>(DI16/DJ16)*100</f>
        <v>-4.44151485317206</v>
      </c>
      <c r="DL16" s="20">
        <f>DL3</f>
        <v>88445487.099</v>
      </c>
      <c r="DM16" s="20">
        <f>DL13</f>
        <v>1244470115</v>
      </c>
      <c r="DN16" s="38">
        <f>(DL16/DM16)*100</f>
        <v>7.10708003614856</v>
      </c>
      <c r="DO16" s="20">
        <f>DO3</f>
        <v>77065370.173</v>
      </c>
      <c r="DP16" s="20">
        <f>DO13</f>
        <v>1222184231</v>
      </c>
      <c r="DQ16" s="38">
        <f>(DO16/DP16)*100</f>
        <v>6.30554446852457</v>
      </c>
      <c r="DR16" s="20">
        <f>DR3</f>
        <v>-10852496.864</v>
      </c>
      <c r="DS16" s="20">
        <f>DR13</f>
        <v>1222184231</v>
      </c>
      <c r="DT16" s="38">
        <f>(DR16/DS16)*100</f>
        <v>-0.887959162680442</v>
      </c>
      <c r="DU16" s="20">
        <f>DU3</f>
        <v>117555333.151</v>
      </c>
      <c r="DV16" s="20">
        <f>DU13</f>
        <v>1053848028</v>
      </c>
      <c r="DW16" s="38">
        <f>(DU16/DV16)*100</f>
        <v>11.154865789719</v>
      </c>
      <c r="DX16" s="20">
        <f>DX3</f>
        <v>46561094.149</v>
      </c>
      <c r="DY16" s="20">
        <f>DX13</f>
        <v>1053848028</v>
      </c>
      <c r="DZ16" s="38">
        <f>(DX16/DY16)*100</f>
        <v>4.41819815684088</v>
      </c>
      <c r="EA16" s="20">
        <f>EA3</f>
        <v>58200230.304</v>
      </c>
      <c r="EB16" s="20">
        <f>EA13</f>
        <v>1379106236</v>
      </c>
      <c r="EC16" s="38">
        <f>(EA16/EB16)*100</f>
        <v>4.22014118889098</v>
      </c>
      <c r="ED16" s="20">
        <f>ED3</f>
        <v>-32753338.951</v>
      </c>
      <c r="EE16" s="20">
        <f>ED13</f>
        <v>1379106236</v>
      </c>
      <c r="EF16" s="38">
        <f>(ED16/EE16)*100</f>
        <v>-2.3749685191765</v>
      </c>
      <c r="EG16" s="20">
        <f>EG3</f>
        <v>4769665.952</v>
      </c>
      <c r="EH16" s="20">
        <f>EG13</f>
        <v>1379106236</v>
      </c>
      <c r="EI16" s="38">
        <f>(EG16/EH16)*100</f>
        <v>0.34585196031265</v>
      </c>
      <c r="EJ16" s="20">
        <f>EJ3</f>
        <v>34318567.546</v>
      </c>
      <c r="EK16" s="20">
        <f>EJ13</f>
        <v>1379106236</v>
      </c>
      <c r="EL16" s="38">
        <f>(EJ16/EK16)*100</f>
        <v>2.48846438730772</v>
      </c>
      <c r="EM16" s="20">
        <f>EM3</f>
        <v>74238143.823</v>
      </c>
      <c r="EN16" s="20">
        <f>EM13</f>
        <v>801854904</v>
      </c>
      <c r="EO16" s="38">
        <f>(EM16/EN16)*100</f>
        <v>9.25830140249414</v>
      </c>
      <c r="EP16" s="20">
        <f>EP3</f>
        <v>60894345.94</v>
      </c>
      <c r="EQ16" s="20">
        <f>EP13</f>
        <v>639591938</v>
      </c>
      <c r="ER16" s="38">
        <f>(EP16/EQ16)*100</f>
        <v>9.52081199309926</v>
      </c>
      <c r="ES16" s="20">
        <f>ES3</f>
        <v>1927597.98</v>
      </c>
      <c r="ET16" s="20">
        <f>ES13</f>
        <v>801854904</v>
      </c>
      <c r="EU16" s="38">
        <f>(ES16/ET16)*100</f>
        <v>0.240392366547153</v>
      </c>
      <c r="EV16" s="20">
        <f>EV3</f>
        <v>85576355.228</v>
      </c>
      <c r="EW16" s="20">
        <f>EV13</f>
        <v>853660070</v>
      </c>
      <c r="EX16" s="38">
        <f>(EV16/EW16)*100</f>
        <v>10.024640748161</v>
      </c>
      <c r="EY16" s="20">
        <f>EY3</f>
        <v>44897700.768</v>
      </c>
      <c r="EZ16" s="20">
        <f>EY13</f>
        <v>1800815548</v>
      </c>
      <c r="FA16" s="38">
        <f>(EY16/EZ16)*100</f>
        <v>2.49318709058591</v>
      </c>
      <c r="FB16" s="20">
        <f>FB3</f>
        <v>-32848363.189</v>
      </c>
      <c r="FC16" s="20">
        <f>FB13</f>
        <v>1800815548</v>
      </c>
      <c r="FD16" s="38">
        <f>(FB16/FC16)*100</f>
        <v>-1.82408260665462</v>
      </c>
      <c r="FE16" s="20">
        <f>FE3</f>
        <v>-65642.252</v>
      </c>
      <c r="FF16" s="20">
        <f>FE13</f>
        <v>1800815548</v>
      </c>
      <c r="FG16" s="38">
        <f>(FE16/FF16)*100</f>
        <v>-0.00364514022954226</v>
      </c>
      <c r="FH16" s="20">
        <f>FH3</f>
        <v>-49527483.033</v>
      </c>
      <c r="FI16" s="20">
        <f>FH13</f>
        <v>741304032</v>
      </c>
      <c r="FJ16" s="38">
        <f>(FH16/FI16)*100</f>
        <v>-6.68112958989005</v>
      </c>
      <c r="FK16" s="20">
        <f>FK3</f>
        <v>5751740.372</v>
      </c>
      <c r="FL16" s="20">
        <f>FK13</f>
        <v>741304032</v>
      </c>
      <c r="FM16" s="38">
        <f>(FK16/FL16)*100</f>
        <v>0.775894926199457</v>
      </c>
      <c r="FN16" s="20">
        <f>FN3</f>
        <v>93594427.542</v>
      </c>
      <c r="FO16" s="20">
        <f>FN13</f>
        <v>741304032</v>
      </c>
      <c r="FP16" s="38">
        <f>(FN16/FO16)*100</f>
        <v>12.6256466310438</v>
      </c>
      <c r="FQ16" s="20">
        <f>FQ3</f>
        <v>48894289.371</v>
      </c>
      <c r="FR16" s="20">
        <f>FQ13</f>
        <v>689683890</v>
      </c>
      <c r="FS16" s="38">
        <f>(FQ16/FR16)*100</f>
        <v>7.08937675360229</v>
      </c>
      <c r="FT16" s="20">
        <f>FT3</f>
        <v>10400066</v>
      </c>
      <c r="FU16" s="20">
        <f>FT13</f>
        <v>620082000</v>
      </c>
      <c r="FV16" s="219">
        <f>(FT16/FU16)*100</f>
        <v>1.67720817569289</v>
      </c>
      <c r="FW16" s="20">
        <f>FW3</f>
        <v>-26059054.274</v>
      </c>
      <c r="FX16" s="20">
        <f>FW13</f>
        <v>620082000</v>
      </c>
      <c r="FY16" s="38">
        <f>(FW16/FX16)*100</f>
        <v>-4.20251745317555</v>
      </c>
      <c r="FZ16" s="20">
        <f>FZ3</f>
        <v>-123090850</v>
      </c>
      <c r="GA16" s="20">
        <f>FZ13</f>
        <v>620082000</v>
      </c>
      <c r="GB16" s="38">
        <f>(FZ16/GA16)*100</f>
        <v>-19.8507374831071</v>
      </c>
      <c r="GC16" s="20">
        <f>GC3</f>
        <v>40252066.467</v>
      </c>
      <c r="GD16" s="20">
        <f>GC13</f>
        <v>645418543</v>
      </c>
      <c r="GE16" s="38">
        <f>(GC16/GD16)*100</f>
        <v>6.23658351678315</v>
      </c>
      <c r="GF16" s="20">
        <f>GF3</f>
        <v>3298623.138</v>
      </c>
      <c r="GG16" s="20">
        <f>GF13</f>
        <v>645418543</v>
      </c>
      <c r="GH16" s="38">
        <f>(GF16/GG16)*100</f>
        <v>0.51108279639248</v>
      </c>
      <c r="GI16" s="20">
        <f>GI3</f>
        <v>16492261.237</v>
      </c>
      <c r="GJ16" s="20">
        <f>GI13</f>
        <v>645418543</v>
      </c>
      <c r="GK16" s="38">
        <f>(GI16/GJ16)*100</f>
        <v>2.55528159453578</v>
      </c>
      <c r="GL16" s="20">
        <f>GL3</f>
        <v>-68797129.75</v>
      </c>
      <c r="GM16" s="20">
        <f>GL13</f>
        <v>645418543</v>
      </c>
      <c r="GN16" s="38">
        <f>(GL16/GM16)*100</f>
        <v>-10.6593048024652</v>
      </c>
      <c r="GO16" s="20">
        <f>GO3</f>
        <v>-68797129.75</v>
      </c>
      <c r="GP16" s="20">
        <f>GO13</f>
        <v>645418543</v>
      </c>
      <c r="GQ16" s="38">
        <f>(GO16/GP16)*100</f>
        <v>-10.6593048024652</v>
      </c>
      <c r="GR16" s="20">
        <f>GR3</f>
        <v>-39423216.398</v>
      </c>
      <c r="GS16" s="20">
        <f>GR13</f>
        <v>645418543</v>
      </c>
      <c r="GT16" s="38">
        <f>(GR16/GS16)*100</f>
        <v>-6.10816296271178</v>
      </c>
      <c r="GU16" s="20">
        <f>GU3</f>
        <v>-4360676.225</v>
      </c>
      <c r="GV16" s="20">
        <f>GU13</f>
        <v>645418543</v>
      </c>
      <c r="GW16" s="38">
        <f>(GU16/GV16)*100</f>
        <v>-0.675635410896461</v>
      </c>
      <c r="GX16" s="20">
        <f>GX3</f>
        <v>-523491939.622</v>
      </c>
      <c r="GY16" s="20">
        <f>GX13</f>
        <v>645418543</v>
      </c>
      <c r="GZ16" s="38">
        <f>(GX16/GY16)*100</f>
        <v>-81.1089091411494</v>
      </c>
      <c r="HA16" s="20">
        <f>HA3</f>
        <v>29414829.787</v>
      </c>
      <c r="HB16" s="20">
        <f>HA13</f>
        <v>245183190</v>
      </c>
      <c r="HC16" s="38">
        <f>(HA16/HB16)*100</f>
        <v>11.9970825842506</v>
      </c>
      <c r="HD16" s="20">
        <f>HD3</f>
        <v>-17835441.358</v>
      </c>
      <c r="HE16" s="20">
        <f>HD13</f>
        <v>245183190</v>
      </c>
      <c r="HF16" s="38">
        <f>(HD16/HE16)*100</f>
        <v>-7.27433286025849</v>
      </c>
      <c r="HG16" s="20">
        <f>HG3</f>
        <v>29245573.445</v>
      </c>
      <c r="HH16" s="20">
        <f>HG13</f>
        <v>752403522</v>
      </c>
      <c r="HI16" s="38">
        <f>(HG16/HH16)*100</f>
        <v>3.88695328900919</v>
      </c>
      <c r="HJ16" s="20">
        <f>HJ3</f>
        <v>-244266420.791</v>
      </c>
      <c r="HK16" s="20">
        <f>HJ13</f>
        <v>752403522</v>
      </c>
      <c r="HL16" s="38">
        <f>(HJ16/HK16)*100</f>
        <v>-32.4648162387257</v>
      </c>
      <c r="HM16" s="20">
        <f>HM3</f>
        <v>62586829.38</v>
      </c>
      <c r="HN16" s="20">
        <f>HM13</f>
        <v>508965708</v>
      </c>
      <c r="HO16" s="38">
        <f>(HM16/HN16)*100</f>
        <v>12.2968656623129</v>
      </c>
      <c r="HP16" s="20">
        <f>HP3</f>
        <v>59466646.954</v>
      </c>
      <c r="HQ16" s="20">
        <f>HP13</f>
        <v>555710604</v>
      </c>
      <c r="HR16" s="38">
        <f>(HP16/HQ16)*100</f>
        <v>10.7010099368196</v>
      </c>
      <c r="HS16" s="20">
        <f>HS3</f>
        <v>6502524.629</v>
      </c>
      <c r="HT16" s="20">
        <f>HS13</f>
        <v>555710604</v>
      </c>
      <c r="HU16" s="38">
        <f>(HS16/HT16)*100</f>
        <v>1.17012786551037</v>
      </c>
      <c r="HV16" s="20">
        <f>HV3</f>
        <v>-65601504.856</v>
      </c>
      <c r="HW16" s="20">
        <f>HV13</f>
        <v>555710604</v>
      </c>
      <c r="HX16" s="38">
        <f>(HV16/HW16)*100</f>
        <v>-11.8049762563106</v>
      </c>
      <c r="HY16" s="20">
        <f>HY3</f>
        <v>66416725</v>
      </c>
      <c r="HZ16" s="20">
        <f>HY13</f>
        <v>469114000</v>
      </c>
      <c r="IA16" s="38">
        <f>(HY16/HZ16)*100</f>
        <v>14.1579072464262</v>
      </c>
      <c r="IB16" s="20">
        <f>IB3</f>
        <v>13464589.011</v>
      </c>
      <c r="IC16" s="20">
        <f>IB13</f>
        <v>184948055</v>
      </c>
      <c r="ID16" s="38">
        <f>(IB16/IC16)*100</f>
        <v>7.28020038437279</v>
      </c>
      <c r="IE16" s="20">
        <f>IE3</f>
        <v>-3023409.292</v>
      </c>
      <c r="IF16" s="20">
        <f>IE13</f>
        <v>184948055</v>
      </c>
      <c r="IG16" s="38">
        <f>(IE16/IF16)*100</f>
        <v>-1.63473429985517</v>
      </c>
      <c r="IH16" s="20">
        <f>IH3</f>
        <v>-53590945.58</v>
      </c>
      <c r="II16" s="20">
        <f>IH13</f>
        <v>184948055</v>
      </c>
      <c r="IJ16" s="38">
        <f>(IH16/II16)*100</f>
        <v>-28.9762147431072</v>
      </c>
      <c r="IK16" s="20">
        <f>IK3</f>
        <v>-836997.365</v>
      </c>
      <c r="IL16" s="20">
        <f>IK13</f>
        <v>184948055</v>
      </c>
      <c r="IM16" s="38">
        <f>(IK16/IL16)*100</f>
        <v>-0.452558079077934</v>
      </c>
      <c r="IN16" s="20">
        <f>IN3</f>
        <v>18640069.484</v>
      </c>
      <c r="IO16" s="20">
        <f>IN13</f>
        <v>206694486</v>
      </c>
      <c r="IP16" s="38">
        <f>(IN16/IO16)*100</f>
        <v>9.01817452643609</v>
      </c>
      <c r="IQ16" s="20">
        <f>IQ3</f>
        <v>-40857805.661</v>
      </c>
      <c r="IR16" s="20">
        <f>IQ13</f>
        <v>206694486</v>
      </c>
      <c r="IS16" s="38">
        <f>(IQ16/IR16)*100</f>
        <v>-19.7672451025133</v>
      </c>
      <c r="IT16" s="20">
        <f>IT3</f>
        <v>-23775097.406</v>
      </c>
      <c r="IU16" s="20">
        <f>IT13</f>
        <v>206694486</v>
      </c>
      <c r="IV16" s="38">
        <f>(IT16/IU16)*100</f>
        <v>-11.5025310380075</v>
      </c>
      <c r="IW16" s="20">
        <f>IW3</f>
        <v>749176.659</v>
      </c>
      <c r="IX16" s="20">
        <f>IW13</f>
        <v>206694486</v>
      </c>
      <c r="IY16" s="38">
        <f>(IW16/IX16)*100</f>
        <v>0.362456044908716</v>
      </c>
      <c r="IZ16" s="20">
        <f>IZ3</f>
        <v>19542767.753</v>
      </c>
      <c r="JA16" s="20">
        <f>IZ13</f>
        <v>392408803</v>
      </c>
      <c r="JB16" s="38">
        <f>(IZ16/JA16)*100</f>
        <v>4.98020625520982</v>
      </c>
      <c r="JC16" s="20">
        <f>JC3</f>
        <v>14751740.476</v>
      </c>
      <c r="JD16" s="20">
        <f>JC13</f>
        <v>279434593</v>
      </c>
      <c r="JE16" s="38">
        <f>(JC16/JD16)*100</f>
        <v>5.27913896329937</v>
      </c>
      <c r="JF16" s="20">
        <f>JF3</f>
        <v>3953792.638</v>
      </c>
      <c r="JG16" s="20">
        <f>JF13</f>
        <v>279434593</v>
      </c>
      <c r="JH16" s="38">
        <f>(JF16/JG16)*100</f>
        <v>1.41492597446587</v>
      </c>
      <c r="JI16" s="20">
        <f>JI3</f>
        <v>5729721.878</v>
      </c>
      <c r="JJ16" s="20">
        <f>JI13</f>
        <v>279434593</v>
      </c>
      <c r="JK16" s="38">
        <f>(JI16/JJ16)*100</f>
        <v>2.05046977773435</v>
      </c>
      <c r="JL16" s="20">
        <f>JL3</f>
        <v>-21725329.976</v>
      </c>
      <c r="JM16" s="20">
        <f>JL13</f>
        <v>279434593</v>
      </c>
      <c r="JN16" s="38">
        <f>(JL16/JM16)*100</f>
        <v>-7.77474604799557</v>
      </c>
      <c r="JO16" s="20">
        <f>JO3</f>
        <v>-2095476</v>
      </c>
      <c r="JP16" s="20">
        <f>JO13</f>
        <v>279434593</v>
      </c>
      <c r="JQ16" s="38">
        <f>(JO16/JP16)*100</f>
        <v>-0.749898563919035</v>
      </c>
    </row>
    <row r="17" spans="1:277">
      <c r="A17" s="2"/>
      <c r="B17" s="2"/>
      <c r="C17" s="2" t="s">
        <v>176</v>
      </c>
      <c r="D17" s="2"/>
      <c r="E17" s="20"/>
      <c r="F17" s="2"/>
      <c r="G17" s="38"/>
      <c r="H17" s="20"/>
      <c r="I17" s="2"/>
      <c r="J17" s="38"/>
      <c r="K17" s="20"/>
      <c r="L17" s="2"/>
      <c r="M17" s="38"/>
      <c r="N17" s="20"/>
      <c r="O17" s="2"/>
      <c r="P17" s="38"/>
      <c r="Q17" s="20"/>
      <c r="R17" s="2"/>
      <c r="S17" s="38"/>
      <c r="T17" s="20"/>
      <c r="U17" s="2"/>
      <c r="V17" s="38"/>
      <c r="W17" s="20"/>
      <c r="X17" s="2"/>
      <c r="Y17" s="38"/>
      <c r="Z17" s="20"/>
      <c r="AA17" s="2"/>
      <c r="AB17" s="38"/>
      <c r="AC17" s="20"/>
      <c r="AD17" s="2"/>
      <c r="AE17" s="38"/>
      <c r="AF17" s="20"/>
      <c r="AG17" s="2"/>
      <c r="AH17" s="38"/>
      <c r="AI17" s="20"/>
      <c r="AJ17" s="2"/>
      <c r="AK17" s="38"/>
      <c r="AL17" s="20"/>
      <c r="AM17" s="2"/>
      <c r="AN17" s="38"/>
      <c r="AO17" s="20"/>
      <c r="AP17" s="2"/>
      <c r="AQ17" s="38"/>
      <c r="AR17" s="20"/>
      <c r="AS17" s="2"/>
      <c r="AT17" s="38"/>
      <c r="AU17" s="20"/>
      <c r="AV17" s="2"/>
      <c r="AW17" s="38"/>
      <c r="AX17" s="20"/>
      <c r="AY17" s="2"/>
      <c r="AZ17" s="38"/>
      <c r="BA17" s="20"/>
      <c r="BB17" s="2"/>
      <c r="BC17" s="38"/>
      <c r="BD17" s="20"/>
      <c r="BE17" s="2"/>
      <c r="BF17" s="38"/>
      <c r="BG17" s="20"/>
      <c r="BH17" s="2"/>
      <c r="BI17" s="38"/>
      <c r="BJ17" s="20"/>
      <c r="BK17" s="2"/>
      <c r="BL17" s="38"/>
      <c r="BM17" s="20"/>
      <c r="BN17" s="2"/>
      <c r="BO17" s="38"/>
      <c r="BP17" s="20"/>
      <c r="BQ17" s="2"/>
      <c r="BR17" s="38"/>
      <c r="BS17" s="20"/>
      <c r="BT17" s="2"/>
      <c r="BU17" s="38"/>
      <c r="BV17" s="20"/>
      <c r="BW17" s="2"/>
      <c r="BX17" s="38"/>
      <c r="BY17" s="20"/>
      <c r="BZ17" s="2"/>
      <c r="CA17" s="38"/>
      <c r="CB17" s="20"/>
      <c r="CC17" s="2"/>
      <c r="CD17" s="38"/>
      <c r="CE17" s="20"/>
      <c r="CF17" s="2"/>
      <c r="CG17" s="38"/>
      <c r="CH17" s="20"/>
      <c r="CI17" s="2"/>
      <c r="CJ17" s="38"/>
      <c r="CK17" s="20"/>
      <c r="CL17" s="2"/>
      <c r="CM17" s="38"/>
      <c r="CN17" s="20"/>
      <c r="CO17" s="2"/>
      <c r="CP17" s="38"/>
      <c r="CQ17" s="20"/>
      <c r="CR17" s="2"/>
      <c r="CS17" s="38"/>
      <c r="CT17" s="20"/>
      <c r="CU17" s="2"/>
      <c r="CV17" s="38"/>
      <c r="CW17" s="20"/>
      <c r="CX17" s="2"/>
      <c r="CY17" s="38"/>
      <c r="CZ17" s="20"/>
      <c r="DA17" s="2"/>
      <c r="DB17" s="38"/>
      <c r="DC17" s="20"/>
      <c r="DD17" s="2"/>
      <c r="DE17" s="38"/>
      <c r="DF17" s="20"/>
      <c r="DG17" s="2"/>
      <c r="DH17" s="38"/>
      <c r="DI17" s="20"/>
      <c r="DJ17" s="2"/>
      <c r="DK17" s="38"/>
      <c r="DL17" s="20"/>
      <c r="DM17" s="2"/>
      <c r="DN17" s="38"/>
      <c r="DO17" s="20"/>
      <c r="DP17" s="2"/>
      <c r="DQ17" s="38"/>
      <c r="DR17" s="20"/>
      <c r="DS17" s="2"/>
      <c r="DT17" s="38"/>
      <c r="DU17" s="20"/>
      <c r="DV17" s="2"/>
      <c r="DW17" s="38"/>
      <c r="DX17" s="20"/>
      <c r="DY17" s="2"/>
      <c r="DZ17" s="38"/>
      <c r="EA17" s="20"/>
      <c r="EB17" s="2"/>
      <c r="EC17" s="38"/>
      <c r="ED17" s="20"/>
      <c r="EE17" s="2"/>
      <c r="EF17" s="38"/>
      <c r="EG17" s="20"/>
      <c r="EH17" s="2"/>
      <c r="EI17" s="38"/>
      <c r="EJ17" s="20"/>
      <c r="EK17" s="2"/>
      <c r="EL17" s="38"/>
      <c r="EM17" s="20"/>
      <c r="EN17" s="2"/>
      <c r="EO17" s="38"/>
      <c r="EP17" s="20"/>
      <c r="EQ17" s="2"/>
      <c r="ER17" s="38"/>
      <c r="ES17" s="20"/>
      <c r="ET17" s="2"/>
      <c r="EU17" s="38"/>
      <c r="EV17" s="20"/>
      <c r="EW17" s="2"/>
      <c r="EX17" s="38"/>
      <c r="EY17" s="20"/>
      <c r="EZ17" s="2"/>
      <c r="FA17" s="38"/>
      <c r="FB17" s="20"/>
      <c r="FC17" s="2"/>
      <c r="FD17" s="38"/>
      <c r="FE17" s="20"/>
      <c r="FF17" s="2"/>
      <c r="FG17" s="38"/>
      <c r="FH17" s="20"/>
      <c r="FI17" s="2"/>
      <c r="FJ17" s="38"/>
      <c r="FK17" s="20"/>
      <c r="FL17" s="2"/>
      <c r="FM17" s="38"/>
      <c r="FN17" s="20"/>
      <c r="FO17" s="2"/>
      <c r="FP17" s="38"/>
      <c r="FQ17" s="20"/>
      <c r="FR17" s="2"/>
      <c r="FS17" s="38"/>
      <c r="FT17" s="20"/>
      <c r="FU17" s="2"/>
      <c r="FV17" s="219"/>
      <c r="FW17" s="20"/>
      <c r="FX17" s="2"/>
      <c r="FY17" s="38"/>
      <c r="FZ17" s="20"/>
      <c r="GA17" s="2"/>
      <c r="GB17" s="38"/>
      <c r="GC17" s="20"/>
      <c r="GD17" s="2"/>
      <c r="GE17" s="38"/>
      <c r="GF17" s="20"/>
      <c r="GG17" s="2"/>
      <c r="GH17" s="38"/>
      <c r="GI17" s="20"/>
      <c r="GJ17" s="2"/>
      <c r="GK17" s="38"/>
      <c r="GL17" s="20"/>
      <c r="GM17" s="2"/>
      <c r="GN17" s="38"/>
      <c r="GO17" s="20"/>
      <c r="GP17" s="2"/>
      <c r="GQ17" s="38"/>
      <c r="GR17" s="20"/>
      <c r="GS17" s="2"/>
      <c r="GT17" s="38"/>
      <c r="GU17" s="20"/>
      <c r="GV17" s="2"/>
      <c r="GW17" s="38"/>
      <c r="GX17" s="20"/>
      <c r="GY17" s="2"/>
      <c r="GZ17" s="38"/>
      <c r="HA17" s="20"/>
      <c r="HB17" s="2"/>
      <c r="HC17" s="38"/>
      <c r="HD17" s="20"/>
      <c r="HE17" s="2"/>
      <c r="HF17" s="38"/>
      <c r="HG17" s="20"/>
      <c r="HH17" s="2"/>
      <c r="HI17" s="38"/>
      <c r="HJ17" s="20"/>
      <c r="HK17" s="2"/>
      <c r="HL17" s="38"/>
      <c r="HM17" s="20"/>
      <c r="HN17" s="2"/>
      <c r="HO17" s="38"/>
      <c r="HP17" s="20"/>
      <c r="HQ17" s="2"/>
      <c r="HR17" s="38"/>
      <c r="HS17" s="20"/>
      <c r="HT17" s="2"/>
      <c r="HU17" s="38"/>
      <c r="HV17" s="20"/>
      <c r="HW17" s="2"/>
      <c r="HX17" s="38"/>
      <c r="HY17" s="20"/>
      <c r="HZ17" s="2"/>
      <c r="IA17" s="38"/>
      <c r="IB17" s="20"/>
      <c r="IC17" s="2"/>
      <c r="ID17" s="38"/>
      <c r="IE17" s="20"/>
      <c r="IF17" s="2"/>
      <c r="IG17" s="38"/>
      <c r="IH17" s="20"/>
      <c r="II17" s="2"/>
      <c r="IJ17" s="38"/>
      <c r="IK17" s="20"/>
      <c r="IL17" s="2"/>
      <c r="IM17" s="38"/>
      <c r="IN17" s="20"/>
      <c r="IO17" s="2"/>
      <c r="IP17" s="38"/>
      <c r="IQ17" s="20"/>
      <c r="IR17" s="2"/>
      <c r="IS17" s="38"/>
      <c r="IT17" s="20"/>
      <c r="IU17" s="2"/>
      <c r="IV17" s="38"/>
      <c r="IW17" s="20"/>
      <c r="IX17" s="2"/>
      <c r="IY17" s="38"/>
      <c r="IZ17" s="20"/>
      <c r="JA17" s="2"/>
      <c r="JB17" s="38"/>
      <c r="JC17" s="20"/>
      <c r="JD17" s="2"/>
      <c r="JE17" s="38"/>
      <c r="JF17" s="20"/>
      <c r="JG17" s="2"/>
      <c r="JH17" s="38"/>
      <c r="JI17" s="20"/>
      <c r="JJ17" s="2"/>
      <c r="JK17" s="38"/>
      <c r="JL17" s="20"/>
      <c r="JM17" s="2"/>
      <c r="JN17" s="38"/>
      <c r="JO17" s="20"/>
      <c r="JP17" s="2"/>
      <c r="JQ17" s="38"/>
    </row>
    <row r="18" spans="1:277">
      <c r="A18" s="2"/>
      <c r="D18" s="2"/>
      <c r="E18" s="20"/>
      <c r="F18" s="20"/>
      <c r="G18" s="80"/>
      <c r="H18" s="20"/>
      <c r="I18" s="20"/>
      <c r="J18" s="80"/>
      <c r="K18" s="20"/>
      <c r="L18" s="20"/>
      <c r="M18" s="80"/>
      <c r="N18" s="20"/>
      <c r="O18" s="20"/>
      <c r="P18" s="80"/>
      <c r="Q18" s="20"/>
      <c r="R18" s="20"/>
      <c r="S18" s="80"/>
      <c r="T18" s="20"/>
      <c r="U18" s="20"/>
      <c r="V18" s="80"/>
      <c r="W18" s="20"/>
      <c r="X18" s="20"/>
      <c r="Y18" s="80"/>
      <c r="Z18" s="20"/>
      <c r="AA18" s="20"/>
      <c r="AB18" s="80"/>
      <c r="AC18" s="20"/>
      <c r="AD18" s="20"/>
      <c r="AE18" s="80"/>
      <c r="AF18" s="20"/>
      <c r="AG18" s="20"/>
      <c r="AH18" s="80"/>
      <c r="AI18" s="20"/>
      <c r="AJ18" s="20"/>
      <c r="AK18" s="80"/>
      <c r="AL18" s="20"/>
      <c r="AM18" s="20"/>
      <c r="AN18" s="80"/>
      <c r="AO18" s="20"/>
      <c r="AP18" s="20"/>
      <c r="AQ18" s="80"/>
      <c r="AR18" s="20"/>
      <c r="AS18" s="20"/>
      <c r="AT18" s="80"/>
      <c r="AU18" s="20"/>
      <c r="AV18" s="20"/>
      <c r="AW18" s="80"/>
      <c r="AX18" s="20"/>
      <c r="AY18" s="20"/>
      <c r="AZ18" s="80"/>
      <c r="BA18" s="20"/>
      <c r="BB18" s="20"/>
      <c r="BC18" s="80"/>
      <c r="BD18" s="20"/>
      <c r="BE18" s="20"/>
      <c r="BF18" s="80"/>
      <c r="BG18" s="20"/>
      <c r="BH18" s="20"/>
      <c r="BI18" s="80"/>
      <c r="BJ18" s="20"/>
      <c r="BK18" s="20"/>
      <c r="BL18" s="80"/>
      <c r="BM18" s="20"/>
      <c r="BN18" s="20"/>
      <c r="BO18" s="80"/>
      <c r="BP18" s="20"/>
      <c r="BQ18" s="20"/>
      <c r="BR18" s="80"/>
      <c r="BS18" s="20"/>
      <c r="BT18" s="20"/>
      <c r="BU18" s="80"/>
      <c r="BV18" s="20"/>
      <c r="BW18" s="20"/>
      <c r="BX18" s="80"/>
      <c r="BY18" s="20"/>
      <c r="BZ18" s="20"/>
      <c r="CA18" s="80"/>
      <c r="CB18" s="20"/>
      <c r="CC18" s="20"/>
      <c r="CD18" s="80"/>
      <c r="CE18" s="20"/>
      <c r="CF18" s="20"/>
      <c r="CG18" s="80"/>
      <c r="CH18" s="20"/>
      <c r="CI18" s="20"/>
      <c r="CJ18" s="80"/>
      <c r="CK18" s="20"/>
      <c r="CL18" s="20"/>
      <c r="CM18" s="80"/>
      <c r="CN18" s="20"/>
      <c r="CO18" s="20"/>
      <c r="CP18" s="80"/>
      <c r="CQ18" s="20"/>
      <c r="CR18" s="20"/>
      <c r="CS18" s="80"/>
      <c r="CT18" s="20"/>
      <c r="CU18" s="20"/>
      <c r="CV18" s="80"/>
      <c r="CW18" s="20"/>
      <c r="CX18" s="52" t="s">
        <v>446</v>
      </c>
      <c r="CY18" s="80"/>
      <c r="CZ18" s="20"/>
      <c r="DA18" s="52" t="s">
        <v>446</v>
      </c>
      <c r="DB18" s="80"/>
      <c r="DC18" s="20"/>
      <c r="DD18" s="52"/>
      <c r="DE18" s="80"/>
      <c r="DF18" s="20"/>
      <c r="DG18" s="52"/>
      <c r="DH18" s="80"/>
      <c r="DI18" s="20"/>
      <c r="DJ18" s="52"/>
      <c r="DK18" s="80"/>
      <c r="DL18" s="20"/>
      <c r="DM18" s="52"/>
      <c r="DN18" s="80"/>
      <c r="DO18" s="20"/>
      <c r="DP18" s="52"/>
      <c r="DQ18" s="80"/>
      <c r="DR18" s="20"/>
      <c r="DS18" s="52"/>
      <c r="DT18" s="80"/>
      <c r="DU18" s="20"/>
      <c r="DV18" s="52"/>
      <c r="DW18" s="80"/>
      <c r="DX18" s="20"/>
      <c r="DY18" s="52"/>
      <c r="DZ18" s="80"/>
      <c r="EA18" s="20"/>
      <c r="EB18" s="52"/>
      <c r="EC18" s="80"/>
      <c r="ED18" s="20"/>
      <c r="EE18" s="52"/>
      <c r="EF18" s="80"/>
      <c r="EG18" s="20"/>
      <c r="EH18" s="52"/>
      <c r="EI18" s="80"/>
      <c r="EJ18" s="20"/>
      <c r="EK18" s="52"/>
      <c r="EL18" s="80"/>
      <c r="EM18" s="20"/>
      <c r="EN18" s="52"/>
      <c r="EO18" s="80"/>
      <c r="EP18" s="20"/>
      <c r="EQ18" s="52"/>
      <c r="ER18" s="80"/>
      <c r="ES18" s="20"/>
      <c r="ET18" s="52"/>
      <c r="EU18" s="80"/>
      <c r="EV18" s="20"/>
      <c r="EW18" s="52"/>
      <c r="EX18" s="80"/>
      <c r="EY18" s="20"/>
      <c r="EZ18" s="52"/>
      <c r="FA18" s="300" t="s">
        <v>446</v>
      </c>
      <c r="FB18" s="20"/>
      <c r="FC18" s="52"/>
      <c r="FD18" s="264"/>
      <c r="FE18" s="20"/>
      <c r="FF18" s="52"/>
      <c r="FG18" s="264"/>
      <c r="FH18" s="20"/>
      <c r="FI18" s="52"/>
      <c r="FJ18" s="264"/>
      <c r="FK18" s="20"/>
      <c r="FL18" s="52"/>
      <c r="FM18" s="264"/>
      <c r="FN18" s="20"/>
      <c r="FO18" s="52"/>
      <c r="FP18" s="264"/>
      <c r="FQ18" s="20"/>
      <c r="FR18" s="52"/>
      <c r="FS18" s="264"/>
      <c r="FT18" s="293" t="s">
        <v>289</v>
      </c>
      <c r="FU18" s="293"/>
      <c r="FV18" s="264"/>
      <c r="FW18" s="293"/>
      <c r="FX18" s="293"/>
      <c r="FY18" s="264"/>
      <c r="FZ18" s="293"/>
      <c r="GA18" s="293"/>
      <c r="GB18" s="264"/>
      <c r="GC18" s="293"/>
      <c r="GD18" s="293"/>
      <c r="GE18" s="264"/>
      <c r="GF18" s="293"/>
      <c r="GG18" s="293"/>
      <c r="GH18" s="264"/>
      <c r="GI18" s="293"/>
      <c r="GJ18" s="293"/>
      <c r="GK18" s="264"/>
      <c r="GL18" s="293"/>
      <c r="GM18" s="293"/>
      <c r="GN18" s="264"/>
      <c r="GO18" s="293"/>
      <c r="GP18" s="293"/>
      <c r="GQ18" s="264"/>
      <c r="GR18" s="293"/>
      <c r="GS18" s="293"/>
      <c r="GT18" s="264"/>
      <c r="GU18" s="293"/>
      <c r="GV18" s="293"/>
      <c r="GW18" s="264"/>
      <c r="GX18" s="293"/>
      <c r="GY18" s="293"/>
      <c r="GZ18" s="264"/>
      <c r="HA18" s="293"/>
      <c r="HB18" s="293"/>
      <c r="HC18" s="264"/>
      <c r="HD18" s="293"/>
      <c r="HE18" s="293"/>
      <c r="HF18" s="264"/>
      <c r="HG18" s="293"/>
      <c r="HH18" s="293"/>
      <c r="HI18" s="264"/>
      <c r="HJ18" s="293"/>
      <c r="HK18" s="293"/>
      <c r="HL18" s="264"/>
      <c r="HM18" s="293"/>
      <c r="HN18" s="293"/>
      <c r="HO18" s="264"/>
      <c r="HP18" s="293"/>
      <c r="HQ18" s="293"/>
      <c r="HR18" s="264"/>
      <c r="HS18" s="293"/>
      <c r="HT18" s="293"/>
      <c r="HU18" s="264"/>
      <c r="HV18" s="293"/>
      <c r="HW18" s="293"/>
      <c r="HX18" s="264"/>
      <c r="HY18" s="293"/>
      <c r="HZ18" s="293"/>
      <c r="IA18" s="264"/>
      <c r="IB18" s="293"/>
      <c r="IC18" s="293"/>
      <c r="ID18" s="264"/>
      <c r="IE18" s="293"/>
      <c r="IF18" s="293"/>
      <c r="IG18" s="264"/>
      <c r="IH18" s="293"/>
      <c r="II18" s="293"/>
      <c r="IJ18" s="264"/>
      <c r="IK18" s="293"/>
      <c r="IL18" s="293"/>
      <c r="IM18" s="264"/>
      <c r="IN18" s="293"/>
      <c r="IO18" s="293"/>
      <c r="IP18" s="264"/>
      <c r="IQ18" s="293"/>
      <c r="IR18" s="293"/>
      <c r="IS18" s="264"/>
      <c r="IT18" s="293"/>
      <c r="IU18" s="293"/>
      <c r="IV18" s="264"/>
      <c r="IW18" s="293"/>
      <c r="IX18" s="293"/>
      <c r="IY18" s="264"/>
      <c r="IZ18" s="293"/>
      <c r="JA18" s="293"/>
      <c r="JB18" s="264"/>
      <c r="JC18" s="293"/>
      <c r="JD18" s="293"/>
      <c r="JE18" s="264"/>
      <c r="JF18" s="293"/>
      <c r="JG18" s="293"/>
      <c r="JH18" s="264"/>
      <c r="JI18" s="293"/>
      <c r="JJ18" s="293"/>
      <c r="JK18" s="264"/>
      <c r="JL18" s="293"/>
      <c r="JM18" s="293"/>
      <c r="JN18" s="264"/>
      <c r="JO18" s="293"/>
      <c r="JP18" s="293"/>
      <c r="JQ18" s="264"/>
    </row>
    <row r="19" spans="1:277">
      <c r="A19" s="2">
        <v>6</v>
      </c>
      <c r="B19" s="2" t="s">
        <v>180</v>
      </c>
      <c r="C19" s="37" t="s">
        <v>176</v>
      </c>
      <c r="D19" s="2" t="s">
        <v>181</v>
      </c>
      <c r="E19" s="20">
        <f>E13</f>
        <v>11295161920</v>
      </c>
      <c r="F19" s="20">
        <f>F3</f>
        <v>87823960</v>
      </c>
      <c r="G19" s="38">
        <f>E19/F19</f>
        <v>128.611393974947</v>
      </c>
      <c r="H19" s="20">
        <f>H13</f>
        <v>9909112999</v>
      </c>
      <c r="I19" s="20">
        <f>I3</f>
        <v>211800000</v>
      </c>
      <c r="J19" s="38">
        <f>H19/I19</f>
        <v>46.7852360670444</v>
      </c>
      <c r="K19" s="20">
        <f>K13</f>
        <v>7077335000</v>
      </c>
      <c r="L19" s="20">
        <f>L3</f>
        <v>34090650</v>
      </c>
      <c r="M19" s="38">
        <f>K19/L19</f>
        <v>207.603404452541</v>
      </c>
      <c r="N19" s="20">
        <f>N13</f>
        <v>6881183848</v>
      </c>
      <c r="O19" s="20">
        <f>O3</f>
        <v>37800000</v>
      </c>
      <c r="P19" s="38">
        <f>N19/O19</f>
        <v>182.041900740741</v>
      </c>
      <c r="Q19" s="20">
        <f>Q13</f>
        <v>6461246873</v>
      </c>
      <c r="R19" s="20">
        <f>R3</f>
        <v>37379937</v>
      </c>
      <c r="S19" s="38">
        <f>Q19/R19</f>
        <v>172.853337687541</v>
      </c>
      <c r="T19" s="20">
        <f>T13</f>
        <v>2321437410</v>
      </c>
      <c r="U19" s="20">
        <f>U3</f>
        <v>22050000</v>
      </c>
      <c r="V19" s="38">
        <f>T19/U19</f>
        <v>105.280608163265</v>
      </c>
      <c r="W19" s="20">
        <f>W13</f>
        <v>2321437410</v>
      </c>
      <c r="X19" s="20">
        <f>X3</f>
        <v>68421000</v>
      </c>
      <c r="Y19" s="38">
        <f>W19/X19</f>
        <v>33.9287267067129</v>
      </c>
      <c r="Z19" s="20">
        <f>Z13</f>
        <v>2321437410</v>
      </c>
      <c r="AA19" s="20">
        <f>AA3</f>
        <v>60000000</v>
      </c>
      <c r="AB19" s="38">
        <f>Z19/AA19</f>
        <v>38.6906235</v>
      </c>
      <c r="AC19" s="20">
        <f>AC13</f>
        <v>6674455407</v>
      </c>
      <c r="AD19" s="20">
        <f>AD3</f>
        <v>60759278</v>
      </c>
      <c r="AE19" s="38">
        <f>AC19/AD19</f>
        <v>109.85080183145</v>
      </c>
      <c r="AF19" s="20">
        <f>AF13</f>
        <v>3471390152</v>
      </c>
      <c r="AG19" s="20">
        <f>AG3</f>
        <v>33325000</v>
      </c>
      <c r="AH19" s="38">
        <f>AF19/AG19</f>
        <v>104.167746496624</v>
      </c>
      <c r="AI19" s="20">
        <f>AI13</f>
        <v>3850293298</v>
      </c>
      <c r="AJ19" s="20">
        <f>AJ3</f>
        <v>34375000</v>
      </c>
      <c r="AK19" s="38">
        <f>AI19/AJ19</f>
        <v>112.008532305455</v>
      </c>
      <c r="AL19" s="20">
        <f>AL13</f>
        <v>3850293298</v>
      </c>
      <c r="AM19" s="20">
        <f>AM3</f>
        <v>32000000</v>
      </c>
      <c r="AN19" s="38">
        <f>AL19/AM19</f>
        <v>120.3216655625</v>
      </c>
      <c r="AO19" s="20">
        <f>AO13</f>
        <v>3796642117</v>
      </c>
      <c r="AP19" s="20">
        <f>AP3</f>
        <v>26027157</v>
      </c>
      <c r="AQ19" s="38">
        <f>AO19/AP19</f>
        <v>145.872333155711</v>
      </c>
      <c r="AR19" s="20">
        <f>AR13</f>
        <v>2162737997</v>
      </c>
      <c r="AS19" s="20">
        <f>AS3</f>
        <v>18389793</v>
      </c>
      <c r="AT19" s="38">
        <f>AR19/AS19</f>
        <v>117.60534754252</v>
      </c>
      <c r="AU19" s="20">
        <f>AU13</f>
        <v>2162737997</v>
      </c>
      <c r="AV19" s="20">
        <f>AV3</f>
        <v>37025584</v>
      </c>
      <c r="AW19" s="38">
        <f>AU19/AV19</f>
        <v>58.4119887751129</v>
      </c>
      <c r="AX19" s="20">
        <f>AX13</f>
        <v>1992306837</v>
      </c>
      <c r="AY19" s="20">
        <f>AY3</f>
        <v>13636370</v>
      </c>
      <c r="AZ19" s="38">
        <f>AX19/AY19</f>
        <v>146.102433198865</v>
      </c>
      <c r="BA19" s="20">
        <f>BA13</f>
        <v>1992306837</v>
      </c>
      <c r="BB19" s="20">
        <f>BB3</f>
        <v>36500000</v>
      </c>
      <c r="BC19" s="38">
        <f>BA19/BB19</f>
        <v>54.5837489589041</v>
      </c>
      <c r="BD19" s="20">
        <f>BD13</f>
        <v>1992306837</v>
      </c>
      <c r="BE19" s="20">
        <f>BE3</f>
        <v>19125000</v>
      </c>
      <c r="BF19" s="38">
        <f>BD19/BE19</f>
        <v>104.172906509804</v>
      </c>
      <c r="BG19" s="20">
        <f>BG13</f>
        <v>4215884164</v>
      </c>
      <c r="BH19" s="20">
        <f>BH3</f>
        <v>38480030</v>
      </c>
      <c r="BI19" s="38">
        <f>BG19/BH19</f>
        <v>109.560313856304</v>
      </c>
      <c r="BJ19" s="20">
        <f>BJ13</f>
        <v>4215884164</v>
      </c>
      <c r="BK19" s="20">
        <f>BK3</f>
        <v>38959421</v>
      </c>
      <c r="BL19" s="38">
        <f>BJ19/BK19</f>
        <v>108.212187342312</v>
      </c>
      <c r="BM19" s="20">
        <f>BM13</f>
        <v>2532722344</v>
      </c>
      <c r="BN19" s="20">
        <f>BN3</f>
        <v>22799299</v>
      </c>
      <c r="BO19" s="38">
        <f>BM19/BN19</f>
        <v>111.087728793767</v>
      </c>
      <c r="BP19" s="20">
        <f>BP13</f>
        <v>2532722344</v>
      </c>
      <c r="BQ19" s="20">
        <f>BQ3</f>
        <v>29000</v>
      </c>
      <c r="BR19" s="38">
        <f>BP19/BQ19</f>
        <v>87335.2532413793</v>
      </c>
      <c r="BS19" s="20">
        <f>BS13</f>
        <v>2532722344</v>
      </c>
      <c r="BT19" s="20">
        <f>BT3</f>
        <v>17891627</v>
      </c>
      <c r="BU19" s="38">
        <f>BS19/BT19</f>
        <v>141.559084816602</v>
      </c>
      <c r="BV19" s="20">
        <f>BV13</f>
        <v>3160635582</v>
      </c>
      <c r="BW19" s="20">
        <f>BW3</f>
        <v>29000000</v>
      </c>
      <c r="BX19" s="38">
        <f>BV19/BW19</f>
        <v>108.987433862069</v>
      </c>
      <c r="BY19" s="20">
        <f>BY13</f>
        <v>3160635582</v>
      </c>
      <c r="BZ19" s="20">
        <f>BZ3</f>
        <v>36559400</v>
      </c>
      <c r="CA19" s="38">
        <f>BY19/BZ19</f>
        <v>86.4520638194281</v>
      </c>
      <c r="CB19" s="20">
        <f>CB13</f>
        <v>1005463472</v>
      </c>
      <c r="CC19" s="20">
        <f>CC3</f>
        <v>8500000</v>
      </c>
      <c r="CD19" s="38">
        <f>CB19/CC19</f>
        <v>118.289820235294</v>
      </c>
      <c r="CE19" s="20">
        <f>CE13</f>
        <v>1005463472</v>
      </c>
      <c r="CF19" s="20">
        <f>CF3</f>
        <v>15000000</v>
      </c>
      <c r="CG19" s="38">
        <f>CE19/CF19</f>
        <v>67.0308981333333</v>
      </c>
      <c r="CH19" s="20">
        <f>CH13</f>
        <v>1332071</v>
      </c>
      <c r="CI19" s="20">
        <f>CI3</f>
        <v>12305</v>
      </c>
      <c r="CJ19" s="38">
        <f>CH19/CI19</f>
        <v>108.254449410809</v>
      </c>
      <c r="CK19" s="20">
        <f>CK13</f>
        <v>854311288</v>
      </c>
      <c r="CL19" s="20">
        <f>CL3</f>
        <v>7484000</v>
      </c>
      <c r="CM19" s="38">
        <f>CK19/CL19</f>
        <v>114.15169535008</v>
      </c>
      <c r="CN19" s="20">
        <f>CN13</f>
        <v>692201177</v>
      </c>
      <c r="CO19" s="20">
        <f>CO3</f>
        <v>5949473</v>
      </c>
      <c r="CP19" s="38">
        <f>CN19/CO19</f>
        <v>116.346637256779</v>
      </c>
      <c r="CQ19" s="20">
        <f>CQ13</f>
        <v>692201177</v>
      </c>
      <c r="CR19" s="20">
        <f>CR3</f>
        <v>10542604</v>
      </c>
      <c r="CS19" s="38">
        <f>CQ19/CR19</f>
        <v>65.6575146899191</v>
      </c>
      <c r="CT19" s="20">
        <f>CT13</f>
        <v>1218549363</v>
      </c>
      <c r="CU19" s="20">
        <f>CU3</f>
        <v>15930000</v>
      </c>
      <c r="CV19" s="38">
        <f>CT19/CU19</f>
        <v>76.4939964218456</v>
      </c>
      <c r="CW19" s="20">
        <f>CW13</f>
        <v>1258391642</v>
      </c>
      <c r="CX19" s="20">
        <f>CX3</f>
        <v>11732000</v>
      </c>
      <c r="CY19" s="38">
        <f>CW19/CX19</f>
        <v>107.261476474599</v>
      </c>
      <c r="CZ19" s="20">
        <f>CZ13</f>
        <v>920243202</v>
      </c>
      <c r="DA19" s="20">
        <f>DA3</f>
        <v>10000000</v>
      </c>
      <c r="DB19" s="38">
        <f>CZ19/DA19</f>
        <v>92.0243202</v>
      </c>
      <c r="DC19" s="20">
        <f>DC13</f>
        <v>920243202</v>
      </c>
      <c r="DD19" s="20">
        <f>DD3</f>
        <v>23233518</v>
      </c>
      <c r="DE19" s="38">
        <f>DC19/DD19</f>
        <v>39.6084313189247</v>
      </c>
      <c r="DF19" s="20">
        <f>DF13</f>
        <v>1397794822</v>
      </c>
      <c r="DG19" s="20">
        <f>DG3</f>
        <v>13500000</v>
      </c>
      <c r="DH19" s="38">
        <f>DF19/DG19</f>
        <v>103.540357185185</v>
      </c>
      <c r="DI19" s="20">
        <f>DI13</f>
        <v>1397794822</v>
      </c>
      <c r="DJ19" s="20">
        <f>DJ3</f>
        <v>28000000</v>
      </c>
      <c r="DK19" s="38">
        <f>DI19/DJ19</f>
        <v>49.9212436428571</v>
      </c>
      <c r="DL19" s="20">
        <f>DL13</f>
        <v>1244470115</v>
      </c>
      <c r="DM19" s="20">
        <f>DM3</f>
        <v>11298000</v>
      </c>
      <c r="DN19" s="38">
        <f>DL19/DM19</f>
        <v>110.14959417596</v>
      </c>
      <c r="DO19" s="20">
        <f>DO13</f>
        <v>1222184231</v>
      </c>
      <c r="DP19" s="20">
        <f>DP3</f>
        <v>10654170</v>
      </c>
      <c r="DQ19" s="38">
        <f>DO19/DP19</f>
        <v>114.714166471907</v>
      </c>
      <c r="DR19" s="20">
        <f>DR13</f>
        <v>1222184231</v>
      </c>
      <c r="DS19" s="20">
        <f>DS3</f>
        <v>24671629</v>
      </c>
      <c r="DT19" s="38">
        <f>DR19/DS19</f>
        <v>49.538043515489</v>
      </c>
      <c r="DU19" s="20">
        <f>DU13</f>
        <v>1053848028</v>
      </c>
      <c r="DV19" s="20">
        <f>DV3</f>
        <v>9339495</v>
      </c>
      <c r="DW19" s="38">
        <f>DU19/DV19</f>
        <v>112.83779561957</v>
      </c>
      <c r="DX19" s="20">
        <f>DX13</f>
        <v>1053848028</v>
      </c>
      <c r="DY19" s="20">
        <f>DY3</f>
        <v>19800000</v>
      </c>
      <c r="DZ19" s="38">
        <f>DX19/DY19</f>
        <v>53.2246478787879</v>
      </c>
      <c r="EA19" s="20">
        <f>EA13</f>
        <v>1379106236</v>
      </c>
      <c r="EB19" s="20">
        <f>EB3</f>
        <v>12098625</v>
      </c>
      <c r="EC19" s="38">
        <f>EA19/EB19</f>
        <v>113.988675242021</v>
      </c>
      <c r="ED19" s="20">
        <f>ED13</f>
        <v>1379106236</v>
      </c>
      <c r="EE19" s="20">
        <f>EE3</f>
        <v>22500000</v>
      </c>
      <c r="EF19" s="38">
        <f>ED19/EE19</f>
        <v>61.2936104888889</v>
      </c>
      <c r="EG19" s="20">
        <f>EG13</f>
        <v>1379106236</v>
      </c>
      <c r="EH19" s="20">
        <f>EH3</f>
        <v>5358150</v>
      </c>
      <c r="EI19" s="38">
        <f>EG19/EH19</f>
        <v>257.384775715499</v>
      </c>
      <c r="EJ19" s="20">
        <f>EJ13</f>
        <v>1379106236</v>
      </c>
      <c r="EK19" s="20">
        <f>EK3</f>
        <v>18000000</v>
      </c>
      <c r="EL19" s="38">
        <f>EJ19/EK19</f>
        <v>76.6170131111111</v>
      </c>
      <c r="EM19" s="20">
        <f>EM13</f>
        <v>801854904</v>
      </c>
      <c r="EN19" s="20">
        <f>EN3</f>
        <v>7600000</v>
      </c>
      <c r="EO19" s="38">
        <f>EM19/EN19</f>
        <v>105.507224210526</v>
      </c>
      <c r="EP19" s="20">
        <f>EP13</f>
        <v>639591938</v>
      </c>
      <c r="EQ19" s="20">
        <f>EQ3</f>
        <v>5350000</v>
      </c>
      <c r="ER19" s="38">
        <f>EP19/EQ19</f>
        <v>119.549894953271</v>
      </c>
      <c r="ES19" s="20">
        <f>ES13</f>
        <v>801854904</v>
      </c>
      <c r="ET19" s="20">
        <f>ET3</f>
        <v>7000000</v>
      </c>
      <c r="EU19" s="38">
        <f>ES19/ET19</f>
        <v>114.550700571429</v>
      </c>
      <c r="EV19" s="20">
        <f>EV13</f>
        <v>853660070</v>
      </c>
      <c r="EW19" s="20">
        <f>EW3</f>
        <v>10950000</v>
      </c>
      <c r="EX19" s="38">
        <f>EV19/EW19</f>
        <v>77.9598237442922</v>
      </c>
      <c r="EY19" s="20">
        <f>EY13</f>
        <v>1800815548</v>
      </c>
      <c r="EZ19" s="20">
        <f>EZ3</f>
        <v>20000000</v>
      </c>
      <c r="FA19" s="38">
        <f>EY19/EZ19</f>
        <v>90.0407774</v>
      </c>
      <c r="FB19" s="20">
        <f>FB13</f>
        <v>1800815548</v>
      </c>
      <c r="FC19" s="20">
        <f>FC3</f>
        <v>16500000</v>
      </c>
      <c r="FD19" s="38">
        <f>FB19/FC19</f>
        <v>109.140336242424</v>
      </c>
      <c r="FE19" s="20">
        <f>FE13</f>
        <v>1800815548</v>
      </c>
      <c r="FF19" s="20">
        <f>FF3</f>
        <v>10000</v>
      </c>
      <c r="FG19" s="38">
        <f>FE19/FF19</f>
        <v>180081.5548</v>
      </c>
      <c r="FH19" s="20">
        <f>FH13</f>
        <v>741304032</v>
      </c>
      <c r="FI19" s="20">
        <f>FI3</f>
        <v>6127938</v>
      </c>
      <c r="FJ19" s="38">
        <f>FH19/FI19</f>
        <v>120.971203037629</v>
      </c>
      <c r="FK19" s="20">
        <f>FK13</f>
        <v>741304032</v>
      </c>
      <c r="FL19" s="20">
        <f>FL3</f>
        <v>11000000</v>
      </c>
      <c r="FM19" s="38">
        <f>FK19/FL19</f>
        <v>67.3912756363636</v>
      </c>
      <c r="FN19" s="20">
        <f>FN13</f>
        <v>741304032</v>
      </c>
      <c r="FO19" s="20">
        <f>FO3</f>
        <v>5673222</v>
      </c>
      <c r="FP19" s="38">
        <f>FN19/FO19</f>
        <v>130.667199697103</v>
      </c>
      <c r="FQ19" s="20">
        <f>FQ13</f>
        <v>689683890</v>
      </c>
      <c r="FR19" s="20">
        <f>FR3</f>
        <v>6467671</v>
      </c>
      <c r="FS19" s="38">
        <f>FQ19/FR19</f>
        <v>106.635586442168</v>
      </c>
      <c r="FT19" s="20">
        <f>FT13</f>
        <v>620082000</v>
      </c>
      <c r="FU19" s="20">
        <f>FU3</f>
        <v>6326000</v>
      </c>
      <c r="FV19" s="38">
        <f>FT19/FU19</f>
        <v>98.0211824217515</v>
      </c>
      <c r="FW19" s="20">
        <f>FW13</f>
        <v>620082000</v>
      </c>
      <c r="FX19" s="20">
        <f>FX3</f>
        <v>5440534</v>
      </c>
      <c r="FY19" s="38">
        <f>FW19/FX19</f>
        <v>113.974473829223</v>
      </c>
      <c r="FZ19" s="20">
        <f>FZ13</f>
        <v>620082000</v>
      </c>
      <c r="GA19" s="20">
        <f>GA3</f>
        <v>14764000</v>
      </c>
      <c r="GB19" s="38">
        <f>FZ19/GA19</f>
        <v>41.9995936060688</v>
      </c>
      <c r="GC19" s="20">
        <f>GC13</f>
        <v>645418543</v>
      </c>
      <c r="GD19" s="20">
        <f>GD3</f>
        <v>8025000</v>
      </c>
      <c r="GE19" s="38">
        <f>GC19/GD19</f>
        <v>80.4259866666667</v>
      </c>
      <c r="GF19" s="20">
        <f>GF13</f>
        <v>645418543</v>
      </c>
      <c r="GG19" s="20">
        <f>GG3</f>
        <v>3921568</v>
      </c>
      <c r="GH19" s="38">
        <f>GF19/GG19</f>
        <v>164.581754798081</v>
      </c>
      <c r="GI19" s="20">
        <f>GI13</f>
        <v>645418543</v>
      </c>
      <c r="GJ19" s="20">
        <f>GJ3</f>
        <v>6200000</v>
      </c>
      <c r="GK19" s="38">
        <f>GI19/GJ19</f>
        <v>104.099765</v>
      </c>
      <c r="GL19" s="20">
        <f>GL13</f>
        <v>645418543</v>
      </c>
      <c r="GM19" s="20">
        <f>GM3</f>
        <v>9625000</v>
      </c>
      <c r="GN19" s="38">
        <f>GL19/GM19</f>
        <v>67.056472</v>
      </c>
      <c r="GO19" s="20">
        <f>GO13</f>
        <v>645418543</v>
      </c>
      <c r="GP19" s="20">
        <f>GP3</f>
        <v>9625000</v>
      </c>
      <c r="GQ19" s="38">
        <f>GO19/GP19</f>
        <v>67.056472</v>
      </c>
      <c r="GR19" s="20">
        <f>GR13</f>
        <v>645418543</v>
      </c>
      <c r="GS19" s="20">
        <f>GS3</f>
        <v>6000000</v>
      </c>
      <c r="GT19" s="38">
        <f>GR19/GS19</f>
        <v>107.569757166667</v>
      </c>
      <c r="GU19" s="20">
        <f>GU13</f>
        <v>645418543</v>
      </c>
      <c r="GV19" s="20">
        <f>GV3</f>
        <v>4925000</v>
      </c>
      <c r="GW19" s="38">
        <f>GU19/GV19</f>
        <v>131.04945035533</v>
      </c>
      <c r="GX19" s="20">
        <f>GX13</f>
        <v>645418543</v>
      </c>
      <c r="GY19" s="20">
        <f>GY3</f>
        <v>12500000</v>
      </c>
      <c r="GZ19" s="38">
        <f>GX19/GY19</f>
        <v>51.63348344</v>
      </c>
      <c r="HA19" s="20">
        <f>HA13</f>
        <v>245183190</v>
      </c>
      <c r="HB19" s="20">
        <f>HB3</f>
        <v>4000000</v>
      </c>
      <c r="HC19" s="38">
        <f>HA19/HB19</f>
        <v>61.2957975</v>
      </c>
      <c r="HD19" s="20">
        <f>HD13</f>
        <v>245183190</v>
      </c>
      <c r="HE19" s="20">
        <f>HE3</f>
        <v>5364860</v>
      </c>
      <c r="HF19" s="38">
        <f>HD19/HE19</f>
        <v>45.7016939864228</v>
      </c>
      <c r="HG19" s="20">
        <f>HG13</f>
        <v>752403522</v>
      </c>
      <c r="HH19" s="20">
        <f>HH3</f>
        <v>7500000</v>
      </c>
      <c r="HI19" s="38">
        <f>HG19/HH19</f>
        <v>100.3204696</v>
      </c>
      <c r="HJ19" s="20">
        <f>HJ13</f>
        <v>752403522</v>
      </c>
      <c r="HK19" s="20">
        <f>HK3</f>
        <v>5425833</v>
      </c>
      <c r="HL19" s="38">
        <f>HJ19/HK19</f>
        <v>138.670600809129</v>
      </c>
      <c r="HM19" s="20">
        <f>HM13</f>
        <v>508965708</v>
      </c>
      <c r="HN19" s="20">
        <f>HN3</f>
        <v>4431000</v>
      </c>
      <c r="HO19" s="38">
        <f>HM19/HN19</f>
        <v>114.864750169262</v>
      </c>
      <c r="HP19" s="20">
        <f>HP13</f>
        <v>555710604</v>
      </c>
      <c r="HQ19" s="20">
        <f>HQ3</f>
        <v>5000000</v>
      </c>
      <c r="HR19" s="38">
        <f>HP19/HQ19</f>
        <v>111.1421208</v>
      </c>
      <c r="HS19" s="20">
        <f>HS13</f>
        <v>555710604</v>
      </c>
      <c r="HT19" s="20">
        <f>HT3</f>
        <v>4000000</v>
      </c>
      <c r="HU19" s="38">
        <f>HS19/HT19</f>
        <v>138.927651</v>
      </c>
      <c r="HV19" s="20">
        <f>HV13</f>
        <v>555710604</v>
      </c>
      <c r="HW19" s="20">
        <f>HW3</f>
        <v>4657143</v>
      </c>
      <c r="HX19" s="38">
        <f>HV19/HW19</f>
        <v>119.324359161829</v>
      </c>
      <c r="HY19" s="20">
        <f>HY13</f>
        <v>469114000</v>
      </c>
      <c r="HZ19" s="20">
        <f>HZ3</f>
        <v>3881970</v>
      </c>
      <c r="IA19" s="38">
        <f>HY19/HZ19</f>
        <v>120.844313583052</v>
      </c>
      <c r="IB19" s="20">
        <f>IB13</f>
        <v>184948055</v>
      </c>
      <c r="IC19" s="20">
        <f>IC3</f>
        <v>1340542</v>
      </c>
      <c r="ID19" s="38">
        <f>IB19/IC19</f>
        <v>137.965132759735</v>
      </c>
      <c r="IE19" s="20">
        <f>IE13</f>
        <v>184948055</v>
      </c>
      <c r="IF19" s="20">
        <f>IF3</f>
        <v>5000000</v>
      </c>
      <c r="IG19" s="38">
        <f>IE19/IF19</f>
        <v>36.989611</v>
      </c>
      <c r="IH19" s="20">
        <f>IH13</f>
        <v>184948055</v>
      </c>
      <c r="II19" s="20">
        <f>II3</f>
        <v>3869775</v>
      </c>
      <c r="IJ19" s="38">
        <f>IH19/II19</f>
        <v>47.7929737517039</v>
      </c>
      <c r="IK19" s="20">
        <f>IK13</f>
        <v>184948055</v>
      </c>
      <c r="IL19" s="20">
        <f>IL3</f>
        <v>5098040</v>
      </c>
      <c r="IM19" s="38">
        <f>IK19/IL19</f>
        <v>36.2782667456513</v>
      </c>
      <c r="IN19" s="20">
        <f>IN13</f>
        <v>206694486</v>
      </c>
      <c r="IO19" s="20">
        <f>IO3</f>
        <v>2800000</v>
      </c>
      <c r="IP19" s="38">
        <f>IN19/IO19</f>
        <v>73.8194592857143</v>
      </c>
      <c r="IQ19" s="20">
        <f>IQ13</f>
        <v>206694486</v>
      </c>
      <c r="IR19" s="20">
        <f>IR3</f>
        <v>3400000</v>
      </c>
      <c r="IS19" s="38">
        <f>IQ19/IR19</f>
        <v>60.7924958823529</v>
      </c>
      <c r="IT19" s="20">
        <f>IT13</f>
        <v>206694486</v>
      </c>
      <c r="IU19" s="20">
        <f>IU3</f>
        <v>3714000</v>
      </c>
      <c r="IV19" s="38">
        <f>IT19/IU19</f>
        <v>55.6527964458805</v>
      </c>
      <c r="IW19" s="20">
        <f>IW13</f>
        <v>206694486</v>
      </c>
      <c r="IX19" s="20">
        <f>IX3</f>
        <v>4000000</v>
      </c>
      <c r="IY19" s="38">
        <f>IW19/IX19</f>
        <v>51.6736215</v>
      </c>
      <c r="IZ19" s="20">
        <f>IZ13</f>
        <v>392408803</v>
      </c>
      <c r="JA19" s="20">
        <f>JA3</f>
        <v>3763198</v>
      </c>
      <c r="JB19" s="38">
        <f>IZ19/JA19</f>
        <v>104.275353834691</v>
      </c>
      <c r="JC19" s="20">
        <f>JC13</f>
        <v>279434593</v>
      </c>
      <c r="JD19" s="20">
        <f>JD3</f>
        <v>3000000</v>
      </c>
      <c r="JE19" s="38">
        <f>JC19/JD19</f>
        <v>93.1448643333333</v>
      </c>
      <c r="JF19" s="20">
        <f>JF13</f>
        <v>279434593</v>
      </c>
      <c r="JG19" s="20">
        <f>JG3</f>
        <v>2500000</v>
      </c>
      <c r="JH19" s="38">
        <f>JF19/JG19</f>
        <v>111.7738372</v>
      </c>
      <c r="JI19" s="20">
        <f>JI13</f>
        <v>279434593</v>
      </c>
      <c r="JJ19" s="20">
        <f>JJ3</f>
        <v>2000000</v>
      </c>
      <c r="JK19" s="38">
        <f>JI19/JJ19</f>
        <v>139.7172965</v>
      </c>
      <c r="JL19" s="20">
        <f>JL13</f>
        <v>279434593</v>
      </c>
      <c r="JM19" s="20">
        <f>JM3</f>
        <v>2200000</v>
      </c>
      <c r="JN19" s="38">
        <f>JL19/JM19</f>
        <v>127.015724090909</v>
      </c>
      <c r="JO19" s="20">
        <f>JO13</f>
        <v>279434593</v>
      </c>
      <c r="JP19" s="20">
        <f>JP3</f>
        <v>2640000</v>
      </c>
      <c r="JQ19" s="38">
        <f>JO19/JP19</f>
        <v>105.846436742424</v>
      </c>
    </row>
    <row r="20" spans="1:277">
      <c r="A20" s="2"/>
      <c r="B20" s="2"/>
      <c r="C20" s="6" t="s">
        <v>163</v>
      </c>
      <c r="D20" s="2"/>
      <c r="E20" s="20"/>
      <c r="F20" s="20"/>
      <c r="G20" s="38"/>
      <c r="H20" s="20"/>
      <c r="I20" s="20"/>
      <c r="J20" s="38"/>
      <c r="K20" s="20"/>
      <c r="L20" s="20"/>
      <c r="M20" s="38"/>
      <c r="N20" s="20"/>
      <c r="O20" s="20"/>
      <c r="P20" s="38"/>
      <c r="Q20" s="20"/>
      <c r="R20" s="20"/>
      <c r="S20" s="38"/>
      <c r="T20" s="20"/>
      <c r="U20" s="20"/>
      <c r="V20" s="38"/>
      <c r="W20" s="20"/>
      <c r="X20" s="20"/>
      <c r="Y20" s="38"/>
      <c r="Z20" s="20"/>
      <c r="AA20" s="20"/>
      <c r="AB20" s="38"/>
      <c r="AC20" s="20"/>
      <c r="AD20" s="20"/>
      <c r="AE20" s="38"/>
      <c r="AF20" s="20"/>
      <c r="AG20" s="20"/>
      <c r="AH20" s="38"/>
      <c r="AI20" s="20"/>
      <c r="AJ20" s="20"/>
      <c r="AK20" s="38"/>
      <c r="AL20" s="20"/>
      <c r="AM20" s="20"/>
      <c r="AN20" s="38"/>
      <c r="AO20" s="20"/>
      <c r="AP20" s="20"/>
      <c r="AQ20" s="38"/>
      <c r="AR20" s="20"/>
      <c r="AS20" s="20"/>
      <c r="AT20" s="38"/>
      <c r="AU20" s="20"/>
      <c r="AV20" s="20"/>
      <c r="AW20" s="38"/>
      <c r="AX20" s="20"/>
      <c r="AY20" s="20"/>
      <c r="AZ20" s="38"/>
      <c r="BA20" s="20"/>
      <c r="BB20" s="20"/>
      <c r="BC20" s="38"/>
      <c r="BD20" s="20"/>
      <c r="BE20" s="20"/>
      <c r="BF20" s="38"/>
      <c r="BG20" s="20"/>
      <c r="BH20" s="20"/>
      <c r="BI20" s="38"/>
      <c r="BJ20" s="20"/>
      <c r="BK20" s="20"/>
      <c r="BL20" s="38"/>
      <c r="BM20" s="20"/>
      <c r="BN20" s="20"/>
      <c r="BO20" s="38"/>
      <c r="BP20" s="20"/>
      <c r="BQ20" s="20"/>
      <c r="BR20" s="38"/>
      <c r="BS20" s="20"/>
      <c r="BT20" s="20"/>
      <c r="BU20" s="38"/>
      <c r="BV20" s="20"/>
      <c r="BW20" s="20"/>
      <c r="BX20" s="38"/>
      <c r="BY20" s="20"/>
      <c r="BZ20" s="20"/>
      <c r="CA20" s="38"/>
      <c r="CB20" s="20"/>
      <c r="CC20" s="20"/>
      <c r="CD20" s="38"/>
      <c r="CE20" s="20"/>
      <c r="CF20" s="20"/>
      <c r="CG20" s="38"/>
      <c r="CH20" s="20"/>
      <c r="CI20" s="20"/>
      <c r="CJ20" s="38"/>
      <c r="CK20" s="20"/>
      <c r="CL20" s="20"/>
      <c r="CM20" s="38"/>
      <c r="CN20" s="20"/>
      <c r="CO20" s="20"/>
      <c r="CP20" s="38"/>
      <c r="CQ20" s="20"/>
      <c r="CR20" s="20"/>
      <c r="CS20" s="38"/>
      <c r="CT20" s="20"/>
      <c r="CU20" s="20"/>
      <c r="CV20" s="38"/>
      <c r="CW20" s="20"/>
      <c r="CX20" s="20"/>
      <c r="CY20" s="38"/>
      <c r="CZ20" s="20"/>
      <c r="DA20" s="20"/>
      <c r="DB20" s="38"/>
      <c r="DC20" s="20"/>
      <c r="DD20" s="20"/>
      <c r="DE20" s="38"/>
      <c r="DF20" s="20"/>
      <c r="DG20" s="20"/>
      <c r="DH20" s="38"/>
      <c r="DI20" s="20"/>
      <c r="DJ20" s="20"/>
      <c r="DK20" s="38"/>
      <c r="DL20" s="20"/>
      <c r="DM20" s="20"/>
      <c r="DN20" s="38"/>
      <c r="DO20" s="20"/>
      <c r="DP20" s="20"/>
      <c r="DQ20" s="38"/>
      <c r="DR20" s="20"/>
      <c r="DS20" s="20"/>
      <c r="DT20" s="38"/>
      <c r="DU20" s="20"/>
      <c r="DV20" s="20"/>
      <c r="DW20" s="38"/>
      <c r="DX20" s="20"/>
      <c r="DY20" s="20"/>
      <c r="DZ20" s="38"/>
      <c r="EA20" s="20"/>
      <c r="EB20" s="20"/>
      <c r="EC20" s="38"/>
      <c r="ED20" s="20"/>
      <c r="EE20" s="20"/>
      <c r="EF20" s="38"/>
      <c r="EG20" s="20"/>
      <c r="EH20" s="20"/>
      <c r="EI20" s="38"/>
      <c r="EJ20" s="20"/>
      <c r="EK20" s="20"/>
      <c r="EL20" s="38"/>
      <c r="EM20" s="20"/>
      <c r="EN20" s="20"/>
      <c r="EO20" s="38"/>
      <c r="EP20" s="20"/>
      <c r="EQ20" s="20"/>
      <c r="ER20" s="38"/>
      <c r="ES20" s="20"/>
      <c r="ET20" s="20"/>
      <c r="EU20" s="38"/>
      <c r="EV20" s="20"/>
      <c r="EW20" s="20"/>
      <c r="EX20" s="38"/>
      <c r="EY20" s="20"/>
      <c r="EZ20" s="20"/>
      <c r="FA20" s="38"/>
      <c r="FB20" s="20"/>
      <c r="FC20" s="20"/>
      <c r="FD20" s="38"/>
      <c r="FE20" s="20"/>
      <c r="FF20" s="20"/>
      <c r="FG20" s="38"/>
      <c r="FH20" s="20"/>
      <c r="FI20" s="20"/>
      <c r="FJ20" s="38"/>
      <c r="FK20" s="20"/>
      <c r="FL20" s="20"/>
      <c r="FM20" s="38"/>
      <c r="FN20" s="20"/>
      <c r="FO20" s="20"/>
      <c r="FP20" s="38"/>
      <c r="FQ20" s="20"/>
      <c r="FR20" s="20"/>
      <c r="FS20" s="38"/>
      <c r="FT20" s="20"/>
      <c r="FU20" s="20"/>
      <c r="FV20" s="38"/>
      <c r="FW20" s="20"/>
      <c r="FX20" s="20"/>
      <c r="FY20" s="38"/>
      <c r="FZ20" s="20"/>
      <c r="GA20" s="20"/>
      <c r="GB20" s="38"/>
      <c r="GC20" s="20"/>
      <c r="GD20" s="20"/>
      <c r="GE20" s="38"/>
      <c r="GF20" s="20"/>
      <c r="GG20" s="20"/>
      <c r="GH20" s="38"/>
      <c r="GI20" s="20"/>
      <c r="GJ20" s="20"/>
      <c r="GK20" s="38"/>
      <c r="GL20" s="20"/>
      <c r="GM20" s="20"/>
      <c r="GN20" s="38"/>
      <c r="GO20" s="20"/>
      <c r="GP20" s="20"/>
      <c r="GQ20" s="38"/>
      <c r="GR20" s="20"/>
      <c r="GS20" s="20"/>
      <c r="GT20" s="38"/>
      <c r="GU20" s="20"/>
      <c r="GV20" s="20"/>
      <c r="GW20" s="38"/>
      <c r="GX20" s="20"/>
      <c r="GY20" s="20"/>
      <c r="GZ20" s="38"/>
      <c r="HA20" s="20"/>
      <c r="HB20" s="20"/>
      <c r="HC20" s="38"/>
      <c r="HD20" s="20"/>
      <c r="HE20" s="20"/>
      <c r="HF20" s="38"/>
      <c r="HG20" s="20"/>
      <c r="HH20" s="20"/>
      <c r="HI20" s="38"/>
      <c r="HJ20" s="20"/>
      <c r="HK20" s="20"/>
      <c r="HL20" s="38"/>
      <c r="HM20" s="20"/>
      <c r="HN20" s="20"/>
      <c r="HO20" s="38"/>
      <c r="HP20" s="20"/>
      <c r="HQ20" s="20"/>
      <c r="HR20" s="38"/>
      <c r="HS20" s="20"/>
      <c r="HT20" s="20"/>
      <c r="HU20" s="38"/>
      <c r="HV20" s="20"/>
      <c r="HW20" s="20"/>
      <c r="HX20" s="38"/>
      <c r="HY20" s="20"/>
      <c r="HZ20" s="20"/>
      <c r="IA20" s="38"/>
      <c r="IB20" s="20"/>
      <c r="IC20" s="20"/>
      <c r="ID20" s="38"/>
      <c r="IE20" s="20"/>
      <c r="IF20" s="20"/>
      <c r="IG20" s="38"/>
      <c r="IH20" s="20"/>
      <c r="II20" s="20"/>
      <c r="IJ20" s="38"/>
      <c r="IK20" s="20"/>
      <c r="IL20" s="20"/>
      <c r="IM20" s="38"/>
      <c r="IN20" s="20"/>
      <c r="IO20" s="20"/>
      <c r="IP20" s="38"/>
      <c r="IQ20" s="20"/>
      <c r="IR20" s="20"/>
      <c r="IS20" s="38"/>
      <c r="IT20" s="20"/>
      <c r="IU20" s="20"/>
      <c r="IV20" s="38"/>
      <c r="IW20" s="20"/>
      <c r="IX20" s="20"/>
      <c r="IY20" s="38"/>
      <c r="IZ20" s="20"/>
      <c r="JA20" s="20"/>
      <c r="JB20" s="38"/>
      <c r="JC20" s="20"/>
      <c r="JD20" s="20"/>
      <c r="JE20" s="38"/>
      <c r="JF20" s="20"/>
      <c r="JG20" s="20"/>
      <c r="JH20" s="38"/>
      <c r="JI20" s="20"/>
      <c r="JJ20" s="20"/>
      <c r="JK20" s="38"/>
      <c r="JL20" s="20"/>
      <c r="JM20" s="20"/>
      <c r="JN20" s="38"/>
      <c r="JO20" s="20"/>
      <c r="JP20" s="20"/>
      <c r="JQ20" s="38"/>
    </row>
    <row r="21" spans="1:277">
      <c r="A21" s="2"/>
      <c r="B21" s="2"/>
      <c r="C21" s="6"/>
      <c r="D21" s="2"/>
      <c r="E21" s="20"/>
      <c r="F21" s="20"/>
      <c r="G21" s="38"/>
      <c r="H21" s="20"/>
      <c r="I21" s="20"/>
      <c r="J21" s="38"/>
      <c r="K21" s="20"/>
      <c r="L21" s="20"/>
      <c r="M21" s="38"/>
      <c r="N21" s="20"/>
      <c r="O21" s="20"/>
      <c r="P21" s="38"/>
      <c r="Q21" s="20"/>
      <c r="R21" s="20"/>
      <c r="S21" s="38"/>
      <c r="T21" s="20"/>
      <c r="U21" s="20"/>
      <c r="V21" s="38"/>
      <c r="W21" s="20"/>
      <c r="X21" s="20"/>
      <c r="Y21" s="38"/>
      <c r="Z21" s="20"/>
      <c r="AA21" s="20"/>
      <c r="AB21" s="38"/>
      <c r="AC21" s="20"/>
      <c r="AD21" s="20"/>
      <c r="AE21" s="38"/>
      <c r="AF21" s="20"/>
      <c r="AG21" s="20"/>
      <c r="AH21" s="38"/>
      <c r="AI21" s="20"/>
      <c r="AJ21" s="20"/>
      <c r="AK21" s="38"/>
      <c r="AL21" s="20"/>
      <c r="AM21" s="20"/>
      <c r="AN21" s="38"/>
      <c r="AO21" s="20"/>
      <c r="AP21" s="20"/>
      <c r="AQ21" s="38"/>
      <c r="AR21" s="20"/>
      <c r="AS21" s="20"/>
      <c r="AT21" s="38"/>
      <c r="AU21" s="20"/>
      <c r="AV21" s="20"/>
      <c r="AW21" s="38"/>
      <c r="AX21" s="20"/>
      <c r="AY21" s="20"/>
      <c r="AZ21" s="38"/>
      <c r="BA21" s="20"/>
      <c r="BB21" s="20"/>
      <c r="BC21" s="38"/>
      <c r="BD21" s="20"/>
      <c r="BE21" s="20"/>
      <c r="BF21" s="38"/>
      <c r="BG21" s="20"/>
      <c r="BH21" s="20"/>
      <c r="BI21" s="38"/>
      <c r="BJ21" s="20"/>
      <c r="BK21" s="20"/>
      <c r="BL21" s="38"/>
      <c r="BM21" s="20"/>
      <c r="BN21" s="20"/>
      <c r="BO21" s="38"/>
      <c r="BP21" s="20"/>
      <c r="BQ21" s="20"/>
      <c r="BR21" s="38"/>
      <c r="BS21" s="20"/>
      <c r="BT21" s="20"/>
      <c r="BU21" s="38"/>
      <c r="BV21" s="20"/>
      <c r="BW21" s="20"/>
      <c r="BX21" s="38"/>
      <c r="BY21" s="20"/>
      <c r="BZ21" s="20"/>
      <c r="CA21" s="38"/>
      <c r="CB21" s="20"/>
      <c r="CC21" s="20"/>
      <c r="CD21" s="38"/>
      <c r="CE21" s="20"/>
      <c r="CF21" s="20"/>
      <c r="CG21" s="38"/>
      <c r="CH21" s="20"/>
      <c r="CI21" s="20"/>
      <c r="CJ21" s="38"/>
      <c r="CK21" s="20"/>
      <c r="CL21" s="20"/>
      <c r="CM21" s="38"/>
      <c r="CN21" s="20"/>
      <c r="CO21" s="20"/>
      <c r="CP21" s="38"/>
      <c r="CQ21" s="20"/>
      <c r="CR21" s="20"/>
      <c r="CS21" s="38"/>
      <c r="CT21" s="20"/>
      <c r="CU21" s="52" t="s">
        <v>404</v>
      </c>
      <c r="CV21" s="38"/>
      <c r="CW21" s="20"/>
      <c r="CX21" s="52"/>
      <c r="CY21" s="38"/>
      <c r="CZ21" s="20"/>
      <c r="DA21" s="52"/>
      <c r="DB21" s="38"/>
      <c r="DC21" s="20"/>
      <c r="DD21" s="52"/>
      <c r="DE21" s="38"/>
      <c r="DF21" s="20"/>
      <c r="DG21" s="52"/>
      <c r="DH21" s="38"/>
      <c r="DI21" s="20"/>
      <c r="DJ21" s="52"/>
      <c r="DK21" s="38"/>
      <c r="DL21" s="20"/>
      <c r="DM21" s="52"/>
      <c r="DN21" s="38"/>
      <c r="DO21" s="20"/>
      <c r="DP21" s="52"/>
      <c r="DQ21" s="38"/>
      <c r="DR21" s="20"/>
      <c r="DS21" s="52"/>
      <c r="DT21" s="38"/>
      <c r="DU21" s="20"/>
      <c r="DV21" s="52"/>
      <c r="DW21" s="38"/>
      <c r="DX21" s="20"/>
      <c r="DY21" s="52"/>
      <c r="DZ21" s="38"/>
      <c r="EA21" s="20"/>
      <c r="EB21" s="52"/>
      <c r="EC21" s="38"/>
      <c r="ED21" s="20"/>
      <c r="EE21" s="52"/>
      <c r="EF21" s="38"/>
      <c r="EG21" s="20"/>
      <c r="EH21" s="52"/>
      <c r="EI21" s="38"/>
      <c r="EJ21" s="20"/>
      <c r="EK21" s="52"/>
      <c r="EL21" s="38"/>
      <c r="EM21" s="20"/>
      <c r="EN21" s="52"/>
      <c r="EO21" s="38"/>
      <c r="EP21" s="20"/>
      <c r="EQ21" s="52"/>
      <c r="ER21" s="38"/>
      <c r="ES21" s="20"/>
      <c r="ET21" s="52"/>
      <c r="EU21" s="38"/>
      <c r="EV21" s="52"/>
      <c r="EW21" s="52" t="s">
        <v>404</v>
      </c>
      <c r="EX21" s="52"/>
      <c r="EY21" s="52"/>
      <c r="EZ21" s="52"/>
      <c r="FA21" s="301"/>
      <c r="FB21" s="52"/>
      <c r="FC21" s="52"/>
      <c r="FD21" s="301"/>
      <c r="FE21" s="52"/>
      <c r="FF21" s="52"/>
      <c r="FG21" s="301"/>
      <c r="FH21" s="52"/>
      <c r="FI21" s="52"/>
      <c r="FJ21" s="301"/>
      <c r="FK21" s="52"/>
      <c r="FL21" s="52"/>
      <c r="FM21" s="301"/>
      <c r="FN21" s="52"/>
      <c r="FO21" s="52"/>
      <c r="FP21" s="301"/>
      <c r="FQ21" s="52"/>
      <c r="FR21" s="52"/>
      <c r="FS21" s="301"/>
      <c r="FT21" s="52"/>
      <c r="FU21" s="52"/>
      <c r="FV21" s="301"/>
      <c r="FW21" s="52"/>
      <c r="FX21" s="52"/>
      <c r="FY21" s="301"/>
      <c r="FZ21" s="52"/>
      <c r="GA21" s="52"/>
      <c r="GB21" s="301"/>
      <c r="GC21" s="52"/>
      <c r="GD21" s="52"/>
      <c r="GE21" s="301"/>
      <c r="GF21" s="52"/>
      <c r="GG21" s="52"/>
      <c r="GH21" s="301"/>
      <c r="GI21" s="52"/>
      <c r="GJ21" s="52"/>
      <c r="GK21" s="301"/>
      <c r="GL21" s="52"/>
      <c r="GM21" s="52"/>
      <c r="GN21" s="301"/>
      <c r="GO21" s="52"/>
      <c r="GP21" s="52"/>
      <c r="GQ21" s="301"/>
      <c r="GR21" s="52"/>
      <c r="GS21" s="52"/>
      <c r="GT21" s="301"/>
      <c r="GU21" s="52"/>
      <c r="GV21" s="52"/>
      <c r="GW21" s="301"/>
      <c r="GX21" s="52"/>
      <c r="GY21" s="52"/>
      <c r="GZ21" s="301"/>
      <c r="HA21" s="52"/>
      <c r="HB21" s="52" t="s">
        <v>404</v>
      </c>
      <c r="HC21" s="301"/>
      <c r="HD21" s="52"/>
      <c r="HE21" s="52"/>
      <c r="HF21" s="301"/>
      <c r="HG21" s="52"/>
      <c r="HH21" s="52"/>
      <c r="HI21" s="301"/>
      <c r="HJ21" s="52"/>
      <c r="HK21" s="52"/>
      <c r="HL21" s="301"/>
      <c r="HM21" s="52"/>
      <c r="HN21" s="52"/>
      <c r="HO21" s="301"/>
      <c r="HP21" s="52"/>
      <c r="HQ21" s="52"/>
      <c r="HR21" s="301"/>
      <c r="HS21" s="52"/>
      <c r="HT21" s="52"/>
      <c r="HU21" s="301"/>
      <c r="HV21" s="52"/>
      <c r="HW21" s="52"/>
      <c r="HX21" s="301"/>
      <c r="HY21" s="52"/>
      <c r="HZ21" s="52"/>
      <c r="IA21" s="301"/>
      <c r="IB21" s="52"/>
      <c r="IC21" s="52"/>
      <c r="ID21" s="301"/>
      <c r="IE21" s="52"/>
      <c r="IF21" s="52"/>
      <c r="IG21" s="301"/>
      <c r="IH21" s="52"/>
      <c r="II21" s="52"/>
      <c r="IJ21" s="301"/>
      <c r="IK21" s="52"/>
      <c r="IL21" s="52"/>
      <c r="IM21" s="301"/>
      <c r="IN21" s="52"/>
      <c r="IO21" s="52" t="s">
        <v>404</v>
      </c>
      <c r="IP21" s="301"/>
      <c r="IQ21" s="52"/>
      <c r="IR21" s="52" t="s">
        <v>404</v>
      </c>
      <c r="IS21" s="301"/>
      <c r="IT21" s="52"/>
      <c r="IU21" s="52" t="s">
        <v>404</v>
      </c>
      <c r="IV21" s="301"/>
      <c r="IW21" s="52"/>
      <c r="IX21" s="52" t="s">
        <v>404</v>
      </c>
      <c r="IY21" s="301"/>
      <c r="IZ21" s="52"/>
      <c r="JA21" s="52"/>
      <c r="JB21" s="301"/>
      <c r="JC21" s="52"/>
      <c r="JD21" s="52"/>
      <c r="JE21" s="301"/>
      <c r="JF21" s="52"/>
      <c r="JG21" s="52"/>
      <c r="JH21" s="301"/>
      <c r="JI21" s="52"/>
      <c r="JJ21" s="52"/>
      <c r="JK21" s="301"/>
      <c r="JL21" s="52"/>
      <c r="JM21" s="52"/>
      <c r="JN21" s="301"/>
      <c r="JO21" s="52"/>
      <c r="JP21" s="52"/>
      <c r="JQ21" s="301"/>
    </row>
    <row r="22" spans="1:277">
      <c r="A22" s="2">
        <v>7</v>
      </c>
      <c r="B22" s="2" t="s">
        <v>182</v>
      </c>
      <c r="C22" s="37" t="s">
        <v>183</v>
      </c>
      <c r="D22" s="50" t="s">
        <v>184</v>
      </c>
      <c r="E22" s="20">
        <f>E7</f>
        <v>520</v>
      </c>
      <c r="F22" s="42">
        <f>G19</f>
        <v>128.611393974947</v>
      </c>
      <c r="G22" s="38">
        <f>E22/F22</f>
        <v>4.04318765179774</v>
      </c>
      <c r="H22" s="20">
        <f>H7</f>
        <v>197</v>
      </c>
      <c r="I22" s="42">
        <f>J19</f>
        <v>46.7852360670444</v>
      </c>
      <c r="J22" s="38">
        <f>H22/I22</f>
        <v>4.21073006274232</v>
      </c>
      <c r="K22" s="20">
        <f>K7</f>
        <v>860</v>
      </c>
      <c r="L22" s="42">
        <f>M19</f>
        <v>207.603404452541</v>
      </c>
      <c r="M22" s="38">
        <f>K22/L22</f>
        <v>4.14251395475839</v>
      </c>
      <c r="N22" s="20">
        <f>N7</f>
        <v>603</v>
      </c>
      <c r="O22" s="42">
        <f>P19</f>
        <v>182.041900740741</v>
      </c>
      <c r="P22" s="38">
        <f>N22/O22</f>
        <v>3.31242421413066</v>
      </c>
      <c r="Q22" s="20">
        <f>Q7</f>
        <v>587</v>
      </c>
      <c r="R22" s="42">
        <f>S19</f>
        <v>172.853337687541</v>
      </c>
      <c r="S22" s="38">
        <f>Q22/R22</f>
        <v>3.39594252476104</v>
      </c>
      <c r="T22" s="20">
        <f>T7</f>
        <v>985</v>
      </c>
      <c r="U22" s="42">
        <f>V19</f>
        <v>105.280608163265</v>
      </c>
      <c r="V22" s="38">
        <f>T22/U22</f>
        <v>9.35594899368835</v>
      </c>
      <c r="W22" s="20">
        <f>W7</f>
        <v>333</v>
      </c>
      <c r="X22" s="42">
        <f>Y19</f>
        <v>33.9287267067129</v>
      </c>
      <c r="Y22" s="38">
        <f>W22/X22</f>
        <v>9.81469192400066</v>
      </c>
      <c r="Z22" s="20">
        <f>Z7</f>
        <v>313</v>
      </c>
      <c r="AA22" s="42">
        <f>AB19</f>
        <v>38.6906235</v>
      </c>
      <c r="AB22" s="38">
        <f>Z22/AA22</f>
        <v>8.08981535280764</v>
      </c>
      <c r="AC22" s="20">
        <f>AC7</f>
        <v>297</v>
      </c>
      <c r="AD22" s="42">
        <f>AE19</f>
        <v>109.85080183145</v>
      </c>
      <c r="AE22" s="38">
        <f>AC22/AD22</f>
        <v>2.703667110739</v>
      </c>
      <c r="AF22" s="20">
        <f>AF7</f>
        <v>506</v>
      </c>
      <c r="AG22" s="42">
        <f>AH19</f>
        <v>104.167746496624</v>
      </c>
      <c r="AH22" s="38">
        <f>AF22/AG22</f>
        <v>4.85754964485479</v>
      </c>
      <c r="AI22" s="20">
        <f>AI7</f>
        <v>462</v>
      </c>
      <c r="AJ22" s="42">
        <f>AK19</f>
        <v>112.008532305455</v>
      </c>
      <c r="AK22" s="38">
        <f>AI22/AJ22</f>
        <v>4.12468577608084</v>
      </c>
      <c r="AL22" s="20">
        <f>AL7</f>
        <v>492</v>
      </c>
      <c r="AM22" s="42">
        <f>AN19</f>
        <v>120.3216655625</v>
      </c>
      <c r="AN22" s="38">
        <f>AL22/AM22</f>
        <v>4.08903914103844</v>
      </c>
      <c r="AO22" s="20">
        <f>AO7</f>
        <v>608</v>
      </c>
      <c r="AP22" s="42">
        <f>AQ19</f>
        <v>145.872333155711</v>
      </c>
      <c r="AQ22" s="38">
        <f>AO22/AP22</f>
        <v>4.16802821238892</v>
      </c>
      <c r="AR22" s="20">
        <f>AR7</f>
        <v>763</v>
      </c>
      <c r="AS22" s="42">
        <f>AT19</f>
        <v>117.60534754252</v>
      </c>
      <c r="AT22" s="38">
        <f>AR22/AS22</f>
        <v>6.48780022289496</v>
      </c>
      <c r="AU22" s="20">
        <f>AU7</f>
        <v>379</v>
      </c>
      <c r="AV22" s="42">
        <f>AW19</f>
        <v>58.4119887751129</v>
      </c>
      <c r="AW22" s="38">
        <f>AU22/AV22</f>
        <v>6.48839404285918</v>
      </c>
      <c r="AX22" s="20">
        <f>AX7</f>
        <v>895</v>
      </c>
      <c r="AY22" s="42">
        <f>AZ19</f>
        <v>146.102433198865</v>
      </c>
      <c r="AZ22" s="38">
        <f>AX22/AY22</f>
        <v>6.12583911440946</v>
      </c>
      <c r="BA22" s="20">
        <f>BA7</f>
        <v>318</v>
      </c>
      <c r="BB22" s="42">
        <f>BC19</f>
        <v>54.5837489589041</v>
      </c>
      <c r="BC22" s="38">
        <f>BA22/BB22</f>
        <v>5.82590983699967</v>
      </c>
      <c r="BD22" s="20">
        <f>BD7</f>
        <v>597</v>
      </c>
      <c r="BE22" s="42">
        <f>BF19</f>
        <v>104.172906509804</v>
      </c>
      <c r="BF22" s="38">
        <f>BD22/BE22</f>
        <v>5.7308567073898</v>
      </c>
      <c r="BG22" s="20">
        <f>BG7</f>
        <v>284</v>
      </c>
      <c r="BH22" s="42">
        <f>BI19</f>
        <v>109.560313856304</v>
      </c>
      <c r="BI22" s="38">
        <f>BG22/BH22</f>
        <v>2.59217950372509</v>
      </c>
      <c r="BJ22" s="20">
        <f>BJ7</f>
        <v>253</v>
      </c>
      <c r="BK22" s="42">
        <f>BL19</f>
        <v>108.212187342312</v>
      </c>
      <c r="BL22" s="38">
        <f>BJ22/BK22</f>
        <v>2.33799913127784</v>
      </c>
      <c r="BM22" s="20">
        <f>BM7</f>
        <v>253</v>
      </c>
      <c r="BN22" s="42">
        <f>BO19</f>
        <v>111.087728793767</v>
      </c>
      <c r="BO22" s="38">
        <f>BM22/BN22</f>
        <v>2.27747927468831</v>
      </c>
      <c r="BP22" s="20">
        <f>BP7</f>
        <v>311</v>
      </c>
      <c r="BQ22" s="42">
        <f>BR19</f>
        <v>87335.2532413793</v>
      </c>
      <c r="BR22" s="38">
        <f>BP22/BQ22</f>
        <v>0.00356099041861653</v>
      </c>
      <c r="BS22" s="20">
        <f>BS7</f>
        <v>477</v>
      </c>
      <c r="BT22" s="42">
        <f>BU19</f>
        <v>141.559084816602</v>
      </c>
      <c r="BU22" s="38">
        <f>BS22/BT22</f>
        <v>3.36961771558485</v>
      </c>
      <c r="BV22" s="20">
        <f>BV7</f>
        <v>284</v>
      </c>
      <c r="BW22" s="42">
        <f>BX19</f>
        <v>108.987433862069</v>
      </c>
      <c r="BX22" s="38">
        <f>BV22/BW22</f>
        <v>2.60580499912881</v>
      </c>
      <c r="BY22" s="20">
        <f>BY7</f>
        <v>210</v>
      </c>
      <c r="BZ22" s="42">
        <f>CA19</f>
        <v>86.4520638194281</v>
      </c>
      <c r="CA22" s="38">
        <f>BY22/BZ22</f>
        <v>2.42909180790207</v>
      </c>
      <c r="CB22" s="20">
        <f>CB7</f>
        <v>878</v>
      </c>
      <c r="CC22" s="42">
        <f>CD19</f>
        <v>118.289820235294</v>
      </c>
      <c r="CD22" s="38">
        <f>CB22/CC22</f>
        <v>7.42244766501075</v>
      </c>
      <c r="CE22" s="20">
        <f>CE7</f>
        <v>456</v>
      </c>
      <c r="CF22" s="42">
        <f>CG19</f>
        <v>67.0308981333333</v>
      </c>
      <c r="CG22" s="38">
        <f>CE22/CF22</f>
        <v>6.80283291285991</v>
      </c>
      <c r="CH22" s="20">
        <f>CH7</f>
        <v>551</v>
      </c>
      <c r="CI22" s="42">
        <f>CJ19</f>
        <v>108.254449410809</v>
      </c>
      <c r="CJ22" s="38">
        <f>CH22/CI22</f>
        <v>5.08986007502603</v>
      </c>
      <c r="CK22" s="20">
        <f>CK7</f>
        <v>882</v>
      </c>
      <c r="CL22" s="42">
        <f>CM19</f>
        <v>114.15169535008</v>
      </c>
      <c r="CM22" s="38">
        <f>CK22/CL22</f>
        <v>7.7265606725777</v>
      </c>
      <c r="CN22" s="20">
        <f>CN7</f>
        <v>1001</v>
      </c>
      <c r="CO22" s="42">
        <f>CP19</f>
        <v>116.346637256779</v>
      </c>
      <c r="CP22" s="38">
        <f>CN22/CO22</f>
        <v>8.60360061624108</v>
      </c>
      <c r="CQ22" s="20">
        <f>CQ7</f>
        <v>305</v>
      </c>
      <c r="CR22" s="42">
        <f>CS19</f>
        <v>65.6575146899191</v>
      </c>
      <c r="CS22" s="38">
        <f>CQ22/CR22</f>
        <v>4.64531746960609</v>
      </c>
      <c r="CT22" s="20">
        <f>CT7</f>
        <v>391</v>
      </c>
      <c r="CU22" s="42">
        <f>CV19</f>
        <v>76.4939964218456</v>
      </c>
      <c r="CV22" s="38">
        <f>CT22/CU22</f>
        <v>5.11151225311502</v>
      </c>
      <c r="CW22" s="20">
        <f>CW7</f>
        <v>521</v>
      </c>
      <c r="CX22" s="42">
        <f>CY19</f>
        <v>107.261476474599</v>
      </c>
      <c r="CY22" s="38">
        <f>CW22/CX22</f>
        <v>4.85728909505901</v>
      </c>
      <c r="CZ22" s="20">
        <f>CZ7</f>
        <v>597</v>
      </c>
      <c r="DA22" s="42">
        <f>DB19</f>
        <v>92.0243202</v>
      </c>
      <c r="DB22" s="38">
        <f>CZ22/DA22</f>
        <v>6.48741548649875</v>
      </c>
      <c r="DC22" s="20">
        <f>DC7</f>
        <v>254</v>
      </c>
      <c r="DD22" s="42">
        <f>DE19</f>
        <v>39.6084313189247</v>
      </c>
      <c r="DE22" s="38">
        <f>DC22/DD22</f>
        <v>6.41277605656249</v>
      </c>
      <c r="DF22" s="20">
        <f>DF7</f>
        <v>254</v>
      </c>
      <c r="DG22" s="42">
        <f>DH19</f>
        <v>103.540357185185</v>
      </c>
      <c r="DH22" s="38">
        <f>DF22/DG22</f>
        <v>2.45314973702199</v>
      </c>
      <c r="DI22" s="20">
        <f>DI7</f>
        <v>197</v>
      </c>
      <c r="DJ22" s="42">
        <f>DK19</f>
        <v>49.9212436428571</v>
      </c>
      <c r="DK22" s="38">
        <f>DI22/DJ22</f>
        <v>3.94621579160493</v>
      </c>
      <c r="DL22" s="20">
        <f>DL7</f>
        <v>468</v>
      </c>
      <c r="DM22" s="42">
        <f>DN19</f>
        <v>110.14959417596</v>
      </c>
      <c r="DN22" s="38">
        <f>DL22/DM22</f>
        <v>4.24876735589589</v>
      </c>
      <c r="DO22" s="20">
        <f>DO7</f>
        <v>494</v>
      </c>
      <c r="DP22" s="42">
        <f>DQ19</f>
        <v>114.714166471907</v>
      </c>
      <c r="DQ22" s="38">
        <f>DO22/DP22</f>
        <v>4.30635565940304</v>
      </c>
      <c r="DR22" s="20">
        <f>DR7</f>
        <v>211</v>
      </c>
      <c r="DS22" s="42">
        <f>DT19</f>
        <v>49.538043515489</v>
      </c>
      <c r="DT22" s="38">
        <f>DR22/DS22</f>
        <v>4.25935271210352</v>
      </c>
      <c r="DU22" s="20">
        <f>DU7</f>
        <v>533</v>
      </c>
      <c r="DV22" s="42">
        <f>DW19</f>
        <v>112.83779561957</v>
      </c>
      <c r="DW22" s="38">
        <f>DU22/DV22</f>
        <v>4.72359458170377</v>
      </c>
      <c r="DX22" s="20">
        <f>DX7</f>
        <v>247</v>
      </c>
      <c r="DY22" s="42">
        <f>DZ19</f>
        <v>53.2246478787879</v>
      </c>
      <c r="DZ22" s="38">
        <f>DX22/DY22</f>
        <v>4.64070707546079</v>
      </c>
      <c r="EA22" s="20">
        <f>EA7</f>
        <v>411</v>
      </c>
      <c r="EB22" s="42">
        <f>EC19</f>
        <v>113.988675242021</v>
      </c>
      <c r="EC22" s="38">
        <f>EA22/EB22</f>
        <v>3.60562134025475</v>
      </c>
      <c r="ED22" s="20">
        <f>ED7</f>
        <v>212</v>
      </c>
      <c r="EE22" s="42">
        <f>EF19</f>
        <v>61.2936104888889</v>
      </c>
      <c r="EF22" s="38">
        <f>ED22/EE22</f>
        <v>3.45876182377004</v>
      </c>
      <c r="EG22" s="20">
        <f>EG7</f>
        <v>416</v>
      </c>
      <c r="EH22" s="42">
        <f>EI19</f>
        <v>257.384775715499</v>
      </c>
      <c r="EI22" s="38">
        <f>EG22/EH22</f>
        <v>1.61625721196434</v>
      </c>
      <c r="EJ22" s="20">
        <f>EJ7</f>
        <v>265</v>
      </c>
      <c r="EK22" s="42">
        <f>EL19</f>
        <v>76.6170131111111</v>
      </c>
      <c r="EL22" s="38">
        <f>EJ22/EK22</f>
        <v>3.45876182377004</v>
      </c>
      <c r="EM22" s="20">
        <f>EM7</f>
        <v>600</v>
      </c>
      <c r="EN22" s="42">
        <f>EO19</f>
        <v>105.507224210526</v>
      </c>
      <c r="EO22" s="38">
        <f>EM22/EN22</f>
        <v>5.68681438157046</v>
      </c>
      <c r="EP22" s="20">
        <f>EP7</f>
        <v>851</v>
      </c>
      <c r="EQ22" s="42">
        <f>ER19</f>
        <v>119.549894953271</v>
      </c>
      <c r="ER22" s="38">
        <f>EP22/EQ22</f>
        <v>7.11836677340983</v>
      </c>
      <c r="ES22" s="20">
        <f>ES7</f>
        <v>614</v>
      </c>
      <c r="ET22" s="42">
        <f>EU19</f>
        <v>114.550700571429</v>
      </c>
      <c r="EU22" s="38">
        <f>ES22/ET22</f>
        <v>5.36007197631356</v>
      </c>
      <c r="EV22" s="20">
        <f>EV7</f>
        <v>373</v>
      </c>
      <c r="EW22" s="42">
        <f>EX19</f>
        <v>77.9598237442922</v>
      </c>
      <c r="EX22" s="38">
        <f>EV22/EW22</f>
        <v>4.7845156913571</v>
      </c>
      <c r="EY22" s="20">
        <f>EY7</f>
        <v>208</v>
      </c>
      <c r="EZ22" s="42">
        <f>FA19</f>
        <v>90.0407774</v>
      </c>
      <c r="FA22" s="38">
        <f>EY22/EZ22</f>
        <v>2.3100644619712</v>
      </c>
      <c r="FB22" s="20">
        <f>FB7</f>
        <v>208</v>
      </c>
      <c r="FC22" s="42">
        <f>FD19</f>
        <v>109.140336242424</v>
      </c>
      <c r="FD22" s="38">
        <f>FB22/FC22</f>
        <v>1.90580318112624</v>
      </c>
      <c r="FE22" s="20">
        <f>FE7</f>
        <v>418</v>
      </c>
      <c r="FF22" s="42">
        <f>FG19</f>
        <v>180081.5548</v>
      </c>
      <c r="FG22" s="38">
        <f>FE22/FF22</f>
        <v>0.0023211705411153</v>
      </c>
      <c r="FH22" s="20">
        <f>FH7</f>
        <v>349</v>
      </c>
      <c r="FI22" s="42">
        <f>FJ19</f>
        <v>120.971203037629</v>
      </c>
      <c r="FJ22" s="38">
        <f>FH22/FI22</f>
        <v>2.88498412214221</v>
      </c>
      <c r="FK22" s="20">
        <f>FK7</f>
        <v>387</v>
      </c>
      <c r="FL22" s="42">
        <f>FM19</f>
        <v>67.3912756363636</v>
      </c>
      <c r="FM22" s="38">
        <f>FK22/FL22</f>
        <v>5.74258309173745</v>
      </c>
      <c r="FN22" s="20">
        <f>FN7</f>
        <v>716</v>
      </c>
      <c r="FO22" s="42">
        <f>FP19</f>
        <v>130.667199697103</v>
      </c>
      <c r="FP22" s="38">
        <f>FN22/FO22</f>
        <v>5.47956948384708</v>
      </c>
      <c r="FQ22" s="20">
        <f>FQ7</f>
        <v>589</v>
      </c>
      <c r="FR22" s="42">
        <f>FS19</f>
        <v>106.635586442168</v>
      </c>
      <c r="FS22" s="38">
        <f>FQ22/FR22</f>
        <v>5.52348441689714</v>
      </c>
      <c r="FT22" s="20">
        <f>FT7</f>
        <v>388</v>
      </c>
      <c r="FU22" s="42">
        <f>FV19</f>
        <v>98.0211824217515</v>
      </c>
      <c r="FV22" s="38">
        <f>FT22/FU22</f>
        <v>3.95832809209105</v>
      </c>
      <c r="FW22" s="20">
        <f>FW7</f>
        <v>670</v>
      </c>
      <c r="FX22" s="42">
        <f>FY19</f>
        <v>113.974473829223</v>
      </c>
      <c r="FY22" s="38">
        <f>FW22/FX22</f>
        <v>5.87850926167829</v>
      </c>
      <c r="FZ22" s="20">
        <f>FZ7</f>
        <v>255</v>
      </c>
      <c r="GA22" s="42">
        <f>GB19</f>
        <v>41.9995936060688</v>
      </c>
      <c r="GB22" s="38">
        <f>FZ22/GA22</f>
        <v>6.07148731941905</v>
      </c>
      <c r="GC22" s="20">
        <f>GC7</f>
        <v>466</v>
      </c>
      <c r="GD22" s="42">
        <f>GE19</f>
        <v>80.4259866666667</v>
      </c>
      <c r="GE22" s="38">
        <f>GC22/GD22</f>
        <v>5.79414713221216</v>
      </c>
      <c r="GF22" s="20">
        <f>GF7</f>
        <v>994</v>
      </c>
      <c r="GG22" s="42">
        <f>GH19</f>
        <v>164.581754798081</v>
      </c>
      <c r="GH22" s="38">
        <f>GF22/GG22</f>
        <v>6.03955159683102</v>
      </c>
      <c r="GI22" s="20">
        <f>GI7</f>
        <v>570</v>
      </c>
      <c r="GJ22" s="42">
        <f>GK19</f>
        <v>104.099765</v>
      </c>
      <c r="GK22" s="38">
        <f>GI22/GJ22</f>
        <v>5.47551668344304</v>
      </c>
      <c r="GL22" s="20">
        <f>GL7</f>
        <v>370</v>
      </c>
      <c r="GM22" s="42">
        <f>GN19</f>
        <v>67.056472</v>
      </c>
      <c r="GN22" s="38">
        <f>GL22/GM22</f>
        <v>5.51773734830547</v>
      </c>
      <c r="GO22" s="20">
        <f>GO7</f>
        <v>422</v>
      </c>
      <c r="GP22" s="42">
        <f>GQ19</f>
        <v>67.056472</v>
      </c>
      <c r="GQ22" s="38">
        <f>GO22/GP22</f>
        <v>6.29320313779705</v>
      </c>
      <c r="GR22" s="20">
        <f>GR7</f>
        <v>550</v>
      </c>
      <c r="GS22" s="42">
        <f>GT19</f>
        <v>107.569757166667</v>
      </c>
      <c r="GT22" s="38">
        <f>GR22/GS22</f>
        <v>5.11296124939503</v>
      </c>
      <c r="GU22" s="20">
        <f>GU7</f>
        <v>665</v>
      </c>
      <c r="GV22" s="42">
        <f>GW19</f>
        <v>131.04945035533</v>
      </c>
      <c r="GW22" s="38">
        <f>GU22/GV22</f>
        <v>5.07442036724997</v>
      </c>
      <c r="GX22" s="20">
        <f>GX7</f>
        <v>265</v>
      </c>
      <c r="GY22" s="42">
        <f>GZ19</f>
        <v>51.63348344</v>
      </c>
      <c r="GZ22" s="38">
        <f>GX22/GY22</f>
        <v>5.13232852685486</v>
      </c>
      <c r="HA22" s="20">
        <f>HA7</f>
        <v>385</v>
      </c>
      <c r="HB22" s="42">
        <f>HC19</f>
        <v>61.2957975</v>
      </c>
      <c r="HC22" s="38">
        <f>HA22/HB22</f>
        <v>6.28101787891739</v>
      </c>
      <c r="HD22" s="20">
        <f>HD7</f>
        <v>560</v>
      </c>
      <c r="HE22" s="42">
        <f>HF19</f>
        <v>45.7016939864228</v>
      </c>
      <c r="HF22" s="38">
        <f>HD22/HE22</f>
        <v>12.2533751192323</v>
      </c>
      <c r="HG22" s="20">
        <f>HG7</f>
        <v>422</v>
      </c>
      <c r="HH22" s="42">
        <f>HI19</f>
        <v>100.3204696</v>
      </c>
      <c r="HI22" s="38">
        <f>HG22/HH22</f>
        <v>4.20651938415567</v>
      </c>
      <c r="HJ22" s="20">
        <f>HJ7</f>
        <v>531</v>
      </c>
      <c r="HK22" s="42">
        <f>HL19</f>
        <v>138.670600809129</v>
      </c>
      <c r="HL22" s="38">
        <f>HJ22/HK22</f>
        <v>3.82921828348379</v>
      </c>
      <c r="HM22" s="20">
        <f>HM7</f>
        <v>600</v>
      </c>
      <c r="HN22" s="42">
        <f>HO19</f>
        <v>114.864750169262</v>
      </c>
      <c r="HO22" s="38">
        <f>HM22/HN22</f>
        <v>5.22353462760206</v>
      </c>
      <c r="HP22" s="20">
        <f>HP7</f>
        <v>554</v>
      </c>
      <c r="HQ22" s="42">
        <f>HR19</f>
        <v>111.1421208</v>
      </c>
      <c r="HR22" s="38">
        <f>HP22/HQ22</f>
        <v>4.98460885947032</v>
      </c>
      <c r="HS22" s="20">
        <f>HS7</f>
        <v>659</v>
      </c>
      <c r="HT22" s="42">
        <f>HU19</f>
        <v>138.927651</v>
      </c>
      <c r="HU22" s="38">
        <f>HS22/HT22</f>
        <v>4.74347615652121</v>
      </c>
      <c r="HV22" s="20">
        <f>HV7</f>
        <v>293</v>
      </c>
      <c r="HW22" s="42">
        <f>HX19</f>
        <v>119.324359161829</v>
      </c>
      <c r="HX22" s="38">
        <f>HV22/HW22</f>
        <v>2.45549192183491</v>
      </c>
      <c r="HY22" s="20">
        <f>HY7</f>
        <v>682</v>
      </c>
      <c r="HZ22" s="42">
        <f>IA19</f>
        <v>120.844313583052</v>
      </c>
      <c r="IA22" s="38">
        <f>HY22/HZ22</f>
        <v>5.64362508899756</v>
      </c>
      <c r="IB22" s="20">
        <f>IB7</f>
        <v>1906</v>
      </c>
      <c r="IC22" s="42">
        <f>ID19</f>
        <v>137.965132759735</v>
      </c>
      <c r="ID22" s="38">
        <f>IB22/IC22</f>
        <v>13.8150847382526</v>
      </c>
      <c r="IE22" s="20">
        <f>IE7</f>
        <v>513</v>
      </c>
      <c r="IF22" s="42">
        <f>IG19</f>
        <v>36.989611</v>
      </c>
      <c r="IG22" s="38">
        <f>IE22/IF22</f>
        <v>13.8687589874898</v>
      </c>
      <c r="IH22" s="20">
        <f>IH7</f>
        <v>322</v>
      </c>
      <c r="II22" s="42">
        <f>IJ19</f>
        <v>47.7929737517039</v>
      </c>
      <c r="IJ22" s="38">
        <f>IH22/II22</f>
        <v>6.73739202069468</v>
      </c>
      <c r="IK22" s="20">
        <f>IK7</f>
        <v>468</v>
      </c>
      <c r="IL22" s="42">
        <f>IM19</f>
        <v>36.2782667456513</v>
      </c>
      <c r="IM22" s="38">
        <f>IK22/IL22</f>
        <v>12.9002855423378</v>
      </c>
      <c r="IN22" s="20">
        <f>IN7</f>
        <v>788</v>
      </c>
      <c r="IO22" s="42">
        <f>IP19</f>
        <v>73.8194592857143</v>
      </c>
      <c r="IP22" s="38">
        <f>IN22/IO22</f>
        <v>10.6746921153959</v>
      </c>
      <c r="IQ22" s="20">
        <f>IQ7</f>
        <v>608</v>
      </c>
      <c r="IR22" s="42">
        <f>IS19</f>
        <v>60.7924958823529</v>
      </c>
      <c r="IS22" s="38">
        <f>IQ22/IR22</f>
        <v>10.0012343822273</v>
      </c>
      <c r="IT22" s="20">
        <f>IT7</f>
        <v>346</v>
      </c>
      <c r="IU22" s="42">
        <f>IV19</f>
        <v>55.6527964458805</v>
      </c>
      <c r="IV22" s="38">
        <f>IT22/IU22</f>
        <v>6.21711795446735</v>
      </c>
      <c r="IW22" s="20">
        <f>IW7</f>
        <v>503</v>
      </c>
      <c r="IX22" s="42">
        <f>IY19</f>
        <v>51.6736215</v>
      </c>
      <c r="IY22" s="38">
        <f>IW22/IX22</f>
        <v>9.73417355700529</v>
      </c>
      <c r="IZ22" s="20">
        <f>IZ7</f>
        <v>517</v>
      </c>
      <c r="JA22" s="42">
        <f>JB19</f>
        <v>104.275353834691</v>
      </c>
      <c r="JB22" s="38">
        <f>IZ22/JA22</f>
        <v>4.95802681062688</v>
      </c>
      <c r="JC22" s="20">
        <f>JC7</f>
        <v>660</v>
      </c>
      <c r="JD22" s="42">
        <f>JE19</f>
        <v>93.1448643333333</v>
      </c>
      <c r="JE22" s="38">
        <f>JC22/JD22</f>
        <v>7.08573687582053</v>
      </c>
      <c r="JF22" s="20">
        <f>JF7</f>
        <v>756</v>
      </c>
      <c r="JG22" s="42">
        <f>JH19</f>
        <v>111.7738372</v>
      </c>
      <c r="JH22" s="38">
        <f>JF22/JG22</f>
        <v>6.76365792691959</v>
      </c>
      <c r="JI22" s="20">
        <f>JI7</f>
        <v>828</v>
      </c>
      <c r="JJ22" s="42">
        <f>JK19</f>
        <v>139.7172965</v>
      </c>
      <c r="JK22" s="38">
        <f>JI22/JJ22</f>
        <v>5.92625265977717</v>
      </c>
      <c r="JL22" s="20">
        <f>JL7</f>
        <v>619</v>
      </c>
      <c r="JM22" s="42">
        <f>JN19</f>
        <v>127.015724090909</v>
      </c>
      <c r="JN22" s="38">
        <f>JL22/JM22</f>
        <v>4.8734123623699</v>
      </c>
      <c r="JO22" s="20">
        <f>JO7</f>
        <v>322</v>
      </c>
      <c r="JP22" s="42">
        <f>JQ19</f>
        <v>105.846436742424</v>
      </c>
      <c r="JQ22" s="38">
        <f>JO22/JP22</f>
        <v>3.04214303201895</v>
      </c>
    </row>
    <row r="23" spans="1:277">
      <c r="A23" s="2"/>
      <c r="B23" s="2"/>
      <c r="C23" s="2" t="s">
        <v>185</v>
      </c>
      <c r="D23" s="2"/>
      <c r="E23" s="20"/>
      <c r="F23" s="42"/>
      <c r="G23" s="38"/>
      <c r="H23" s="20"/>
      <c r="I23" s="42"/>
      <c r="J23" s="38"/>
      <c r="K23" s="20"/>
      <c r="L23" s="42"/>
      <c r="M23" s="38"/>
      <c r="N23" s="20"/>
      <c r="O23" s="42"/>
      <c r="P23" s="38"/>
      <c r="Q23" s="20"/>
      <c r="R23" s="42"/>
      <c r="S23" s="38"/>
      <c r="T23" s="20"/>
      <c r="U23" s="42"/>
      <c r="V23" s="38"/>
      <c r="W23" s="20"/>
      <c r="X23" s="42"/>
      <c r="Y23" s="38"/>
      <c r="Z23" s="20"/>
      <c r="AA23" s="42"/>
      <c r="AB23" s="38"/>
      <c r="AC23" s="20"/>
      <c r="AD23" s="42"/>
      <c r="AE23" s="38"/>
      <c r="AF23" s="20"/>
      <c r="AG23" s="42"/>
      <c r="AH23" s="38"/>
      <c r="AI23" s="20"/>
      <c r="AJ23" s="42"/>
      <c r="AK23" s="38"/>
      <c r="AL23" s="20"/>
      <c r="AM23" s="42"/>
      <c r="AN23" s="38"/>
      <c r="AO23" s="20"/>
      <c r="AP23" s="42"/>
      <c r="AQ23" s="38"/>
      <c r="AR23" s="20"/>
      <c r="AS23" s="42"/>
      <c r="AT23" s="38"/>
      <c r="AU23" s="20"/>
      <c r="AV23" s="42"/>
      <c r="AW23" s="38"/>
      <c r="AX23" s="20"/>
      <c r="AY23" s="42"/>
      <c r="AZ23" s="38"/>
      <c r="BA23" s="20"/>
      <c r="BB23" s="42"/>
      <c r="BC23" s="38"/>
      <c r="BD23" s="20"/>
      <c r="BE23" s="42"/>
      <c r="BF23" s="38"/>
      <c r="BG23" s="20"/>
      <c r="BH23" s="42"/>
      <c r="BI23" s="38"/>
      <c r="BJ23" s="20"/>
      <c r="BK23" s="42"/>
      <c r="BL23" s="38"/>
      <c r="BM23" s="20"/>
      <c r="BN23" s="42"/>
      <c r="BO23" s="38"/>
      <c r="BP23" s="20"/>
      <c r="BQ23" s="42"/>
      <c r="BR23" s="38"/>
      <c r="BS23" s="20"/>
      <c r="BT23" s="42"/>
      <c r="BU23" s="38"/>
      <c r="BV23" s="20"/>
      <c r="BW23" s="42"/>
      <c r="BX23" s="38"/>
      <c r="BY23" s="20"/>
      <c r="BZ23" s="42"/>
      <c r="CA23" s="38"/>
      <c r="CB23" s="20"/>
      <c r="CC23" s="42"/>
      <c r="CD23" s="38"/>
      <c r="CE23" s="20"/>
      <c r="CF23" s="42"/>
      <c r="CG23" s="38"/>
      <c r="CH23" s="20"/>
      <c r="CI23" s="42"/>
      <c r="CJ23" s="38"/>
      <c r="CK23" s="20"/>
      <c r="CL23" s="42"/>
      <c r="CM23" s="38"/>
      <c r="CN23" s="20"/>
      <c r="CO23" s="42"/>
      <c r="CP23" s="38"/>
      <c r="CQ23" s="20"/>
      <c r="CR23" s="42"/>
      <c r="CS23" s="38"/>
      <c r="CT23" s="20"/>
      <c r="CU23" s="42"/>
      <c r="CV23" s="38"/>
      <c r="CW23" s="20"/>
      <c r="CX23" s="42"/>
      <c r="CY23" s="38"/>
      <c r="CZ23" s="20"/>
      <c r="DA23" s="42"/>
      <c r="DB23" s="38"/>
      <c r="DC23" s="20"/>
      <c r="DD23" s="42"/>
      <c r="DE23" s="38"/>
      <c r="DF23" s="20"/>
      <c r="DG23" s="42"/>
      <c r="DH23" s="38"/>
      <c r="DI23" s="20"/>
      <c r="DJ23" s="42"/>
      <c r="DK23" s="38"/>
      <c r="DL23" s="20"/>
      <c r="DM23" s="42"/>
      <c r="DN23" s="38"/>
      <c r="DO23" s="20"/>
      <c r="DP23" s="42"/>
      <c r="DQ23" s="38"/>
      <c r="DR23" s="20"/>
      <c r="DS23" s="42"/>
      <c r="DT23" s="38"/>
      <c r="DU23" s="20"/>
      <c r="DV23" s="42"/>
      <c r="DW23" s="38"/>
      <c r="DX23" s="20"/>
      <c r="DY23" s="42"/>
      <c r="DZ23" s="38"/>
      <c r="EA23" s="20"/>
      <c r="EB23" s="42"/>
      <c r="EC23" s="38"/>
      <c r="ED23" s="20"/>
      <c r="EE23" s="42"/>
      <c r="EF23" s="38"/>
      <c r="EG23" s="20"/>
      <c r="EH23" s="42"/>
      <c r="EI23" s="38"/>
      <c r="EJ23" s="20"/>
      <c r="EK23" s="42"/>
      <c r="EL23" s="38"/>
      <c r="EM23" s="20"/>
      <c r="EN23" s="42"/>
      <c r="EO23" s="38"/>
      <c r="EP23" s="20"/>
      <c r="EQ23" s="42"/>
      <c r="ER23" s="38"/>
      <c r="ES23" s="20"/>
      <c r="ET23" s="42"/>
      <c r="EU23" s="38"/>
      <c r="EV23" s="20"/>
      <c r="EW23" s="42"/>
      <c r="EX23" s="38"/>
      <c r="EY23" s="20"/>
      <c r="EZ23" s="42"/>
      <c r="FA23" s="38"/>
      <c r="FB23" s="20"/>
      <c r="FC23" s="42"/>
      <c r="FD23" s="38"/>
      <c r="FE23" s="20"/>
      <c r="FF23" s="42"/>
      <c r="FG23" s="38"/>
      <c r="FH23" s="20"/>
      <c r="FI23" s="42"/>
      <c r="FJ23" s="38"/>
      <c r="FK23" s="20"/>
      <c r="FL23" s="42"/>
      <c r="FM23" s="38"/>
      <c r="FN23" s="20"/>
      <c r="FO23" s="42"/>
      <c r="FP23" s="38"/>
      <c r="FQ23" s="20"/>
      <c r="FR23" s="42"/>
      <c r="FS23" s="38"/>
      <c r="FT23" s="20"/>
      <c r="FU23" s="42"/>
      <c r="FV23" s="38"/>
      <c r="FW23" s="20"/>
      <c r="FX23" s="42"/>
      <c r="FY23" s="38"/>
      <c r="FZ23" s="20"/>
      <c r="GA23" s="42"/>
      <c r="GB23" s="38"/>
      <c r="GC23" s="20"/>
      <c r="GD23" s="42"/>
      <c r="GE23" s="38"/>
      <c r="GF23" s="20"/>
      <c r="GG23" s="42"/>
      <c r="GH23" s="38"/>
      <c r="GI23" s="20"/>
      <c r="GJ23" s="42"/>
      <c r="GK23" s="38"/>
      <c r="GL23" s="20"/>
      <c r="GM23" s="42"/>
      <c r="GN23" s="38"/>
      <c r="GO23" s="20"/>
      <c r="GP23" s="42"/>
      <c r="GQ23" s="38"/>
      <c r="GR23" s="20"/>
      <c r="GS23" s="42"/>
      <c r="GT23" s="38"/>
      <c r="GU23" s="20"/>
      <c r="GV23" s="42"/>
      <c r="GW23" s="38"/>
      <c r="GX23" s="20"/>
      <c r="GY23" s="42"/>
      <c r="GZ23" s="38"/>
      <c r="HA23" s="20"/>
      <c r="HB23" s="42"/>
      <c r="HC23" s="38"/>
      <c r="HD23" s="20"/>
      <c r="HE23" s="42"/>
      <c r="HF23" s="38"/>
      <c r="HG23" s="20"/>
      <c r="HH23" s="42"/>
      <c r="HI23" s="38"/>
      <c r="HJ23" s="20"/>
      <c r="HK23" s="42"/>
      <c r="HL23" s="38"/>
      <c r="HM23" s="20"/>
      <c r="HN23" s="42"/>
      <c r="HO23" s="38"/>
      <c r="HP23" s="20"/>
      <c r="HQ23" s="42"/>
      <c r="HR23" s="38"/>
      <c r="HS23" s="20"/>
      <c r="HT23" s="42"/>
      <c r="HU23" s="38"/>
      <c r="HV23" s="20"/>
      <c r="HW23" s="42"/>
      <c r="HX23" s="38"/>
      <c r="HY23" s="20"/>
      <c r="HZ23" s="42"/>
      <c r="IA23" s="38"/>
      <c r="IB23" s="20"/>
      <c r="IC23" s="42"/>
      <c r="ID23" s="38"/>
      <c r="IE23" s="20"/>
      <c r="IF23" s="42"/>
      <c r="IG23" s="38"/>
      <c r="IH23" s="20"/>
      <c r="II23" s="42"/>
      <c r="IJ23" s="38"/>
      <c r="IK23" s="20"/>
      <c r="IL23" s="42"/>
      <c r="IM23" s="38"/>
      <c r="IN23" s="20"/>
      <c r="IO23" s="42"/>
      <c r="IP23" s="38"/>
      <c r="IQ23" s="20"/>
      <c r="IR23" s="42"/>
      <c r="IS23" s="38"/>
      <c r="IT23" s="20"/>
      <c r="IU23" s="42"/>
      <c r="IV23" s="38"/>
      <c r="IW23" s="20"/>
      <c r="IX23" s="42"/>
      <c r="IY23" s="38"/>
      <c r="IZ23" s="20"/>
      <c r="JA23" s="42"/>
      <c r="JB23" s="38"/>
      <c r="JC23" s="20"/>
      <c r="JD23" s="42"/>
      <c r="JE23" s="38"/>
      <c r="JF23" s="20"/>
      <c r="JG23" s="42"/>
      <c r="JH23" s="38"/>
      <c r="JI23" s="20"/>
      <c r="JJ23" s="42"/>
      <c r="JK23" s="38"/>
      <c r="JL23" s="20"/>
      <c r="JM23" s="42"/>
      <c r="JN23" s="38"/>
      <c r="JO23" s="20"/>
      <c r="JP23" s="42"/>
      <c r="JQ23" s="38"/>
    </row>
    <row r="24" spans="1:277">
      <c r="A24" s="2"/>
      <c r="B24" s="2"/>
      <c r="C24" s="2"/>
      <c r="D24" s="2"/>
      <c r="E24" s="20"/>
      <c r="F24" s="2"/>
      <c r="G24" s="85"/>
      <c r="H24" s="20"/>
      <c r="I24" s="2"/>
      <c r="J24" s="85"/>
      <c r="K24" s="20"/>
      <c r="L24" s="2"/>
      <c r="M24" s="85"/>
      <c r="N24" s="20"/>
      <c r="O24" s="2"/>
      <c r="P24" s="85"/>
      <c r="Q24" s="20"/>
      <c r="R24" s="2"/>
      <c r="S24" s="85"/>
      <c r="T24" s="20"/>
      <c r="U24" s="2"/>
      <c r="V24" s="85"/>
      <c r="W24" s="20"/>
      <c r="X24" s="2"/>
      <c r="Y24" s="85"/>
      <c r="Z24" s="20"/>
      <c r="AA24" s="2"/>
      <c r="AB24" s="85"/>
      <c r="AC24" s="20"/>
      <c r="AD24" s="2"/>
      <c r="AE24" s="85"/>
      <c r="AF24" s="20"/>
      <c r="AG24" s="2"/>
      <c r="AH24" s="85"/>
      <c r="AI24" s="20"/>
      <c r="AJ24" s="2"/>
      <c r="AK24" s="85"/>
      <c r="AL24" s="20"/>
      <c r="AM24" s="2"/>
      <c r="AN24" s="85"/>
      <c r="AO24" s="20"/>
      <c r="AP24" s="2"/>
      <c r="AQ24" s="85"/>
      <c r="AR24" s="20"/>
      <c r="AS24" s="2"/>
      <c r="AT24" s="85"/>
      <c r="AU24" s="20"/>
      <c r="AV24" s="2"/>
      <c r="AW24" s="85"/>
      <c r="AX24" s="20"/>
      <c r="AY24" s="2"/>
      <c r="AZ24" s="85"/>
      <c r="BA24" s="20"/>
      <c r="BB24" s="2"/>
      <c r="BC24" s="85"/>
      <c r="BD24" s="20"/>
      <c r="BE24" s="2"/>
      <c r="BF24" s="85"/>
      <c r="BG24" s="20"/>
      <c r="BH24" s="2"/>
      <c r="BI24" s="85"/>
      <c r="BJ24" s="20"/>
      <c r="BK24" s="2"/>
      <c r="BL24" s="85"/>
      <c r="BM24" s="20"/>
      <c r="BN24" s="2"/>
      <c r="BO24" s="85"/>
      <c r="BP24" s="20"/>
      <c r="BQ24" s="2"/>
      <c r="BR24" s="85"/>
      <c r="BS24" s="20"/>
      <c r="BT24" s="2"/>
      <c r="BU24" s="85"/>
      <c r="BV24" s="20"/>
      <c r="BW24" s="2"/>
      <c r="BX24" s="85"/>
      <c r="BY24" s="20"/>
      <c r="BZ24" s="2"/>
      <c r="CA24" s="85"/>
      <c r="CB24" s="20"/>
      <c r="CC24" s="2"/>
      <c r="CD24" s="85"/>
      <c r="CE24" s="20"/>
      <c r="CF24" s="2"/>
      <c r="CG24" s="85"/>
      <c r="CH24" s="20"/>
      <c r="CI24" s="2"/>
      <c r="CJ24" s="85"/>
      <c r="CK24" s="20"/>
      <c r="CL24" s="2"/>
      <c r="CM24" s="85"/>
      <c r="CN24" s="20"/>
      <c r="CO24" s="2"/>
      <c r="CP24" s="85"/>
      <c r="CQ24" s="20"/>
      <c r="CR24" s="2"/>
      <c r="CS24" s="85"/>
      <c r="CT24" s="20"/>
      <c r="CU24" s="2"/>
      <c r="CV24" s="85"/>
      <c r="CW24" s="20"/>
      <c r="CX24" s="2"/>
      <c r="CY24" s="85"/>
      <c r="CZ24" s="20"/>
      <c r="DA24" s="2"/>
      <c r="DB24" s="85"/>
      <c r="DC24" s="20"/>
      <c r="DD24" s="2"/>
      <c r="DE24" s="85"/>
      <c r="DF24" s="20"/>
      <c r="DG24" s="2"/>
      <c r="DH24" s="85"/>
      <c r="DI24" s="20"/>
      <c r="DJ24" s="2"/>
      <c r="DK24" s="85"/>
      <c r="DL24" s="20"/>
      <c r="DM24" s="2"/>
      <c r="DN24" s="85"/>
      <c r="DO24" s="20"/>
      <c r="DP24" s="2"/>
      <c r="DQ24" s="85"/>
      <c r="DR24" s="20"/>
      <c r="DS24" s="2"/>
      <c r="DT24" s="85"/>
      <c r="DU24" s="20"/>
      <c r="DV24" s="2"/>
      <c r="DW24" s="85"/>
      <c r="DX24" s="20"/>
      <c r="DY24" s="2"/>
      <c r="DZ24" s="85"/>
      <c r="EA24" s="20"/>
      <c r="EB24" s="2"/>
      <c r="EC24" s="85"/>
      <c r="ED24" s="20"/>
      <c r="EE24" s="2"/>
      <c r="EF24" s="85"/>
      <c r="EG24" s="20"/>
      <c r="EH24" s="2"/>
      <c r="EI24" s="85"/>
      <c r="EJ24" s="20"/>
      <c r="EK24" s="2"/>
      <c r="EL24" s="85"/>
      <c r="EM24" s="20"/>
      <c r="EN24" s="2"/>
      <c r="EO24" s="85"/>
      <c r="EP24" s="20"/>
      <c r="EQ24" s="2"/>
      <c r="ER24" s="85"/>
      <c r="ES24" s="20"/>
      <c r="ET24" s="2"/>
      <c r="EU24" s="85"/>
      <c r="EV24" s="20"/>
      <c r="EW24" s="2"/>
      <c r="EX24" s="85"/>
      <c r="EY24" s="20"/>
      <c r="EZ24" s="2"/>
      <c r="FA24" s="85"/>
      <c r="FB24" s="20"/>
      <c r="FC24" s="2"/>
      <c r="FD24" s="85"/>
      <c r="FE24" s="20"/>
      <c r="FF24" s="2"/>
      <c r="FG24" s="85"/>
      <c r="FH24" s="20"/>
      <c r="FI24" s="2"/>
      <c r="FJ24" s="85"/>
      <c r="FK24" s="20"/>
      <c r="FL24" s="2"/>
      <c r="FM24" s="85"/>
      <c r="FN24" s="20"/>
      <c r="FO24" s="2"/>
      <c r="FP24" s="85"/>
      <c r="FQ24" s="20"/>
      <c r="FR24" s="2"/>
      <c r="FS24" s="85"/>
      <c r="FT24" s="20"/>
      <c r="FU24" s="2"/>
      <c r="FV24" s="85"/>
      <c r="FW24" s="20"/>
      <c r="FX24" s="2"/>
      <c r="FY24" s="85"/>
      <c r="FZ24" s="20"/>
      <c r="GA24" s="2"/>
      <c r="GB24" s="85"/>
      <c r="GC24" s="20"/>
      <c r="GD24" s="2"/>
      <c r="GE24" s="85"/>
      <c r="GF24" s="20"/>
      <c r="GG24" s="2"/>
      <c r="GH24" s="85"/>
      <c r="GI24" s="20"/>
      <c r="GJ24" s="2"/>
      <c r="GK24" s="85"/>
      <c r="GL24" s="20"/>
      <c r="GM24" s="2"/>
      <c r="GN24" s="85"/>
      <c r="GO24" s="20"/>
      <c r="GP24" s="2"/>
      <c r="GQ24" s="85"/>
      <c r="GR24" s="20"/>
      <c r="GS24" s="2"/>
      <c r="GT24" s="85"/>
      <c r="GU24" s="20"/>
      <c r="GV24" s="2"/>
      <c r="GW24" s="85"/>
      <c r="GX24" s="20"/>
      <c r="GY24" s="2"/>
      <c r="GZ24" s="85"/>
      <c r="HA24" s="20"/>
      <c r="HB24" s="2"/>
      <c r="HC24" s="85"/>
      <c r="HD24" s="20"/>
      <c r="HE24" s="2"/>
      <c r="HF24" s="85"/>
      <c r="HG24" s="20"/>
      <c r="HH24" s="2"/>
      <c r="HI24" s="85"/>
      <c r="HJ24" s="20"/>
      <c r="HK24" s="2"/>
      <c r="HL24" s="85"/>
      <c r="HM24" s="20"/>
      <c r="HN24" s="2"/>
      <c r="HO24" s="85"/>
      <c r="HP24" s="20"/>
      <c r="HQ24" s="2"/>
      <c r="HR24" s="85"/>
      <c r="HS24" s="20"/>
      <c r="HT24" s="2"/>
      <c r="HU24" s="85"/>
      <c r="HV24" s="20"/>
      <c r="HW24" s="2"/>
      <c r="HX24" s="85"/>
      <c r="HY24" s="20"/>
      <c r="HZ24" s="2"/>
      <c r="IA24" s="85"/>
      <c r="IB24" s="20"/>
      <c r="IC24" s="2"/>
      <c r="ID24" s="85"/>
      <c r="IE24" s="20"/>
      <c r="IF24" s="2"/>
      <c r="IG24" s="85"/>
      <c r="IH24" s="20"/>
      <c r="II24" s="2"/>
      <c r="IJ24" s="85"/>
      <c r="IK24" s="20"/>
      <c r="IL24" s="2"/>
      <c r="IM24" s="85"/>
      <c r="IN24" s="20"/>
      <c r="IO24" s="2"/>
      <c r="IP24" s="85"/>
      <c r="IQ24" s="20"/>
      <c r="IR24" s="2"/>
      <c r="IS24" s="85"/>
      <c r="IT24" s="20"/>
      <c r="IU24" s="2"/>
      <c r="IV24" s="85"/>
      <c r="IW24" s="20"/>
      <c r="IX24" s="2"/>
      <c r="IY24" s="85"/>
      <c r="IZ24" s="20"/>
      <c r="JA24" s="2"/>
      <c r="JB24" s="85"/>
      <c r="JC24" s="20"/>
      <c r="JD24" s="2"/>
      <c r="JE24" s="85"/>
      <c r="JF24" s="20"/>
      <c r="JG24" s="2"/>
      <c r="JH24" s="85"/>
      <c r="JI24" s="20"/>
      <c r="JJ24" s="2"/>
      <c r="JK24" s="85"/>
      <c r="JL24" s="20"/>
      <c r="JM24" s="2"/>
      <c r="JN24" s="85"/>
      <c r="JO24" s="20"/>
      <c r="JP24" s="2"/>
      <c r="JQ24" s="85"/>
    </row>
    <row r="25" spans="1:277">
      <c r="A25" s="2">
        <v>8</v>
      </c>
      <c r="B25" s="2" t="s">
        <v>186</v>
      </c>
      <c r="C25" s="37" t="s">
        <v>187</v>
      </c>
      <c r="D25" s="41" t="s">
        <v>295</v>
      </c>
      <c r="E25" s="42">
        <v>12</v>
      </c>
      <c r="F25" s="20">
        <f>E7</f>
        <v>520</v>
      </c>
      <c r="G25" s="38">
        <f>(E25/F25)*100</f>
        <v>2.30769230769231</v>
      </c>
      <c r="H25" s="42">
        <v>0</v>
      </c>
      <c r="I25" s="20">
        <f>H7</f>
        <v>197</v>
      </c>
      <c r="J25" s="38">
        <f>(H25/I25)*100</f>
        <v>0</v>
      </c>
      <c r="K25" s="42">
        <v>5</v>
      </c>
      <c r="L25" s="20">
        <f>K7</f>
        <v>860</v>
      </c>
      <c r="M25" s="38">
        <f>(K25/L25)*100</f>
        <v>0.581395348837209</v>
      </c>
      <c r="N25" s="42">
        <v>8.42</v>
      </c>
      <c r="O25" s="20">
        <f>N7</f>
        <v>603</v>
      </c>
      <c r="P25" s="38">
        <f>(N25/O25)*100</f>
        <v>1.39635157545605</v>
      </c>
      <c r="Q25" s="42">
        <v>10.52</v>
      </c>
      <c r="R25" s="20">
        <f>Q7</f>
        <v>587</v>
      </c>
      <c r="S25" s="38">
        <f>(Q25/R25)*100</f>
        <v>1.79216354344123</v>
      </c>
      <c r="T25" s="42">
        <v>5.26</v>
      </c>
      <c r="U25" s="20">
        <f>T7</f>
        <v>985</v>
      </c>
      <c r="V25" s="38">
        <f>(T25/U25)*100</f>
        <v>0.534010152284264</v>
      </c>
      <c r="W25" s="42">
        <v>0</v>
      </c>
      <c r="X25" s="20">
        <f>W7</f>
        <v>333</v>
      </c>
      <c r="Y25" s="38">
        <f>(W25/X25)*100</f>
        <v>0</v>
      </c>
      <c r="Z25" s="42">
        <v>0</v>
      </c>
      <c r="AA25" s="20">
        <f>Z7</f>
        <v>313</v>
      </c>
      <c r="AB25" s="38">
        <f>(Z25/AA25)*100</f>
        <v>0</v>
      </c>
      <c r="AC25" s="42">
        <v>5.26</v>
      </c>
      <c r="AD25" s="20">
        <f>AC7</f>
        <v>297</v>
      </c>
      <c r="AE25" s="38">
        <f>(AC25/AD25)*100</f>
        <v>1.77104377104377</v>
      </c>
      <c r="AF25" s="42">
        <v>0</v>
      </c>
      <c r="AG25" s="20">
        <f>AF7</f>
        <v>506</v>
      </c>
      <c r="AH25" s="38">
        <f>(AF25/AG25)*100</f>
        <v>0</v>
      </c>
      <c r="AI25" s="42">
        <v>10.52</v>
      </c>
      <c r="AJ25" s="20">
        <f>AI7</f>
        <v>462</v>
      </c>
      <c r="AK25" s="38">
        <f>(AI25/AJ25)*100</f>
        <v>2.27705627705628</v>
      </c>
      <c r="AL25" s="42">
        <v>10.52</v>
      </c>
      <c r="AM25" s="20">
        <f>AL7</f>
        <v>492</v>
      </c>
      <c r="AN25" s="38">
        <f>(AL25/AM25)*100</f>
        <v>2.13821138211382</v>
      </c>
      <c r="AO25" s="42">
        <v>15.79</v>
      </c>
      <c r="AP25" s="20">
        <f>AO7</f>
        <v>608</v>
      </c>
      <c r="AQ25" s="38">
        <f>(AO25/AP25)*100</f>
        <v>2.59703947368421</v>
      </c>
      <c r="AR25" s="42">
        <v>5</v>
      </c>
      <c r="AS25" s="20">
        <f>AR7</f>
        <v>763</v>
      </c>
      <c r="AT25" s="38">
        <f>(AR25/AS25)*100</f>
        <v>0.655307994757536</v>
      </c>
      <c r="AU25" s="42">
        <v>5</v>
      </c>
      <c r="AV25" s="20">
        <f>AU7</f>
        <v>379</v>
      </c>
      <c r="AW25" s="38">
        <f>(AU25/AV25)*100</f>
        <v>1.31926121372032</v>
      </c>
      <c r="AX25" s="42">
        <v>12</v>
      </c>
      <c r="AY25" s="20">
        <f>AX7</f>
        <v>895</v>
      </c>
      <c r="AZ25" s="38">
        <f>(AX25/AY25)*100</f>
        <v>1.34078212290503</v>
      </c>
      <c r="BA25" s="42">
        <v>12</v>
      </c>
      <c r="BB25" s="20">
        <f>BA7</f>
        <v>318</v>
      </c>
      <c r="BC25" s="38">
        <f>(BA25/BB25)*100</f>
        <v>3.77358490566038</v>
      </c>
      <c r="BD25" s="42">
        <v>12</v>
      </c>
      <c r="BE25" s="20">
        <f>BD7</f>
        <v>597</v>
      </c>
      <c r="BF25" s="38">
        <f>(BD25/BE25)*100</f>
        <v>2.01005025125628</v>
      </c>
      <c r="BG25" s="42">
        <v>3.15</v>
      </c>
      <c r="BH25" s="20">
        <f>BG7</f>
        <v>284</v>
      </c>
      <c r="BI25" s="38">
        <f>(BG25/BH25)*100</f>
        <v>1.10915492957746</v>
      </c>
      <c r="BJ25" s="42">
        <v>3.15</v>
      </c>
      <c r="BK25" s="20">
        <f>BJ7</f>
        <v>253</v>
      </c>
      <c r="BL25" s="38">
        <f>(BJ25/BK25)*100</f>
        <v>1.24505928853755</v>
      </c>
      <c r="BM25" s="42">
        <v>0</v>
      </c>
      <c r="BN25" s="20">
        <f>BM7</f>
        <v>253</v>
      </c>
      <c r="BO25" s="38">
        <f>(BM25/BN25)*100</f>
        <v>0</v>
      </c>
      <c r="BP25" s="42">
        <v>0</v>
      </c>
      <c r="BQ25" s="20">
        <f>BP7</f>
        <v>311</v>
      </c>
      <c r="BR25" s="38">
        <f>(BP25/BQ25)*100</f>
        <v>0</v>
      </c>
      <c r="BS25" s="42">
        <v>0</v>
      </c>
      <c r="BT25" s="20">
        <f>BS7</f>
        <v>477</v>
      </c>
      <c r="BU25" s="38">
        <f>(BS25/BT25)*100</f>
        <v>0</v>
      </c>
      <c r="BV25" s="42">
        <v>0</v>
      </c>
      <c r="BW25" s="20">
        <f>BV7</f>
        <v>284</v>
      </c>
      <c r="BX25" s="38">
        <f>(BV25/BW25)*100</f>
        <v>0</v>
      </c>
      <c r="BY25" s="42">
        <v>0</v>
      </c>
      <c r="BZ25" s="20">
        <f>BY7</f>
        <v>210</v>
      </c>
      <c r="CA25" s="38">
        <f>(BY25/BZ25)*100</f>
        <v>0</v>
      </c>
      <c r="CB25" s="42">
        <v>0</v>
      </c>
      <c r="CC25" s="20">
        <f>CB7</f>
        <v>878</v>
      </c>
      <c r="CD25" s="38">
        <f>(CB25/CC25)*100</f>
        <v>0</v>
      </c>
      <c r="CE25" s="42">
        <v>0</v>
      </c>
      <c r="CF25" s="20">
        <f>CE7</f>
        <v>456</v>
      </c>
      <c r="CG25" s="38">
        <f>(CE25/CF25)*100</f>
        <v>0</v>
      </c>
      <c r="CH25" s="42">
        <v>0</v>
      </c>
      <c r="CI25" s="20">
        <f>CH7</f>
        <v>551</v>
      </c>
      <c r="CJ25" s="38">
        <f>(CH25/CI25)*100</f>
        <v>0</v>
      </c>
      <c r="CK25" s="42">
        <v>0</v>
      </c>
      <c r="CL25" s="20">
        <f>CK7</f>
        <v>882</v>
      </c>
      <c r="CM25" s="38">
        <f>(CK25/CL25)*100</f>
        <v>0</v>
      </c>
      <c r="CN25" s="42">
        <v>14.73</v>
      </c>
      <c r="CO25" s="20">
        <f>CN7</f>
        <v>1001</v>
      </c>
      <c r="CP25" s="38">
        <f>(CN25/CO25)*100</f>
        <v>1.47152847152847</v>
      </c>
      <c r="CQ25" s="42">
        <v>14.73</v>
      </c>
      <c r="CR25" s="20">
        <f>CQ7</f>
        <v>305</v>
      </c>
      <c r="CS25" s="38">
        <f>(CQ25/CR25)*100</f>
        <v>4.82950819672131</v>
      </c>
      <c r="CT25" s="42">
        <v>0</v>
      </c>
      <c r="CU25" s="20">
        <f>CT7</f>
        <v>391</v>
      </c>
      <c r="CV25" s="38">
        <f>(CT25/CU25)*100</f>
        <v>0</v>
      </c>
      <c r="CW25" s="42">
        <v>5</v>
      </c>
      <c r="CX25" s="20">
        <f>CW7</f>
        <v>521</v>
      </c>
      <c r="CY25" s="38">
        <f>(CW25/CX25)*100</f>
        <v>0.959692898272553</v>
      </c>
      <c r="CZ25" s="42">
        <v>0</v>
      </c>
      <c r="DA25" s="20">
        <f>CZ7</f>
        <v>597</v>
      </c>
      <c r="DB25" s="38">
        <f>(CZ25/DA25)*100</f>
        <v>0</v>
      </c>
      <c r="DC25" s="42">
        <v>0</v>
      </c>
      <c r="DD25" s="20">
        <f>DC7</f>
        <v>254</v>
      </c>
      <c r="DE25" s="38">
        <f>(DC25/DD25)*100</f>
        <v>0</v>
      </c>
      <c r="DF25" s="42">
        <v>0</v>
      </c>
      <c r="DG25" s="20">
        <f>DF7</f>
        <v>254</v>
      </c>
      <c r="DH25" s="38">
        <f>(DF25/DG25)*100</f>
        <v>0</v>
      </c>
      <c r="DI25" s="42">
        <v>0</v>
      </c>
      <c r="DJ25" s="20">
        <f>DI7</f>
        <v>197</v>
      </c>
      <c r="DK25" s="38">
        <f>(DI25/DJ25)*100</f>
        <v>0</v>
      </c>
      <c r="DL25" s="42">
        <v>8</v>
      </c>
      <c r="DM25" s="20">
        <f>DL7</f>
        <v>468</v>
      </c>
      <c r="DN25" s="38">
        <f>(DL25/DM25)*100</f>
        <v>1.70940170940171</v>
      </c>
      <c r="DO25" s="42">
        <v>0</v>
      </c>
      <c r="DP25" s="20">
        <f>DO7</f>
        <v>494</v>
      </c>
      <c r="DQ25" s="38">
        <f>(DO25/DP25)*100</f>
        <v>0</v>
      </c>
      <c r="DR25" s="42">
        <v>0</v>
      </c>
      <c r="DS25" s="20">
        <f>DR7</f>
        <v>211</v>
      </c>
      <c r="DT25" s="38">
        <f>(DR25/DS25)*100</f>
        <v>0</v>
      </c>
      <c r="DU25" s="42">
        <v>7.36</v>
      </c>
      <c r="DV25" s="20">
        <f>DU7</f>
        <v>533</v>
      </c>
      <c r="DW25" s="38">
        <f>(DU25/DV25)*100</f>
        <v>1.38086303939962</v>
      </c>
      <c r="DX25" s="42">
        <v>0</v>
      </c>
      <c r="DY25" s="20">
        <f>DX7</f>
        <v>247</v>
      </c>
      <c r="DZ25" s="38">
        <f>(DX25/DY25)*100</f>
        <v>0</v>
      </c>
      <c r="EA25" s="42">
        <v>0</v>
      </c>
      <c r="EB25" s="20">
        <f>EA7</f>
        <v>411</v>
      </c>
      <c r="EC25" s="38">
        <f>(EA25/EB25)*100</f>
        <v>0</v>
      </c>
      <c r="ED25" s="42">
        <v>0</v>
      </c>
      <c r="EE25" s="20">
        <f>ED7</f>
        <v>212</v>
      </c>
      <c r="EF25" s="38">
        <f>(ED25/EE25)*100</f>
        <v>0</v>
      </c>
      <c r="EG25" s="42">
        <v>0</v>
      </c>
      <c r="EH25" s="20">
        <f>EG7</f>
        <v>416</v>
      </c>
      <c r="EI25" s="38">
        <f>(EG25/EH25)*100</f>
        <v>0</v>
      </c>
      <c r="EJ25" s="42">
        <v>0</v>
      </c>
      <c r="EK25" s="20">
        <f>EJ7</f>
        <v>265</v>
      </c>
      <c r="EL25" s="38">
        <f>(EJ25/EK25)*100</f>
        <v>0</v>
      </c>
      <c r="EM25" s="42">
        <v>0</v>
      </c>
      <c r="EN25" s="20">
        <f>EM7</f>
        <v>600</v>
      </c>
      <c r="EO25" s="38">
        <f>(EM25/EN25)*100</f>
        <v>0</v>
      </c>
      <c r="EP25" s="42">
        <v>12.63</v>
      </c>
      <c r="EQ25" s="20">
        <f>EP7</f>
        <v>851</v>
      </c>
      <c r="ER25" s="38">
        <f>(EP25/EQ25)*100</f>
        <v>1.48413631022327</v>
      </c>
      <c r="ES25" s="42">
        <v>0</v>
      </c>
      <c r="ET25" s="20">
        <f>ES7</f>
        <v>614</v>
      </c>
      <c r="EU25" s="38">
        <f>(ES25/ET25)*100</f>
        <v>0</v>
      </c>
      <c r="EV25" s="42">
        <v>0</v>
      </c>
      <c r="EW25" s="20">
        <f>EV7</f>
        <v>373</v>
      </c>
      <c r="EX25" s="38">
        <f>(EV25/EW25)*100</f>
        <v>0</v>
      </c>
      <c r="EY25" s="42">
        <v>0</v>
      </c>
      <c r="EZ25" s="20">
        <f>EY7</f>
        <v>208</v>
      </c>
      <c r="FA25" s="38">
        <f>(EY25/EZ25)*100</f>
        <v>0</v>
      </c>
      <c r="FB25" s="42">
        <v>0</v>
      </c>
      <c r="FC25" s="20">
        <f>FB7</f>
        <v>208</v>
      </c>
      <c r="FD25" s="38">
        <f>(FB25/FC25)*100</f>
        <v>0</v>
      </c>
      <c r="FE25" s="42">
        <v>0</v>
      </c>
      <c r="FF25" s="20">
        <f>FE7</f>
        <v>418</v>
      </c>
      <c r="FG25" s="38">
        <f>(FE25/FF25)*100</f>
        <v>0</v>
      </c>
      <c r="FH25" s="42">
        <v>0</v>
      </c>
      <c r="FI25" s="20">
        <f>FH7</f>
        <v>349</v>
      </c>
      <c r="FJ25" s="38">
        <f>(FH25/FI25)*100</f>
        <v>0</v>
      </c>
      <c r="FK25" s="42">
        <v>0</v>
      </c>
      <c r="FL25" s="20">
        <f>FK7</f>
        <v>387</v>
      </c>
      <c r="FM25" s="38">
        <f>(FK25/FL25)*100</f>
        <v>0</v>
      </c>
      <c r="FN25" s="42">
        <v>15.79</v>
      </c>
      <c r="FO25" s="20">
        <f>FN7</f>
        <v>716</v>
      </c>
      <c r="FP25" s="38">
        <f>(FN25/FO25)*100</f>
        <v>2.20530726256983</v>
      </c>
      <c r="FQ25" s="42">
        <v>5.26</v>
      </c>
      <c r="FR25" s="20">
        <f>FQ7</f>
        <v>589</v>
      </c>
      <c r="FS25" s="38">
        <f>(FQ25/FR25)*100</f>
        <v>0.893039049235993</v>
      </c>
      <c r="FT25" s="42">
        <v>0</v>
      </c>
      <c r="FU25" s="20">
        <f>FT7</f>
        <v>388</v>
      </c>
      <c r="FV25" s="38">
        <f>(FT25/FU25)*100</f>
        <v>0</v>
      </c>
      <c r="FW25" s="42">
        <v>0</v>
      </c>
      <c r="FX25" s="20">
        <f>FW7</f>
        <v>670</v>
      </c>
      <c r="FY25" s="38">
        <f>(FW25/FX25)*100</f>
        <v>0</v>
      </c>
      <c r="FZ25" s="42">
        <v>0</v>
      </c>
      <c r="GA25" s="20">
        <f>FZ7</f>
        <v>255</v>
      </c>
      <c r="GB25" s="38">
        <f>(FZ25/GA25)*100</f>
        <v>0</v>
      </c>
      <c r="GC25" s="42">
        <v>0</v>
      </c>
      <c r="GD25" s="20">
        <f>GC7</f>
        <v>466</v>
      </c>
      <c r="GE25" s="38">
        <f>(GC25/GD25)*100</f>
        <v>0</v>
      </c>
      <c r="GF25" s="42">
        <v>0</v>
      </c>
      <c r="GG25" s="20">
        <f>GF7</f>
        <v>994</v>
      </c>
      <c r="GH25" s="38">
        <f>(GF25/GG25)*100</f>
        <v>0</v>
      </c>
      <c r="GI25" s="42">
        <v>0</v>
      </c>
      <c r="GJ25" s="20">
        <f>GI7</f>
        <v>570</v>
      </c>
      <c r="GK25" s="38">
        <f>(GI25/GJ25)*100</f>
        <v>0</v>
      </c>
      <c r="GL25" s="42">
        <v>0</v>
      </c>
      <c r="GM25" s="20">
        <f>GL7</f>
        <v>370</v>
      </c>
      <c r="GN25" s="38">
        <f>(GL25/GM25)*100</f>
        <v>0</v>
      </c>
      <c r="GO25" s="42">
        <v>0</v>
      </c>
      <c r="GP25" s="20">
        <f>GO7</f>
        <v>422</v>
      </c>
      <c r="GQ25" s="38">
        <f>(GO25/GP25)*100</f>
        <v>0</v>
      </c>
      <c r="GR25" s="42">
        <v>0</v>
      </c>
      <c r="GS25" s="20">
        <f>GR7</f>
        <v>550</v>
      </c>
      <c r="GT25" s="38">
        <f>(GR25/GS25)*100</f>
        <v>0</v>
      </c>
      <c r="GU25" s="42">
        <v>0</v>
      </c>
      <c r="GV25" s="20">
        <f>GU7</f>
        <v>665</v>
      </c>
      <c r="GW25" s="38">
        <f>(GU25/GV25)*100</f>
        <v>0</v>
      </c>
      <c r="GX25" s="42">
        <v>0</v>
      </c>
      <c r="GY25" s="20">
        <f>GX7</f>
        <v>265</v>
      </c>
      <c r="GZ25" s="38">
        <f>(GX25/GY25)*100</f>
        <v>0</v>
      </c>
      <c r="HA25" s="42">
        <v>0</v>
      </c>
      <c r="HB25" s="20">
        <f>HA7</f>
        <v>385</v>
      </c>
      <c r="HC25" s="38">
        <f>(HA25/HB25)*100</f>
        <v>0</v>
      </c>
      <c r="HD25" s="42">
        <v>0</v>
      </c>
      <c r="HE25" s="20">
        <f>HD7</f>
        <v>560</v>
      </c>
      <c r="HF25" s="38">
        <f>(HD25/HE25)*100</f>
        <v>0</v>
      </c>
      <c r="HG25" s="42">
        <v>0</v>
      </c>
      <c r="HH25" s="20">
        <f>HG7</f>
        <v>422</v>
      </c>
      <c r="HI25" s="38">
        <f>(HG25/HH25)*100</f>
        <v>0</v>
      </c>
      <c r="HJ25" s="42">
        <v>0</v>
      </c>
      <c r="HK25" s="20">
        <f>HJ7</f>
        <v>531</v>
      </c>
      <c r="HL25" s="38">
        <f>(HJ25/HK25)*100</f>
        <v>0</v>
      </c>
      <c r="HM25" s="42">
        <v>4.21</v>
      </c>
      <c r="HN25" s="20">
        <f>HM7</f>
        <v>600</v>
      </c>
      <c r="HO25" s="38">
        <f>(HM25/HN25)*100</f>
        <v>0.701666666666667</v>
      </c>
      <c r="HP25" s="42">
        <v>0</v>
      </c>
      <c r="HQ25" s="20">
        <f>HP7</f>
        <v>554</v>
      </c>
      <c r="HR25" s="38">
        <f>(HP25/HQ25)*100</f>
        <v>0</v>
      </c>
      <c r="HS25" s="42">
        <v>0</v>
      </c>
      <c r="HT25" s="20">
        <f>HS7</f>
        <v>659</v>
      </c>
      <c r="HU25" s="38">
        <f>(HS25/HT25)*100</f>
        <v>0</v>
      </c>
      <c r="HV25" s="42">
        <v>0</v>
      </c>
      <c r="HW25" s="20">
        <f>HV7</f>
        <v>293</v>
      </c>
      <c r="HX25" s="38">
        <f>(HV25/HW25)*100</f>
        <v>0</v>
      </c>
      <c r="HY25" s="42">
        <v>8.42</v>
      </c>
      <c r="HZ25" s="20">
        <f>HY7</f>
        <v>682</v>
      </c>
      <c r="IA25" s="38">
        <f>(HY25/HZ25)*100</f>
        <v>1.23460410557185</v>
      </c>
      <c r="IB25" s="42">
        <v>10.52</v>
      </c>
      <c r="IC25" s="20">
        <f>IB7</f>
        <v>1906</v>
      </c>
      <c r="ID25" s="38">
        <f>(IB25/IC25)*100</f>
        <v>0.551941238195173</v>
      </c>
      <c r="IE25" s="42">
        <v>10.52</v>
      </c>
      <c r="IF25" s="20">
        <f>IE7</f>
        <v>513</v>
      </c>
      <c r="IG25" s="38">
        <f>(IE25/IF25)*100</f>
        <v>2.05068226120858</v>
      </c>
      <c r="IH25" s="42">
        <v>10.52</v>
      </c>
      <c r="II25" s="20">
        <f>IH7</f>
        <v>322</v>
      </c>
      <c r="IJ25" s="38">
        <f>(IH25/II25)*100</f>
        <v>3.26708074534161</v>
      </c>
      <c r="IK25" s="42">
        <v>10.52</v>
      </c>
      <c r="IL25" s="20">
        <f>IK7</f>
        <v>468</v>
      </c>
      <c r="IM25" s="38">
        <f>(IK25/IL25)*100</f>
        <v>2.24786324786325</v>
      </c>
      <c r="IN25" s="42">
        <v>0</v>
      </c>
      <c r="IO25" s="20">
        <f>IN7</f>
        <v>788</v>
      </c>
      <c r="IP25" s="38">
        <f>(IN25/IO25)*100</f>
        <v>0</v>
      </c>
      <c r="IQ25" s="42">
        <v>0</v>
      </c>
      <c r="IR25" s="20">
        <f>IQ7</f>
        <v>608</v>
      </c>
      <c r="IS25" s="38">
        <f>(IQ25/IR25)*100</f>
        <v>0</v>
      </c>
      <c r="IT25" s="42">
        <v>0</v>
      </c>
      <c r="IU25" s="20">
        <f>IT7</f>
        <v>346</v>
      </c>
      <c r="IV25" s="38">
        <f>(IT25/IU25)*100</f>
        <v>0</v>
      </c>
      <c r="IW25" s="42">
        <v>0</v>
      </c>
      <c r="IX25" s="20">
        <f>IW7</f>
        <v>503</v>
      </c>
      <c r="IY25" s="38">
        <f>(IW25/IX25)*100</f>
        <v>0</v>
      </c>
      <c r="IZ25" s="42">
        <v>2.33</v>
      </c>
      <c r="JA25" s="20">
        <f>IZ7</f>
        <v>517</v>
      </c>
      <c r="JB25" s="38">
        <f>(IZ25/JA25)*100</f>
        <v>0.450676982591876</v>
      </c>
      <c r="JC25" s="42">
        <v>0</v>
      </c>
      <c r="JD25" s="20">
        <f>JC7</f>
        <v>660</v>
      </c>
      <c r="JE25" s="38">
        <f>(JC25/JD25)*100</f>
        <v>0</v>
      </c>
      <c r="JF25" s="42">
        <v>0</v>
      </c>
      <c r="JG25" s="20">
        <f>JF7</f>
        <v>756</v>
      </c>
      <c r="JH25" s="38">
        <f>(JF25/JG25)*100</f>
        <v>0</v>
      </c>
      <c r="JI25" s="42">
        <v>0</v>
      </c>
      <c r="JJ25" s="20">
        <f>JI7</f>
        <v>828</v>
      </c>
      <c r="JK25" s="38">
        <f>(JI25/JJ25)*100</f>
        <v>0</v>
      </c>
      <c r="JL25" s="42">
        <v>0</v>
      </c>
      <c r="JM25" s="20">
        <f>JL7</f>
        <v>619</v>
      </c>
      <c r="JN25" s="38">
        <f>(JL25/JM25)*100</f>
        <v>0</v>
      </c>
      <c r="JO25" s="42">
        <v>0</v>
      </c>
      <c r="JP25" s="20">
        <f>JO7</f>
        <v>322</v>
      </c>
      <c r="JQ25" s="38">
        <f>(JO25/JP25)*100</f>
        <v>0</v>
      </c>
    </row>
    <row r="26" spans="1:277">
      <c r="A26" s="2"/>
      <c r="B26" s="2"/>
      <c r="C26" s="2" t="s">
        <v>189</v>
      </c>
      <c r="D26" s="41"/>
      <c r="E26" s="42"/>
      <c r="F26" s="20"/>
      <c r="G26" s="38"/>
      <c r="H26" s="42"/>
      <c r="I26" s="20"/>
      <c r="J26" s="38"/>
      <c r="K26" s="42"/>
      <c r="L26" s="20"/>
      <c r="M26" s="38"/>
      <c r="N26" s="42"/>
      <c r="O26" s="20"/>
      <c r="P26" s="38"/>
      <c r="Q26" s="42"/>
      <c r="R26" s="20"/>
      <c r="S26" s="38"/>
      <c r="T26" s="42"/>
      <c r="U26" s="20"/>
      <c r="V26" s="38"/>
      <c r="W26" s="42"/>
      <c r="X26" s="20"/>
      <c r="Y26" s="38"/>
      <c r="Z26" s="42"/>
      <c r="AA26" s="20"/>
      <c r="AB26" s="38"/>
      <c r="AC26" s="42"/>
      <c r="AD26" s="20"/>
      <c r="AE26" s="38"/>
      <c r="AF26" s="42"/>
      <c r="AG26" s="20"/>
      <c r="AH26" s="38"/>
      <c r="AI26" s="42"/>
      <c r="AJ26" s="20"/>
      <c r="AK26" s="38"/>
      <c r="AL26" s="42"/>
      <c r="AM26" s="20"/>
      <c r="AN26" s="38"/>
      <c r="AO26" s="42"/>
      <c r="AP26" s="20"/>
      <c r="AQ26" s="38"/>
      <c r="AR26" s="42"/>
      <c r="AS26" s="20"/>
      <c r="AT26" s="38"/>
      <c r="AU26" s="42"/>
      <c r="AV26" s="20"/>
      <c r="AW26" s="38"/>
      <c r="AX26" s="42"/>
      <c r="AY26" s="20"/>
      <c r="AZ26" s="38"/>
      <c r="BA26" s="42"/>
      <c r="BB26" s="20"/>
      <c r="BC26" s="38"/>
      <c r="BD26" s="42"/>
      <c r="BE26" s="20"/>
      <c r="BF26" s="38"/>
      <c r="BG26" s="42"/>
      <c r="BH26" s="20"/>
      <c r="BI26" s="38"/>
      <c r="BJ26" s="42"/>
      <c r="BK26" s="20"/>
      <c r="BL26" s="38"/>
      <c r="BM26" s="42"/>
      <c r="BN26" s="20"/>
      <c r="BO26" s="38"/>
      <c r="BP26" s="42"/>
      <c r="BQ26" s="20"/>
      <c r="BR26" s="38"/>
      <c r="BS26" s="42"/>
      <c r="BT26" s="20"/>
      <c r="BU26" s="38"/>
      <c r="BV26" s="42"/>
      <c r="BW26" s="20"/>
      <c r="BX26" s="38"/>
      <c r="BY26" s="42"/>
      <c r="BZ26" s="20"/>
      <c r="CA26" s="38"/>
      <c r="CB26" s="42"/>
      <c r="CC26" s="20"/>
      <c r="CD26" s="38"/>
      <c r="CE26" s="42"/>
      <c r="CF26" s="20"/>
      <c r="CG26" s="38"/>
      <c r="CH26" s="42"/>
      <c r="CI26" s="20"/>
      <c r="CJ26" s="38"/>
      <c r="CK26" s="42"/>
      <c r="CL26" s="20"/>
      <c r="CM26" s="38"/>
      <c r="CN26" s="42"/>
      <c r="CO26" s="20"/>
      <c r="CP26" s="38"/>
      <c r="CQ26" s="42"/>
      <c r="CR26" s="20"/>
      <c r="CS26" s="38"/>
      <c r="CT26" s="42"/>
      <c r="CU26" s="20"/>
      <c r="CV26" s="38"/>
      <c r="CW26" s="42"/>
      <c r="CX26" s="20"/>
      <c r="CY26" s="38"/>
      <c r="CZ26" s="42"/>
      <c r="DA26" s="20"/>
      <c r="DB26" s="38"/>
      <c r="DC26" s="42"/>
      <c r="DD26" s="20"/>
      <c r="DE26" s="38"/>
      <c r="DF26" s="42"/>
      <c r="DG26" s="20"/>
      <c r="DH26" s="38"/>
      <c r="DI26" s="42"/>
      <c r="DJ26" s="20"/>
      <c r="DK26" s="38"/>
      <c r="DL26" s="42"/>
      <c r="DM26" s="20"/>
      <c r="DN26" s="38"/>
      <c r="DO26" s="42"/>
      <c r="DP26" s="20"/>
      <c r="DQ26" s="38"/>
      <c r="DR26" s="42"/>
      <c r="DS26" s="20"/>
      <c r="DT26" s="38"/>
      <c r="DU26" s="42"/>
      <c r="DV26" s="20"/>
      <c r="DW26" s="38"/>
      <c r="DX26" s="42"/>
      <c r="DY26" s="20"/>
      <c r="DZ26" s="38"/>
      <c r="EA26" s="42"/>
      <c r="EB26" s="20"/>
      <c r="EC26" s="38"/>
      <c r="ED26" s="42"/>
      <c r="EE26" s="20"/>
      <c r="EF26" s="38"/>
      <c r="EG26" s="42"/>
      <c r="EH26" s="20"/>
      <c r="EI26" s="38"/>
      <c r="EJ26" s="42"/>
      <c r="EK26" s="20"/>
      <c r="EL26" s="38"/>
      <c r="EM26" s="42"/>
      <c r="EN26" s="20"/>
      <c r="EO26" s="38"/>
      <c r="EP26" s="42"/>
      <c r="EQ26" s="20"/>
      <c r="ER26" s="38"/>
      <c r="ES26" s="42"/>
      <c r="ET26" s="20"/>
      <c r="EU26" s="38"/>
      <c r="EV26" s="42"/>
      <c r="EW26" s="20"/>
      <c r="EX26" s="38"/>
      <c r="EY26" s="42"/>
      <c r="EZ26" s="20"/>
      <c r="FA26" s="38"/>
      <c r="FB26" s="42"/>
      <c r="FC26" s="20"/>
      <c r="FD26" s="38"/>
      <c r="FE26" s="42"/>
      <c r="FF26" s="20"/>
      <c r="FG26" s="38"/>
      <c r="FH26" s="42"/>
      <c r="FI26" s="20"/>
      <c r="FJ26" s="38"/>
      <c r="FK26" s="42"/>
      <c r="FL26" s="20"/>
      <c r="FM26" s="38"/>
      <c r="FN26" s="42"/>
      <c r="FO26" s="20"/>
      <c r="FP26" s="38"/>
      <c r="FQ26" s="42"/>
      <c r="FR26" s="20"/>
      <c r="FS26" s="38"/>
      <c r="FT26" s="42"/>
      <c r="FU26" s="20"/>
      <c r="FV26" s="38"/>
      <c r="FW26" s="42"/>
      <c r="FX26" s="20"/>
      <c r="FY26" s="38"/>
      <c r="FZ26" s="42"/>
      <c r="GA26" s="20"/>
      <c r="GB26" s="38"/>
      <c r="GC26" s="42"/>
      <c r="GD26" s="20"/>
      <c r="GE26" s="38"/>
      <c r="GF26" s="42"/>
      <c r="GG26" s="20"/>
      <c r="GH26" s="38"/>
      <c r="GI26" s="42"/>
      <c r="GJ26" s="20"/>
      <c r="GK26" s="38"/>
      <c r="GL26" s="42"/>
      <c r="GM26" s="20"/>
      <c r="GN26" s="38"/>
      <c r="GO26" s="42"/>
      <c r="GP26" s="20"/>
      <c r="GQ26" s="38"/>
      <c r="GR26" s="42"/>
      <c r="GS26" s="20"/>
      <c r="GT26" s="38"/>
      <c r="GU26" s="42"/>
      <c r="GV26" s="20"/>
      <c r="GW26" s="38"/>
      <c r="GX26" s="42"/>
      <c r="GY26" s="20"/>
      <c r="GZ26" s="38"/>
      <c r="HA26" s="42"/>
      <c r="HB26" s="20"/>
      <c r="HC26" s="38"/>
      <c r="HD26" s="42"/>
      <c r="HE26" s="20"/>
      <c r="HF26" s="38"/>
      <c r="HG26" s="42"/>
      <c r="HH26" s="20"/>
      <c r="HI26" s="38"/>
      <c r="HJ26" s="42"/>
      <c r="HK26" s="20"/>
      <c r="HL26" s="38"/>
      <c r="HM26" s="42"/>
      <c r="HN26" s="20"/>
      <c r="HO26" s="38"/>
      <c r="HP26" s="42"/>
      <c r="HQ26" s="20"/>
      <c r="HR26" s="38"/>
      <c r="HS26" s="42"/>
      <c r="HT26" s="20"/>
      <c r="HU26" s="38"/>
      <c r="HV26" s="42"/>
      <c r="HW26" s="20"/>
      <c r="HX26" s="38"/>
      <c r="HY26" s="42"/>
      <c r="HZ26" s="20"/>
      <c r="IA26" s="38"/>
      <c r="IB26" s="42"/>
      <c r="IC26" s="20"/>
      <c r="ID26" s="38"/>
      <c r="IE26" s="42"/>
      <c r="IF26" s="20"/>
      <c r="IG26" s="38"/>
      <c r="IH26" s="42"/>
      <c r="II26" s="20"/>
      <c r="IJ26" s="38"/>
      <c r="IK26" s="42"/>
      <c r="IL26" s="20"/>
      <c r="IM26" s="38"/>
      <c r="IN26" s="42"/>
      <c r="IO26" s="20"/>
      <c r="IP26" s="38"/>
      <c r="IQ26" s="42"/>
      <c r="IR26" s="20"/>
      <c r="IS26" s="38"/>
      <c r="IT26" s="42"/>
      <c r="IU26" s="20"/>
      <c r="IV26" s="38"/>
      <c r="IW26" s="42"/>
      <c r="IX26" s="20"/>
      <c r="IY26" s="38"/>
      <c r="IZ26" s="42"/>
      <c r="JA26" s="20"/>
      <c r="JB26" s="38"/>
      <c r="JC26" s="42"/>
      <c r="JD26" s="20"/>
      <c r="JE26" s="38"/>
      <c r="JF26" s="42"/>
      <c r="JG26" s="20"/>
      <c r="JH26" s="38"/>
      <c r="JI26" s="42"/>
      <c r="JJ26" s="20"/>
      <c r="JK26" s="38"/>
      <c r="JL26" s="42"/>
      <c r="JM26" s="20"/>
      <c r="JN26" s="38"/>
      <c r="JO26" s="42"/>
      <c r="JP26" s="20"/>
      <c r="JQ26" s="38"/>
    </row>
    <row r="27" spans="1:277">
      <c r="A27" s="2"/>
      <c r="B27" s="2"/>
      <c r="C27" s="2"/>
      <c r="D27" s="41"/>
      <c r="E27" s="42"/>
      <c r="F27" s="20"/>
      <c r="G27" s="38"/>
      <c r="H27" s="42"/>
      <c r="I27" s="20"/>
      <c r="J27" s="38"/>
      <c r="K27" s="42"/>
      <c r="L27" s="20"/>
      <c r="M27" s="38"/>
      <c r="N27" s="42"/>
      <c r="O27" s="20"/>
      <c r="P27" s="38"/>
      <c r="Q27" s="42"/>
      <c r="R27" s="20"/>
      <c r="S27" s="38"/>
      <c r="T27" s="42"/>
      <c r="U27" s="20"/>
      <c r="V27" s="38"/>
      <c r="W27" s="42"/>
      <c r="X27" s="20"/>
      <c r="Y27" s="38"/>
      <c r="Z27" s="42"/>
      <c r="AA27" s="20"/>
      <c r="AB27" s="38"/>
      <c r="AC27" s="42"/>
      <c r="AD27" s="20"/>
      <c r="AE27" s="38"/>
      <c r="AF27" s="42"/>
      <c r="AG27" s="20"/>
      <c r="AH27" s="38"/>
      <c r="AI27" s="42"/>
      <c r="AJ27" s="20"/>
      <c r="AK27" s="38"/>
      <c r="AL27" s="42"/>
      <c r="AM27" s="20"/>
      <c r="AN27" s="38"/>
      <c r="AO27" s="42"/>
      <c r="AP27" s="20"/>
      <c r="AQ27" s="38"/>
      <c r="AR27" s="42"/>
      <c r="AS27" s="20"/>
      <c r="AT27" s="38"/>
      <c r="AU27" s="42"/>
      <c r="AV27" s="20"/>
      <c r="AW27" s="38"/>
      <c r="AX27" s="42"/>
      <c r="AY27" s="20"/>
      <c r="AZ27" s="38"/>
      <c r="BA27" s="42"/>
      <c r="BB27" s="20"/>
      <c r="BC27" s="38"/>
      <c r="BD27" s="42"/>
      <c r="BE27" s="20"/>
      <c r="BF27" s="38"/>
      <c r="BG27" s="42"/>
      <c r="BH27" s="20"/>
      <c r="BI27" s="38"/>
      <c r="BJ27" s="42"/>
      <c r="BK27" s="20"/>
      <c r="BL27" s="38"/>
      <c r="BM27" s="86" t="s">
        <v>191</v>
      </c>
      <c r="BN27" s="20"/>
      <c r="BO27" s="38"/>
      <c r="BP27" s="42"/>
      <c r="BQ27" s="20"/>
      <c r="BR27" s="38"/>
      <c r="BS27" s="42"/>
      <c r="BT27" s="20"/>
      <c r="BU27" s="38"/>
      <c r="BV27" s="42"/>
      <c r="BW27" s="20"/>
      <c r="BX27" s="38"/>
      <c r="BY27" s="42"/>
      <c r="BZ27" s="20"/>
      <c r="CA27" s="38"/>
      <c r="CB27" s="42" t="s">
        <v>191</v>
      </c>
      <c r="CC27" s="20"/>
      <c r="CD27" s="38"/>
      <c r="CE27" s="86"/>
      <c r="CF27" s="20"/>
      <c r="CG27" s="38"/>
      <c r="CH27" s="86" t="s">
        <v>191</v>
      </c>
      <c r="CI27" s="20"/>
      <c r="CJ27" s="38"/>
      <c r="CK27" s="42"/>
      <c r="CL27" s="20"/>
      <c r="CM27" s="38"/>
      <c r="CO27" s="20"/>
      <c r="CP27" s="38"/>
      <c r="CR27" s="20"/>
      <c r="CS27" s="38"/>
      <c r="CU27" s="20"/>
      <c r="CV27" s="38"/>
      <c r="CX27" s="20"/>
      <c r="CY27" s="38"/>
      <c r="DA27" s="20"/>
      <c r="DB27" s="38"/>
      <c r="DD27" s="20"/>
      <c r="DE27" s="38"/>
      <c r="DF27" s="83" t="s">
        <v>191</v>
      </c>
      <c r="DG27" s="20"/>
      <c r="DH27" s="38"/>
      <c r="DI27" s="83"/>
      <c r="DJ27" s="20"/>
      <c r="DK27" s="38"/>
      <c r="DL27" s="83"/>
      <c r="DM27" s="20"/>
      <c r="DN27" s="38"/>
      <c r="DO27" s="83"/>
      <c r="DP27" s="20"/>
      <c r="DQ27" s="38"/>
      <c r="DR27" s="83"/>
      <c r="DS27" s="20"/>
      <c r="DT27" s="38"/>
      <c r="DU27" s="83"/>
      <c r="DV27" s="20"/>
      <c r="DW27" s="38"/>
      <c r="DX27" s="83"/>
      <c r="DY27" s="20"/>
      <c r="DZ27" s="38"/>
      <c r="EA27" s="83" t="s">
        <v>191</v>
      </c>
      <c r="EB27" s="20"/>
      <c r="EC27" s="38"/>
      <c r="ED27" s="83" t="s">
        <v>191</v>
      </c>
      <c r="EE27" s="20"/>
      <c r="EF27" s="38"/>
      <c r="EG27" s="83" t="s">
        <v>191</v>
      </c>
      <c r="EH27" s="20"/>
      <c r="EI27" s="38"/>
      <c r="EJ27" s="83" t="s">
        <v>191</v>
      </c>
      <c r="EK27" s="20"/>
      <c r="EL27" s="38"/>
      <c r="EM27" s="83"/>
      <c r="EN27" s="20"/>
      <c r="EO27" s="38"/>
      <c r="EP27" s="83"/>
      <c r="EQ27" s="20"/>
      <c r="ER27" s="38"/>
      <c r="ES27" s="83"/>
      <c r="ET27" s="20"/>
      <c r="EU27" s="38"/>
      <c r="EV27" s="83"/>
      <c r="EW27" s="20"/>
      <c r="EX27" s="38"/>
      <c r="EY27" s="83"/>
      <c r="EZ27" s="20"/>
      <c r="FA27" s="38"/>
      <c r="FB27" s="83"/>
      <c r="FC27" s="20"/>
      <c r="FD27" s="38"/>
      <c r="FE27" s="83"/>
      <c r="FF27" s="20"/>
      <c r="FG27" s="38"/>
      <c r="FH27" s="83"/>
      <c r="FI27" s="20"/>
      <c r="FJ27" s="38"/>
      <c r="FK27" s="83"/>
      <c r="FL27" s="20"/>
      <c r="FM27" s="38"/>
      <c r="FN27" s="83"/>
      <c r="FO27" s="20"/>
      <c r="FP27" s="38"/>
      <c r="FQ27" s="83"/>
      <c r="FR27" s="20"/>
      <c r="FS27" s="38"/>
      <c r="FT27" s="83"/>
      <c r="FU27" s="20"/>
      <c r="FV27" s="38"/>
      <c r="FW27" s="83"/>
      <c r="FX27" s="20"/>
      <c r="FY27" s="38"/>
      <c r="FZ27" s="83"/>
      <c r="GA27" s="20"/>
      <c r="GB27" s="38"/>
      <c r="GC27" s="83"/>
      <c r="GD27" s="20"/>
      <c r="GE27" s="38"/>
      <c r="GF27" s="83"/>
      <c r="GG27" s="20"/>
      <c r="GH27" s="38"/>
      <c r="GI27" s="83"/>
      <c r="GJ27" s="20"/>
      <c r="GK27" s="38"/>
      <c r="GL27" s="83"/>
      <c r="GM27" s="20"/>
      <c r="GN27" s="38"/>
      <c r="GO27" s="83"/>
      <c r="GP27" s="20"/>
      <c r="GQ27" s="38"/>
      <c r="GR27" s="83"/>
      <c r="GS27" s="20"/>
      <c r="GT27" s="38"/>
      <c r="GU27" s="83"/>
      <c r="GV27" s="20"/>
      <c r="GW27" s="38"/>
      <c r="GX27" s="83"/>
      <c r="GY27" s="20"/>
      <c r="GZ27" s="38"/>
      <c r="HA27" s="83"/>
      <c r="HB27" s="20"/>
      <c r="HC27" s="38"/>
      <c r="HD27" s="83"/>
      <c r="HE27" s="20"/>
      <c r="HF27" s="38"/>
      <c r="HG27" s="83"/>
      <c r="HH27" s="20"/>
      <c r="HI27" s="38"/>
      <c r="HJ27" s="83"/>
      <c r="HK27" s="20"/>
      <c r="HL27" s="38"/>
      <c r="HM27" s="83"/>
      <c r="HN27" s="20"/>
      <c r="HO27" s="38"/>
      <c r="HP27" s="83"/>
      <c r="HQ27" s="20"/>
      <c r="HR27" s="38"/>
      <c r="HS27" s="83"/>
      <c r="HT27" s="20"/>
      <c r="HU27" s="38"/>
      <c r="HV27" s="83"/>
      <c r="HW27" s="20"/>
      <c r="HX27" s="38"/>
      <c r="HY27" s="83"/>
      <c r="HZ27" s="20"/>
      <c r="IA27" s="38"/>
      <c r="IB27" s="83"/>
      <c r="IC27" s="20"/>
      <c r="ID27" s="38"/>
      <c r="IE27" s="83"/>
      <c r="IF27" s="20"/>
      <c r="IG27" s="38"/>
      <c r="IH27" s="83"/>
      <c r="II27" s="20"/>
      <c r="IJ27" s="38"/>
      <c r="IK27" s="83"/>
      <c r="IL27" s="20"/>
      <c r="IM27" s="38"/>
      <c r="IN27" s="83"/>
      <c r="IO27" s="20"/>
      <c r="IP27" s="38"/>
      <c r="IQ27" s="83"/>
      <c r="IR27" s="20"/>
      <c r="IS27" s="38"/>
      <c r="IT27" s="83"/>
      <c r="IU27" s="20"/>
      <c r="IV27" s="38"/>
      <c r="IW27" s="83"/>
      <c r="IX27" s="20"/>
      <c r="IY27" s="38"/>
      <c r="IZ27" s="83"/>
      <c r="JA27" s="20"/>
      <c r="JB27" s="38"/>
      <c r="JC27" s="83"/>
      <c r="JD27" s="20"/>
      <c r="JE27" s="38"/>
      <c r="JF27" s="83"/>
      <c r="JG27" s="20"/>
      <c r="JH27" s="38"/>
      <c r="JI27" s="83"/>
      <c r="JJ27" s="20"/>
      <c r="JK27" s="38"/>
      <c r="JL27" s="83"/>
      <c r="JM27" s="20"/>
      <c r="JN27" s="38"/>
      <c r="JO27" s="83"/>
      <c r="JP27" s="20"/>
      <c r="JQ27" s="38"/>
    </row>
    <row r="28" spans="1:277">
      <c r="A28" s="2">
        <v>9</v>
      </c>
      <c r="B28" s="2" t="s">
        <v>447</v>
      </c>
      <c r="C28" s="37" t="s">
        <v>60</v>
      </c>
      <c r="D28" s="2" t="s">
        <v>448</v>
      </c>
      <c r="E28" s="20">
        <f>G13</f>
        <v>0.064224527333737</v>
      </c>
      <c r="F28" s="20">
        <f>E13</f>
        <v>11295161920</v>
      </c>
      <c r="G28" s="38">
        <f>(E28/F28)</f>
        <v>5.68602095203403e-12</v>
      </c>
      <c r="H28" s="20">
        <v>71504931710</v>
      </c>
      <c r="I28" s="20">
        <f>H13</f>
        <v>9909112999</v>
      </c>
      <c r="J28" s="219">
        <f>(H28/I28)</f>
        <v>7.21607793928842</v>
      </c>
      <c r="K28" s="20">
        <v>229184000</v>
      </c>
      <c r="L28" s="20">
        <f>K13</f>
        <v>7077335000</v>
      </c>
      <c r="M28" s="38">
        <f>(K28/L28)</f>
        <v>0.0323828107613954</v>
      </c>
      <c r="N28" s="20">
        <v>8681414895</v>
      </c>
      <c r="O28" s="20">
        <f>N13</f>
        <v>6881183848</v>
      </c>
      <c r="P28" s="38">
        <f>(N28/O28)</f>
        <v>1.2616164727997</v>
      </c>
      <c r="Q28" s="20">
        <v>603941988</v>
      </c>
      <c r="R28" s="20">
        <f>Q13</f>
        <v>6461246873</v>
      </c>
      <c r="S28" s="38">
        <f>(Q28/R28)</f>
        <v>0.0934714304948985</v>
      </c>
      <c r="T28" s="20">
        <v>6218817210</v>
      </c>
      <c r="U28" s="20">
        <f>T13</f>
        <v>2321437410</v>
      </c>
      <c r="V28" s="38">
        <f>(T28/U28)</f>
        <v>2.67886490637712</v>
      </c>
      <c r="W28" s="20">
        <v>6218817210</v>
      </c>
      <c r="X28" s="20">
        <f>W13</f>
        <v>2321437410</v>
      </c>
      <c r="Y28" s="38">
        <f>(W28/X28)</f>
        <v>2.67886490637712</v>
      </c>
      <c r="Z28" s="20">
        <v>6218817210</v>
      </c>
      <c r="AA28" s="20">
        <f>Z13</f>
        <v>2321437410</v>
      </c>
      <c r="AB28" s="38">
        <f>(Z28/AA28)</f>
        <v>2.67886490637712</v>
      </c>
      <c r="AC28" s="20">
        <v>6789187211</v>
      </c>
      <c r="AD28" s="20">
        <f>AC13</f>
        <v>6674455407</v>
      </c>
      <c r="AE28" s="38">
        <f>(AC28/AD28)</f>
        <v>1.01718968769792</v>
      </c>
      <c r="AF28" s="20">
        <v>10460599120</v>
      </c>
      <c r="AG28" s="20">
        <f>AF13</f>
        <v>3471390152</v>
      </c>
      <c r="AH28" s="38">
        <f>(AF28/AG28)</f>
        <v>3.01337466028509</v>
      </c>
      <c r="AI28" s="20">
        <v>7342500044</v>
      </c>
      <c r="AJ28" s="20">
        <f>AI13</f>
        <v>3850293298</v>
      </c>
      <c r="AK28" s="38">
        <f>(AI28/AJ28)</f>
        <v>1.90699759101832</v>
      </c>
      <c r="AL28" s="20">
        <v>7342500044</v>
      </c>
      <c r="AM28" s="20">
        <f>AL13</f>
        <v>3850293298</v>
      </c>
      <c r="AN28" s="38">
        <f>(AL28/AM28)</f>
        <v>1.90699759101832</v>
      </c>
      <c r="AO28" s="20">
        <v>3180305109</v>
      </c>
      <c r="AP28" s="20">
        <f>AO13</f>
        <v>3796642117</v>
      </c>
      <c r="AQ28" s="38">
        <f>(AO28/AP28)</f>
        <v>0.837662600527908</v>
      </c>
      <c r="AR28" s="20">
        <v>488119692</v>
      </c>
      <c r="AS28" s="20">
        <f>AR13</f>
        <v>2162737997</v>
      </c>
      <c r="AT28" s="38">
        <f>(AR28/AS28)</f>
        <v>0.225695249575809</v>
      </c>
      <c r="AU28" s="20">
        <v>488119692</v>
      </c>
      <c r="AV28" s="20">
        <f>AU13</f>
        <v>2162737997</v>
      </c>
      <c r="AW28" s="38">
        <f>(AU28/AV28)</f>
        <v>0.225695249575809</v>
      </c>
      <c r="AX28" s="20">
        <v>2249711605</v>
      </c>
      <c r="AY28" s="20">
        <f>AX13</f>
        <v>1992306837</v>
      </c>
      <c r="AZ28" s="38">
        <f>(AX28/AY28)</f>
        <v>1.12919935986748</v>
      </c>
      <c r="BA28" s="20">
        <v>2249711605</v>
      </c>
      <c r="BB28" s="20">
        <f>BA13</f>
        <v>1992306837</v>
      </c>
      <c r="BC28" s="38">
        <f>(BA28/BB28)</f>
        <v>1.12919935986748</v>
      </c>
      <c r="BD28" s="20">
        <v>2249711605</v>
      </c>
      <c r="BE28" s="20">
        <f>BD13</f>
        <v>1992306837</v>
      </c>
      <c r="BF28" s="38">
        <f>(BD28/BE28)</f>
        <v>1.12919935986748</v>
      </c>
      <c r="BG28" s="20">
        <v>288295104</v>
      </c>
      <c r="BH28" s="20">
        <f>BG13</f>
        <v>4215884164</v>
      </c>
      <c r="BI28" s="38">
        <f>(BG28/BH28)</f>
        <v>0.0683830704984237</v>
      </c>
      <c r="BJ28" s="20">
        <v>288295104</v>
      </c>
      <c r="BK28" s="20">
        <f>BJ13</f>
        <v>4215884164</v>
      </c>
      <c r="BL28" s="38">
        <f>(BJ28/BK28)</f>
        <v>0.0683830704984237</v>
      </c>
      <c r="BM28" s="20">
        <v>1395866631</v>
      </c>
      <c r="BN28" s="20">
        <f>BM13</f>
        <v>2532722344</v>
      </c>
      <c r="BO28" s="38">
        <f>(BM28/BN28)</f>
        <v>0.551132908155842</v>
      </c>
      <c r="BP28" s="20">
        <v>1395866631</v>
      </c>
      <c r="BQ28" s="20">
        <f>BP13</f>
        <v>2532722344</v>
      </c>
      <c r="BR28" s="38">
        <f>(BP28/BQ28)</f>
        <v>0.551132908155842</v>
      </c>
      <c r="BS28" s="20">
        <v>1395866631</v>
      </c>
      <c r="BT28" s="20">
        <f>BS13</f>
        <v>2532722344</v>
      </c>
      <c r="BU28" s="38">
        <f>(BS28/BT28)</f>
        <v>0.551132908155842</v>
      </c>
      <c r="BV28" s="20">
        <v>3226796328</v>
      </c>
      <c r="BW28" s="20">
        <f>BV13</f>
        <v>3160635582</v>
      </c>
      <c r="BX28" s="38">
        <f>(BV28/BW28)</f>
        <v>1.02093273466159</v>
      </c>
      <c r="BY28" s="20">
        <v>3226796328</v>
      </c>
      <c r="BZ28" s="20">
        <f>BY13</f>
        <v>3160635582</v>
      </c>
      <c r="CA28" s="38">
        <f>(BY28/BZ28)</f>
        <v>1.02093273466159</v>
      </c>
      <c r="CB28" s="20">
        <v>3226796328</v>
      </c>
      <c r="CC28" s="20">
        <f>CB13</f>
        <v>1005463472</v>
      </c>
      <c r="CD28" s="38">
        <f>(CB28/CC28)</f>
        <v>3.20926261158098</v>
      </c>
      <c r="CE28" s="20">
        <v>3226796328</v>
      </c>
      <c r="CF28" s="20">
        <f>CE13</f>
        <v>1005463472</v>
      </c>
      <c r="CG28" s="38">
        <f>(CE28/CF28)</f>
        <v>3.20926261158098</v>
      </c>
      <c r="CH28" s="20">
        <v>769000</v>
      </c>
      <c r="CI28" s="20">
        <f>CH13</f>
        <v>1332071</v>
      </c>
      <c r="CJ28" s="38">
        <f>(CH28/CI28)</f>
        <v>0.577296555513933</v>
      </c>
      <c r="CK28" s="20">
        <v>1283232470</v>
      </c>
      <c r="CL28" s="20">
        <f>CK13</f>
        <v>854311288</v>
      </c>
      <c r="CM28" s="38">
        <f>(CK28/CL28)</f>
        <v>1.50206662141166</v>
      </c>
      <c r="CN28" s="20">
        <v>150000000</v>
      </c>
      <c r="CO28" s="20">
        <f>CN13</f>
        <v>692201177</v>
      </c>
      <c r="CP28" s="38">
        <f>(CN28/CO28)</f>
        <v>0.216700007142577</v>
      </c>
      <c r="CQ28" s="20">
        <v>150000000</v>
      </c>
      <c r="CR28" s="20">
        <f>CQ13</f>
        <v>692201177</v>
      </c>
      <c r="CS28" s="38">
        <f>(CQ28/CR28)</f>
        <v>0.216700007142577</v>
      </c>
      <c r="CT28" s="20">
        <v>5065104993</v>
      </c>
      <c r="CU28" s="20">
        <f>CT13</f>
        <v>1218549363</v>
      </c>
      <c r="CV28" s="38">
        <f>(CT28/CU28)</f>
        <v>4.15666787640838</v>
      </c>
      <c r="CW28" s="20">
        <v>1227825252</v>
      </c>
      <c r="CX28" s="20">
        <f>CW13</f>
        <v>1258391642</v>
      </c>
      <c r="CY28" s="38">
        <f>(CW28/CX28)</f>
        <v>0.975709954691514</v>
      </c>
      <c r="CZ28" s="20">
        <v>2203865032</v>
      </c>
      <c r="DA28" s="20">
        <f>CZ13</f>
        <v>920243202</v>
      </c>
      <c r="DB28" s="38">
        <f>(CZ28/DA28)</f>
        <v>2.39487238505023</v>
      </c>
      <c r="DC28" s="20">
        <v>2203865032</v>
      </c>
      <c r="DD28" s="20">
        <f>DC13</f>
        <v>920243202</v>
      </c>
      <c r="DE28" s="38">
        <f>(DC28/DD28)</f>
        <v>2.39487238505023</v>
      </c>
      <c r="DF28" s="20">
        <v>3346221554</v>
      </c>
      <c r="DG28" s="20">
        <f>DF13</f>
        <v>1397794822</v>
      </c>
      <c r="DH28" s="38">
        <f>(DF28/DG28)</f>
        <v>2.39392899539586</v>
      </c>
      <c r="DI28" s="20">
        <v>3346221554</v>
      </c>
      <c r="DJ28" s="20">
        <f>DI13</f>
        <v>1397794822</v>
      </c>
      <c r="DK28" s="38">
        <f>(DI28/DJ28)</f>
        <v>2.39392899539586</v>
      </c>
      <c r="DL28" s="20">
        <v>1636386530</v>
      </c>
      <c r="DM28" s="20">
        <f>DL13</f>
        <v>1244470115</v>
      </c>
      <c r="DN28" s="38">
        <f>(DL28/DM28)</f>
        <v>1.31492633714229</v>
      </c>
      <c r="DO28" s="20">
        <v>4201266184</v>
      </c>
      <c r="DP28" s="20">
        <f>DO13</f>
        <v>1222184231</v>
      </c>
      <c r="DQ28" s="38">
        <f>(DO28/DP28)</f>
        <v>3.43750645560407</v>
      </c>
      <c r="DR28" s="20">
        <v>4201266184</v>
      </c>
      <c r="DS28" s="20">
        <f>DR13</f>
        <v>1222184231</v>
      </c>
      <c r="DT28" s="38">
        <f>(DR28/DS28)</f>
        <v>3.43750645560407</v>
      </c>
      <c r="DU28" s="20">
        <v>107110075</v>
      </c>
      <c r="DV28" s="20">
        <f>DU13</f>
        <v>1053848028</v>
      </c>
      <c r="DW28" s="38">
        <f>(DU28/DV28)</f>
        <v>0.101637116694401</v>
      </c>
      <c r="DX28" s="20">
        <v>107110075</v>
      </c>
      <c r="DY28" s="20">
        <f>DX13</f>
        <v>1053848028</v>
      </c>
      <c r="DZ28" s="38">
        <f>(DX28/DY28)</f>
        <v>0.101637116694401</v>
      </c>
      <c r="EA28" s="20">
        <v>253087461</v>
      </c>
      <c r="EB28" s="20">
        <f>EA13</f>
        <v>1379106236</v>
      </c>
      <c r="EC28" s="38">
        <f>(EA28/EB28)</f>
        <v>0.183515565656539</v>
      </c>
      <c r="ED28" s="20">
        <v>253087461</v>
      </c>
      <c r="EE28" s="20">
        <f>ED13</f>
        <v>1379106236</v>
      </c>
      <c r="EF28" s="38">
        <f>(ED28/EE28)</f>
        <v>0.183515565656539</v>
      </c>
      <c r="EG28" s="20">
        <v>253087461</v>
      </c>
      <c r="EH28" s="20">
        <f>EG13</f>
        <v>1379106236</v>
      </c>
      <c r="EI28" s="38">
        <f>(EG28/EH28)</f>
        <v>0.183515565656539</v>
      </c>
      <c r="EJ28" s="20">
        <v>253087461</v>
      </c>
      <c r="EK28" s="20">
        <f>EJ13</f>
        <v>1379106236</v>
      </c>
      <c r="EL28" s="38">
        <f>(EJ28/EK28)</f>
        <v>0.183515565656539</v>
      </c>
      <c r="EM28" s="20">
        <v>1999173983</v>
      </c>
      <c r="EN28" s="20">
        <f>EM13</f>
        <v>801854904</v>
      </c>
      <c r="EO28" s="38">
        <f>(EM28/EN28)</f>
        <v>2.49318670126884</v>
      </c>
      <c r="EP28" s="20">
        <v>733920000</v>
      </c>
      <c r="EQ28" s="20">
        <f>EP13</f>
        <v>639591938</v>
      </c>
      <c r="ER28" s="38">
        <f>(EP28/EQ28)</f>
        <v>1.14748163070186</v>
      </c>
      <c r="ES28" s="20">
        <v>1999173983</v>
      </c>
      <c r="ET28" s="20">
        <f>ES13</f>
        <v>801854904</v>
      </c>
      <c r="EU28" s="38">
        <f>(ES28/ET28)</f>
        <v>2.49318670126884</v>
      </c>
      <c r="EV28" s="20">
        <v>1422891303</v>
      </c>
      <c r="EW28" s="20">
        <f>EV13</f>
        <v>853660070</v>
      </c>
      <c r="EX28" s="38">
        <f>(EV28/EW28)</f>
        <v>1.66681253229989</v>
      </c>
      <c r="EY28" s="20">
        <v>813218464</v>
      </c>
      <c r="EZ28" s="20">
        <f>EY13</f>
        <v>1800815548</v>
      </c>
      <c r="FA28" s="38">
        <f>(EY28/EZ28)</f>
        <v>0.45158343113106</v>
      </c>
      <c r="FB28" s="20">
        <v>813218464</v>
      </c>
      <c r="FC28" s="20">
        <f>FB13</f>
        <v>1800815548</v>
      </c>
      <c r="FD28" s="38">
        <f>(FB28/FC28)</f>
        <v>0.45158343113106</v>
      </c>
      <c r="FE28" s="20">
        <v>813218464</v>
      </c>
      <c r="FF28" s="20">
        <f>FE13</f>
        <v>1800815548</v>
      </c>
      <c r="FG28" s="38">
        <f>(FE28/FF28)</f>
        <v>0.45158343113106</v>
      </c>
      <c r="FH28" s="20">
        <v>67777883</v>
      </c>
      <c r="FI28" s="20">
        <f>FH13</f>
        <v>741304032</v>
      </c>
      <c r="FJ28" s="38">
        <f>(FH28/FI28)</f>
        <v>0.0914306142611133</v>
      </c>
      <c r="FK28" s="20">
        <v>67777883</v>
      </c>
      <c r="FL28" s="20">
        <f>FK13</f>
        <v>741304032</v>
      </c>
      <c r="FM28" s="38">
        <f>(FK28/FL28)</f>
        <v>0.0914306142611133</v>
      </c>
      <c r="FN28" s="20">
        <v>67777883</v>
      </c>
      <c r="FO28" s="20">
        <f>FN13</f>
        <v>741304032</v>
      </c>
      <c r="FP28" s="38">
        <f>(FN28/FO28)</f>
        <v>0.0914306142611133</v>
      </c>
      <c r="FQ28" s="20">
        <v>246998174</v>
      </c>
      <c r="FR28" s="20">
        <f>FQ13</f>
        <v>689683890</v>
      </c>
      <c r="FS28" s="38">
        <f>(FQ28/FR28)</f>
        <v>0.358132439486154</v>
      </c>
      <c r="FT28" s="20">
        <v>246998174</v>
      </c>
      <c r="FU28" s="20">
        <f>FT13</f>
        <v>620082000</v>
      </c>
      <c r="FV28" s="38">
        <f>(FT28/FU28)</f>
        <v>0.398331469063769</v>
      </c>
      <c r="FW28" s="20">
        <v>246998174</v>
      </c>
      <c r="FX28" s="20">
        <f>FW13</f>
        <v>620082000</v>
      </c>
      <c r="FY28" s="38">
        <f>(FW28/FX28)</f>
        <v>0.398331469063769</v>
      </c>
      <c r="FZ28" s="20">
        <v>246998174</v>
      </c>
      <c r="GA28" s="20">
        <f>FZ13</f>
        <v>620082000</v>
      </c>
      <c r="GB28" s="38">
        <f>(FZ28/GA28)</f>
        <v>0.398331469063769</v>
      </c>
      <c r="GC28" s="20">
        <v>523786837</v>
      </c>
      <c r="GD28" s="20">
        <f>GC13</f>
        <v>645418543</v>
      </c>
      <c r="GE28" s="38">
        <f>(GC28/GD28)</f>
        <v>0.811546000158846</v>
      </c>
      <c r="GF28" s="20">
        <v>523786837</v>
      </c>
      <c r="GG28" s="20">
        <f>GF13</f>
        <v>645418543</v>
      </c>
      <c r="GH28" s="38">
        <f>(GF28/GG28)</f>
        <v>0.811546000158846</v>
      </c>
      <c r="GI28" s="20">
        <v>523786837</v>
      </c>
      <c r="GJ28" s="20">
        <f>GI13</f>
        <v>645418543</v>
      </c>
      <c r="GK28" s="38">
        <f>(GI28/GJ28)</f>
        <v>0.811546000158846</v>
      </c>
      <c r="GL28" s="20">
        <v>523786837</v>
      </c>
      <c r="GM28" s="20">
        <f>GL13</f>
        <v>645418543</v>
      </c>
      <c r="GN28" s="38">
        <f>(GL28/GM28)</f>
        <v>0.811546000158846</v>
      </c>
      <c r="GO28" s="20">
        <v>523786837</v>
      </c>
      <c r="GP28" s="20">
        <f>GO13</f>
        <v>645418543</v>
      </c>
      <c r="GQ28" s="38">
        <f>(GO28/GP28)</f>
        <v>0.811546000158846</v>
      </c>
      <c r="GR28" s="20">
        <v>523786837</v>
      </c>
      <c r="GS28" s="20">
        <f>GR13</f>
        <v>645418543</v>
      </c>
      <c r="GT28" s="38">
        <f>(GR28/GS28)</f>
        <v>0.811546000158846</v>
      </c>
      <c r="GU28" s="20">
        <v>523786837</v>
      </c>
      <c r="GV28" s="20">
        <f>GU13</f>
        <v>645418543</v>
      </c>
      <c r="GW28" s="38">
        <f>(GU28/GV28)</f>
        <v>0.811546000158846</v>
      </c>
      <c r="GX28" s="20">
        <v>523786837</v>
      </c>
      <c r="GY28" s="20">
        <f>GX13</f>
        <v>645418543</v>
      </c>
      <c r="GZ28" s="38">
        <f>(GX28/GY28)</f>
        <v>0.811546000158846</v>
      </c>
      <c r="HA28" s="20">
        <v>926373474</v>
      </c>
      <c r="HB28" s="20">
        <f>HA13</f>
        <v>245183190</v>
      </c>
      <c r="HC28" s="38">
        <f>(HA28/HB28)</f>
        <v>3.77829113814858</v>
      </c>
      <c r="HD28" s="20">
        <v>926373474</v>
      </c>
      <c r="HE28" s="20">
        <f>HD13</f>
        <v>245183190</v>
      </c>
      <c r="HF28" s="38">
        <f>(HD28/HE28)</f>
        <v>3.77829113814858</v>
      </c>
      <c r="HG28" s="20">
        <v>24937002</v>
      </c>
      <c r="HH28" s="20">
        <f>HG13</f>
        <v>752403522</v>
      </c>
      <c r="HI28" s="38">
        <f>(HG28/HH28)</f>
        <v>0.0331431223683187</v>
      </c>
      <c r="HJ28" s="20">
        <v>24937002</v>
      </c>
      <c r="HK28" s="20">
        <f>HJ13</f>
        <v>752403522</v>
      </c>
      <c r="HL28" s="38">
        <f>(HJ28/HK28)</f>
        <v>0.0331431223683187</v>
      </c>
      <c r="HM28" s="20">
        <v>843349218</v>
      </c>
      <c r="HN28" s="20">
        <f>HM13</f>
        <v>508965708</v>
      </c>
      <c r="HO28" s="38">
        <f>(HM28/HN28)</f>
        <v>1.65698632490187</v>
      </c>
      <c r="HP28" s="20">
        <v>934674077</v>
      </c>
      <c r="HQ28" s="20">
        <f>HP13</f>
        <v>555710604</v>
      </c>
      <c r="HR28" s="38">
        <f>(HP28/HQ28)</f>
        <v>1.68194392957814</v>
      </c>
      <c r="HS28" s="20">
        <v>934674077</v>
      </c>
      <c r="HT28" s="20">
        <f>HS13</f>
        <v>555710604</v>
      </c>
      <c r="HU28" s="38">
        <f>(HS28/HT28)</f>
        <v>1.68194392957814</v>
      </c>
      <c r="HV28" s="20">
        <v>934674077</v>
      </c>
      <c r="HW28" s="20">
        <f>HV13</f>
        <v>555710604</v>
      </c>
      <c r="HX28" s="38">
        <f>(HV28/HW28)</f>
        <v>1.68194392957814</v>
      </c>
      <c r="HY28" s="20">
        <v>141999000</v>
      </c>
      <c r="HZ28" s="20">
        <f>HY13</f>
        <v>469114000</v>
      </c>
      <c r="IA28" s="38">
        <f>(HY28/HZ28)</f>
        <v>0.302696146352486</v>
      </c>
      <c r="IB28" s="20">
        <v>34000000</v>
      </c>
      <c r="IC28" s="20">
        <f>IB13</f>
        <v>184948055</v>
      </c>
      <c r="ID28" s="38">
        <f>(IB28/IC28)</f>
        <v>0.18383540178349</v>
      </c>
      <c r="IE28" s="20">
        <v>34000000</v>
      </c>
      <c r="IF28" s="20">
        <f>IE13</f>
        <v>184948055</v>
      </c>
      <c r="IG28" s="38">
        <f>(IE28/IF28)</f>
        <v>0.18383540178349</v>
      </c>
      <c r="IH28" s="20">
        <v>34000000</v>
      </c>
      <c r="II28" s="20">
        <f>IH13</f>
        <v>184948055</v>
      </c>
      <c r="IJ28" s="38">
        <f>(IH28/II28)</f>
        <v>0.18383540178349</v>
      </c>
      <c r="IK28" s="20">
        <v>34000000</v>
      </c>
      <c r="IL28" s="20">
        <f>IK13</f>
        <v>184948055</v>
      </c>
      <c r="IM28" s="38">
        <f>(IK28/IL28)</f>
        <v>0.18383540178349</v>
      </c>
      <c r="IN28" s="20">
        <v>430398500</v>
      </c>
      <c r="IO28" s="20">
        <f>IN13</f>
        <v>206694486</v>
      </c>
      <c r="IP28" s="38">
        <f>(IN28/IO28)</f>
        <v>2.0822930902956</v>
      </c>
      <c r="IQ28" s="20">
        <v>430398500</v>
      </c>
      <c r="IR28" s="20">
        <f>IQ13</f>
        <v>206694486</v>
      </c>
      <c r="IS28" s="38">
        <f>(IQ28/IR28)</f>
        <v>2.0822930902956</v>
      </c>
      <c r="IT28" s="20">
        <v>430398500</v>
      </c>
      <c r="IU28" s="20">
        <f>IT13</f>
        <v>206694486</v>
      </c>
      <c r="IV28" s="38">
        <f>(IT28/IU28)</f>
        <v>2.0822930902956</v>
      </c>
      <c r="IW28" s="20">
        <v>430398500</v>
      </c>
      <c r="IX28" s="20">
        <f>IW13</f>
        <v>206694486</v>
      </c>
      <c r="IY28" s="38">
        <f>(IW28/IX28)</f>
        <v>2.0822930902956</v>
      </c>
      <c r="IZ28" s="20">
        <v>324254547</v>
      </c>
      <c r="JA28" s="20">
        <f>IZ13</f>
        <v>392408803</v>
      </c>
      <c r="JB28" s="38">
        <f>(IZ28/JA28)</f>
        <v>0.826318228645854</v>
      </c>
      <c r="JC28" s="20">
        <v>237981243</v>
      </c>
      <c r="JD28" s="20">
        <f>JC13</f>
        <v>279434593</v>
      </c>
      <c r="JE28" s="38">
        <f>(JC28/JD28)</f>
        <v>0.851652762261972</v>
      </c>
      <c r="JF28" s="20">
        <v>237981243</v>
      </c>
      <c r="JG28" s="20">
        <f>JF13</f>
        <v>279434593</v>
      </c>
      <c r="JH28" s="38">
        <f>(JF28/JG28)</f>
        <v>0.851652762261972</v>
      </c>
      <c r="JI28" s="20">
        <v>237981243</v>
      </c>
      <c r="JJ28" s="20">
        <f>JI13</f>
        <v>279434593</v>
      </c>
      <c r="JK28" s="38">
        <f>(JI28/JJ28)</f>
        <v>0.851652762261972</v>
      </c>
      <c r="JL28" s="20">
        <v>237981243</v>
      </c>
      <c r="JM28" s="20">
        <f>JL13</f>
        <v>279434593</v>
      </c>
      <c r="JN28" s="38">
        <f>(JL28/JM28)</f>
        <v>0.851652762261972</v>
      </c>
      <c r="JO28" s="20">
        <v>237981243</v>
      </c>
      <c r="JP28" s="20">
        <f>JO13</f>
        <v>279434593</v>
      </c>
      <c r="JQ28" s="38">
        <f>(JO28/JP28)</f>
        <v>0.851652762261972</v>
      </c>
    </row>
    <row r="29" spans="1:277">
      <c r="A29" s="2"/>
      <c r="B29" s="2"/>
      <c r="C29" s="2" t="s">
        <v>449</v>
      </c>
      <c r="D29" s="2"/>
      <c r="E29" s="20"/>
      <c r="F29" s="20"/>
      <c r="G29" s="38"/>
      <c r="H29" s="20"/>
      <c r="I29" s="20"/>
      <c r="J29" s="219"/>
      <c r="K29" s="20"/>
      <c r="L29" s="20"/>
      <c r="M29" s="38"/>
      <c r="N29" s="20"/>
      <c r="O29" s="20"/>
      <c r="P29" s="38"/>
      <c r="Q29" s="20"/>
      <c r="R29" s="20"/>
      <c r="S29" s="38"/>
      <c r="T29" s="20"/>
      <c r="U29" s="20"/>
      <c r="V29" s="38"/>
      <c r="W29" s="20"/>
      <c r="X29" s="20"/>
      <c r="Y29" s="38"/>
      <c r="Z29" s="20"/>
      <c r="AA29" s="20"/>
      <c r="AB29" s="38"/>
      <c r="AC29" s="20"/>
      <c r="AD29" s="20"/>
      <c r="AE29" s="38"/>
      <c r="AF29" s="20"/>
      <c r="AG29" s="20"/>
      <c r="AH29" s="38"/>
      <c r="AI29" s="20"/>
      <c r="AJ29" s="20"/>
      <c r="AK29" s="38"/>
      <c r="AL29" s="20"/>
      <c r="AM29" s="20"/>
      <c r="AN29" s="38"/>
      <c r="AO29" s="20"/>
      <c r="AP29" s="20"/>
      <c r="AQ29" s="38"/>
      <c r="AR29" s="20"/>
      <c r="AS29" s="20"/>
      <c r="AT29" s="38"/>
      <c r="AU29" s="20"/>
      <c r="AV29" s="20"/>
      <c r="AW29" s="38"/>
      <c r="AX29" s="20"/>
      <c r="AY29" s="20"/>
      <c r="AZ29" s="38"/>
      <c r="BA29" s="20"/>
      <c r="BB29" s="20"/>
      <c r="BC29" s="38"/>
      <c r="BD29" s="20"/>
      <c r="BE29" s="20"/>
      <c r="BF29" s="38"/>
      <c r="BG29" s="20"/>
      <c r="BH29" s="20"/>
      <c r="BI29" s="38"/>
      <c r="BJ29" s="20"/>
      <c r="BK29" s="20"/>
      <c r="BL29" s="38"/>
      <c r="BM29" s="20"/>
      <c r="BN29" s="20"/>
      <c r="BO29" s="38"/>
      <c r="BP29" s="20"/>
      <c r="BQ29" s="20"/>
      <c r="BR29" s="38"/>
      <c r="BS29" s="20"/>
      <c r="BT29" s="20"/>
      <c r="BU29" s="38"/>
      <c r="BV29" s="20"/>
      <c r="BW29" s="20"/>
      <c r="BX29" s="38"/>
      <c r="BY29" s="20"/>
      <c r="BZ29" s="20"/>
      <c r="CA29" s="38"/>
      <c r="CB29" s="20"/>
      <c r="CC29" s="20"/>
      <c r="CD29" s="38"/>
      <c r="CE29" s="20"/>
      <c r="CF29" s="20"/>
      <c r="CG29" s="38"/>
      <c r="CH29" s="20"/>
      <c r="CI29" s="20"/>
      <c r="CJ29" s="38"/>
      <c r="CK29" s="20"/>
      <c r="CL29" s="20"/>
      <c r="CM29" s="38"/>
      <c r="CN29" s="20"/>
      <c r="CO29" s="20"/>
      <c r="CP29" s="38"/>
      <c r="CQ29" s="20"/>
      <c r="CR29" s="20"/>
      <c r="CS29" s="38"/>
      <c r="CT29" s="20"/>
      <c r="CU29" s="20"/>
      <c r="CV29" s="38"/>
      <c r="CW29" s="20"/>
      <c r="CX29" s="20"/>
      <c r="CY29" s="38"/>
      <c r="CZ29" s="20"/>
      <c r="DA29" s="20"/>
      <c r="DB29" s="38"/>
      <c r="DC29" s="20"/>
      <c r="DD29" s="20"/>
      <c r="DE29" s="38"/>
      <c r="DF29" s="20"/>
      <c r="DG29" s="20"/>
      <c r="DH29" s="38"/>
      <c r="DI29" s="20"/>
      <c r="DJ29" s="20"/>
      <c r="DK29" s="38"/>
      <c r="DL29" s="20"/>
      <c r="DM29" s="20"/>
      <c r="DN29" s="38"/>
      <c r="DO29" s="20"/>
      <c r="DP29" s="20"/>
      <c r="DQ29" s="38"/>
      <c r="DR29" s="20"/>
      <c r="DS29" s="20"/>
      <c r="DT29" s="38"/>
      <c r="DU29" s="20"/>
      <c r="DV29" s="20"/>
      <c r="DW29" s="38"/>
      <c r="DX29" s="20"/>
      <c r="DY29" s="20"/>
      <c r="DZ29" s="38"/>
      <c r="EA29" s="20"/>
      <c r="EB29" s="20"/>
      <c r="EC29" s="38"/>
      <c r="ED29" s="20"/>
      <c r="EE29" s="20"/>
      <c r="EF29" s="38"/>
      <c r="EG29" s="20"/>
      <c r="EH29" s="20"/>
      <c r="EI29" s="38"/>
      <c r="EJ29" s="20"/>
      <c r="EK29" s="20"/>
      <c r="EL29" s="38"/>
      <c r="EM29" s="20"/>
      <c r="EN29" s="20"/>
      <c r="EO29" s="38"/>
      <c r="EP29" s="20"/>
      <c r="EQ29" s="20"/>
      <c r="ER29" s="38"/>
      <c r="ES29" s="20"/>
      <c r="ET29" s="20"/>
      <c r="EU29" s="38"/>
      <c r="EV29" s="20"/>
      <c r="EW29" s="20"/>
      <c r="EX29" s="38"/>
      <c r="EY29" s="20"/>
      <c r="EZ29" s="20"/>
      <c r="FA29" s="38"/>
      <c r="FB29" s="20"/>
      <c r="FC29" s="20"/>
      <c r="FD29" s="38"/>
      <c r="FE29" s="20"/>
      <c r="FF29" s="20"/>
      <c r="FG29" s="38"/>
      <c r="FH29" s="20"/>
      <c r="FI29" s="20"/>
      <c r="FJ29" s="38"/>
      <c r="FK29" s="20"/>
      <c r="FL29" s="20"/>
      <c r="FM29" s="38"/>
      <c r="FN29" s="20"/>
      <c r="FO29" s="20"/>
      <c r="FP29" s="38"/>
      <c r="FQ29" s="20"/>
      <c r="FR29" s="20"/>
      <c r="FS29" s="38"/>
      <c r="FT29" s="20"/>
      <c r="FU29" s="20"/>
      <c r="FV29" s="38"/>
      <c r="FW29" s="20"/>
      <c r="FX29" s="20"/>
      <c r="FY29" s="38"/>
      <c r="FZ29" s="20"/>
      <c r="GA29" s="20"/>
      <c r="GB29" s="38"/>
      <c r="GC29" s="20"/>
      <c r="GD29" s="20"/>
      <c r="GE29" s="38"/>
      <c r="GF29" s="20"/>
      <c r="GG29" s="20"/>
      <c r="GH29" s="38"/>
      <c r="GI29" s="20"/>
      <c r="GJ29" s="20"/>
      <c r="GK29" s="38"/>
      <c r="GL29" s="20"/>
      <c r="GM29" s="20"/>
      <c r="GN29" s="38"/>
      <c r="GO29" s="20"/>
      <c r="GP29" s="20"/>
      <c r="GQ29" s="38"/>
      <c r="GR29" s="20"/>
      <c r="GS29" s="20"/>
      <c r="GT29" s="38"/>
      <c r="GU29" s="20"/>
      <c r="GV29" s="20"/>
      <c r="GW29" s="38"/>
      <c r="GX29" s="20"/>
      <c r="GY29" s="20"/>
      <c r="GZ29" s="38"/>
      <c r="HA29" s="20"/>
      <c r="HB29" s="20"/>
      <c r="HC29" s="38"/>
      <c r="HD29" s="20"/>
      <c r="HE29" s="20"/>
      <c r="HF29" s="38"/>
      <c r="HG29" s="20"/>
      <c r="HH29" s="20"/>
      <c r="HI29" s="38"/>
      <c r="HJ29" s="20"/>
      <c r="HK29" s="20"/>
      <c r="HL29" s="38"/>
      <c r="HM29" s="20"/>
      <c r="HN29" s="20"/>
      <c r="HO29" s="38"/>
      <c r="HP29" s="20"/>
      <c r="HQ29" s="20"/>
      <c r="HR29" s="38"/>
      <c r="HS29" s="20"/>
      <c r="HT29" s="20"/>
      <c r="HU29" s="38"/>
      <c r="HV29" s="20"/>
      <c r="HW29" s="20"/>
      <c r="HX29" s="38"/>
      <c r="HY29" s="20"/>
      <c r="HZ29" s="20"/>
      <c r="IA29" s="38"/>
      <c r="IB29" s="20"/>
      <c r="IC29" s="20"/>
      <c r="ID29" s="38"/>
      <c r="IE29" s="20"/>
      <c r="IF29" s="20"/>
      <c r="IG29" s="38"/>
      <c r="IH29" s="20"/>
      <c r="II29" s="20"/>
      <c r="IJ29" s="38"/>
      <c r="IK29" s="20"/>
      <c r="IL29" s="20"/>
      <c r="IM29" s="38"/>
      <c r="IN29" s="20"/>
      <c r="IO29" s="20"/>
      <c r="IP29" s="38"/>
      <c r="IQ29" s="20"/>
      <c r="IR29" s="20"/>
      <c r="IS29" s="38"/>
      <c r="IT29" s="20"/>
      <c r="IU29" s="20"/>
      <c r="IV29" s="38"/>
      <c r="IW29" s="20"/>
      <c r="IX29" s="20"/>
      <c r="IY29" s="38"/>
      <c r="IZ29" s="20"/>
      <c r="JA29" s="20"/>
      <c r="JB29" s="38"/>
      <c r="JC29" s="20"/>
      <c r="JD29" s="20"/>
      <c r="JE29" s="38"/>
      <c r="JF29" s="20"/>
      <c r="JG29" s="20"/>
      <c r="JH29" s="38"/>
      <c r="JI29" s="20"/>
      <c r="JJ29" s="20"/>
      <c r="JK29" s="38"/>
      <c r="JL29" s="20"/>
      <c r="JM29" s="20"/>
      <c r="JN29" s="38"/>
      <c r="JO29" s="20"/>
      <c r="JP29" s="20"/>
      <c r="JQ29" s="38"/>
    </row>
    <row r="30" spans="1:277">
      <c r="A30" s="2"/>
      <c r="B30" s="2"/>
      <c r="C30" s="2"/>
      <c r="D30" s="41"/>
      <c r="E30" s="42"/>
      <c r="F30" s="20"/>
      <c r="G30" s="38"/>
      <c r="H30" s="42"/>
      <c r="I30" s="20"/>
      <c r="J30" s="38"/>
      <c r="K30" s="42"/>
      <c r="L30" s="20"/>
      <c r="M30" s="38"/>
      <c r="N30" s="42"/>
      <c r="O30" s="20"/>
      <c r="P30" s="38"/>
      <c r="Q30" s="42"/>
      <c r="R30" s="20"/>
      <c r="S30" s="38"/>
      <c r="T30" s="42"/>
      <c r="U30" s="20"/>
      <c r="V30" s="38"/>
      <c r="W30" s="42"/>
      <c r="X30" s="20"/>
      <c r="Y30" s="38"/>
      <c r="Z30" s="42"/>
      <c r="AA30" s="20"/>
      <c r="AB30" s="38"/>
      <c r="AC30" s="42"/>
      <c r="AD30" s="20"/>
      <c r="AE30" s="38"/>
      <c r="AF30" s="42"/>
      <c r="AG30" s="20"/>
      <c r="AH30" s="38"/>
      <c r="AI30" s="42"/>
      <c r="AJ30" s="20"/>
      <c r="AK30" s="38"/>
      <c r="AL30" s="42"/>
      <c r="AM30" s="20"/>
      <c r="AN30" s="38"/>
      <c r="AO30" s="42" t="s">
        <v>450</v>
      </c>
      <c r="AP30" s="20"/>
      <c r="AQ30" s="38"/>
      <c r="AR30" s="42"/>
      <c r="AS30" s="20"/>
      <c r="AT30" s="38"/>
      <c r="AU30" s="42" t="s">
        <v>450</v>
      </c>
      <c r="AV30" s="20"/>
      <c r="AW30" s="38"/>
      <c r="AX30" s="42"/>
      <c r="AY30" s="20"/>
      <c r="AZ30" s="38"/>
      <c r="BA30" s="42"/>
      <c r="BB30" s="20"/>
      <c r="BC30" s="38"/>
      <c r="BD30" s="42"/>
      <c r="BE30" s="20"/>
      <c r="BF30" s="38"/>
      <c r="BG30" s="86"/>
      <c r="BH30" s="20"/>
      <c r="BI30" s="86" t="s">
        <v>451</v>
      </c>
      <c r="BJ30" s="86"/>
      <c r="BK30" s="20"/>
      <c r="BL30" s="38"/>
      <c r="BM30" s="86"/>
      <c r="BN30" s="20"/>
      <c r="BO30" s="38"/>
      <c r="BP30" s="86"/>
      <c r="BQ30" s="20"/>
      <c r="BR30" s="38"/>
      <c r="BS30" s="86"/>
      <c r="BT30" s="20"/>
      <c r="BU30" s="38"/>
      <c r="BV30" s="86"/>
      <c r="BW30" s="20"/>
      <c r="BX30" s="38"/>
      <c r="BY30" s="86"/>
      <c r="BZ30" s="20"/>
      <c r="CA30" s="38"/>
      <c r="CB30" s="86"/>
      <c r="CC30" s="20"/>
      <c r="CD30" s="38"/>
      <c r="CE30" s="86"/>
      <c r="CF30" s="20"/>
      <c r="CG30" s="38"/>
      <c r="CH30" s="86"/>
      <c r="CI30" s="20"/>
      <c r="CJ30" s="38"/>
      <c r="CK30" s="86"/>
      <c r="CL30" s="20"/>
      <c r="CM30" s="38"/>
      <c r="CN30" s="42"/>
      <c r="CO30" s="20"/>
      <c r="CP30" s="38"/>
      <c r="CQ30" s="42"/>
      <c r="CR30" s="20"/>
      <c r="CS30" s="38"/>
      <c r="CT30" s="86" t="s">
        <v>452</v>
      </c>
      <c r="CU30" s="20"/>
      <c r="CV30" s="38"/>
      <c r="CW30" s="86"/>
      <c r="CX30" s="20"/>
      <c r="CY30" s="38"/>
      <c r="CZ30" s="86" t="s">
        <v>453</v>
      </c>
      <c r="DA30" s="20"/>
      <c r="DB30" s="38"/>
      <c r="DC30" s="86"/>
      <c r="DD30" s="20"/>
      <c r="DE30" s="38"/>
      <c r="DF30" s="86"/>
      <c r="DG30" s="20"/>
      <c r="DH30" s="38"/>
      <c r="DI30" s="86"/>
      <c r="DJ30" s="20"/>
      <c r="DK30" s="38"/>
      <c r="DL30" s="86"/>
      <c r="DM30" s="20"/>
      <c r="DN30" s="38"/>
      <c r="DO30" s="86"/>
      <c r="DP30" s="20"/>
      <c r="DQ30" s="38"/>
      <c r="DR30" s="86"/>
      <c r="DS30" s="20"/>
      <c r="DT30" s="38"/>
      <c r="DU30" s="86" t="s">
        <v>451</v>
      </c>
      <c r="DV30" s="20"/>
      <c r="DW30" s="38"/>
      <c r="DX30" s="86"/>
      <c r="DY30" s="20"/>
      <c r="DZ30" s="38"/>
      <c r="EA30" s="86"/>
      <c r="EB30" s="20"/>
      <c r="EC30" s="38"/>
      <c r="ED30" s="86"/>
      <c r="EE30" s="20"/>
      <c r="EF30" s="38"/>
      <c r="EG30" s="86"/>
      <c r="EH30" s="20"/>
      <c r="EI30" s="38"/>
      <c r="EJ30" s="86"/>
      <c r="EK30" s="20"/>
      <c r="EL30" s="38"/>
      <c r="EM30" s="86"/>
      <c r="EN30" s="20"/>
      <c r="EO30" s="38"/>
      <c r="EP30" s="86"/>
      <c r="EQ30" s="20"/>
      <c r="ER30" s="38"/>
      <c r="ES30" s="86"/>
      <c r="ET30" s="20"/>
      <c r="EU30" s="38"/>
      <c r="EV30" s="86"/>
      <c r="EW30" s="20"/>
      <c r="EX30" s="38"/>
      <c r="EY30" s="86"/>
      <c r="EZ30" s="20"/>
      <c r="FA30" s="38"/>
      <c r="FB30" s="86"/>
      <c r="FC30" s="20"/>
      <c r="FD30" s="38"/>
      <c r="FE30" s="86"/>
      <c r="FF30" s="20"/>
      <c r="FG30" s="38"/>
      <c r="FH30" s="86"/>
      <c r="FI30" s="20"/>
      <c r="FJ30" s="84"/>
      <c r="FK30" s="86"/>
      <c r="FL30" s="20"/>
      <c r="FM30" s="84"/>
      <c r="FN30" s="86"/>
      <c r="FO30" s="20"/>
      <c r="FP30" s="302" t="s">
        <v>451</v>
      </c>
      <c r="FQ30" s="86"/>
      <c r="FR30" s="20"/>
      <c r="FS30" s="302" t="s">
        <v>451</v>
      </c>
      <c r="FT30" s="86"/>
      <c r="FU30" s="20"/>
      <c r="FV30" s="84"/>
      <c r="FW30" s="86"/>
      <c r="FX30" s="20"/>
      <c r="FY30" s="84"/>
      <c r="FZ30" s="86"/>
      <c r="GA30" s="20"/>
      <c r="GB30" s="84"/>
      <c r="GC30" s="86"/>
      <c r="GD30" s="20"/>
      <c r="GE30" s="84"/>
      <c r="GF30" s="86"/>
      <c r="GG30" s="20"/>
      <c r="GH30" s="84"/>
      <c r="GI30" s="86"/>
      <c r="GJ30" s="20"/>
      <c r="GK30" s="84"/>
      <c r="GL30" s="86"/>
      <c r="GM30" s="20"/>
      <c r="GN30" s="84"/>
      <c r="GO30" s="86"/>
      <c r="GP30" s="20"/>
      <c r="GQ30" s="84"/>
      <c r="GR30" s="86"/>
      <c r="GS30" s="20"/>
      <c r="GT30" s="84"/>
      <c r="GU30" s="86"/>
      <c r="GV30" s="20"/>
      <c r="GW30" s="84"/>
      <c r="GX30" s="86"/>
      <c r="GY30" s="20"/>
      <c r="GZ30" s="84"/>
      <c r="HA30" s="86"/>
      <c r="HB30" s="20"/>
      <c r="HC30" s="84"/>
      <c r="HD30" s="86"/>
      <c r="HE30" s="20"/>
      <c r="HF30" s="84"/>
      <c r="HG30" s="86"/>
      <c r="HH30" s="20"/>
      <c r="HI30" s="84"/>
      <c r="HJ30" s="86"/>
      <c r="HK30" s="20"/>
      <c r="HL30" s="84"/>
      <c r="HM30" s="86"/>
      <c r="HN30" s="20"/>
      <c r="HO30" s="84"/>
      <c r="HP30" s="86"/>
      <c r="HQ30" s="20"/>
      <c r="HR30" s="84"/>
      <c r="HS30" s="86"/>
      <c r="HT30" s="20"/>
      <c r="HU30" s="84"/>
      <c r="HV30" s="86"/>
      <c r="HW30" s="20"/>
      <c r="HX30" s="84"/>
      <c r="HY30" s="86"/>
      <c r="HZ30" s="20"/>
      <c r="IA30" s="302" t="s">
        <v>451</v>
      </c>
      <c r="IB30" s="86"/>
      <c r="IC30" s="20"/>
      <c r="ID30" s="302" t="s">
        <v>451</v>
      </c>
      <c r="IE30" s="86"/>
      <c r="IF30" s="20"/>
      <c r="IG30" s="84"/>
      <c r="IH30" s="86"/>
      <c r="II30" s="20"/>
      <c r="IJ30" s="302"/>
      <c r="IK30" s="86"/>
      <c r="IL30" s="20"/>
      <c r="IM30" s="302"/>
      <c r="IN30" s="86"/>
      <c r="IO30" s="20"/>
      <c r="IP30" s="84"/>
      <c r="IQ30" s="86"/>
      <c r="IR30" s="20"/>
      <c r="IS30" s="84"/>
      <c r="IT30" s="86"/>
      <c r="IU30" s="20"/>
      <c r="IV30" s="84"/>
      <c r="IW30" s="86"/>
      <c r="IX30" s="20"/>
      <c r="IY30" s="84"/>
      <c r="IZ30" s="86"/>
      <c r="JA30" s="20"/>
      <c r="JB30" s="84"/>
      <c r="JC30" s="86"/>
      <c r="JD30" s="20"/>
      <c r="JE30" s="84"/>
      <c r="JF30" s="86"/>
      <c r="JG30" s="20"/>
      <c r="JH30" s="84"/>
      <c r="JI30" s="86"/>
      <c r="JJ30" s="20"/>
      <c r="JK30" s="84"/>
      <c r="JL30" s="86"/>
      <c r="JM30" s="20"/>
      <c r="JN30" s="84"/>
      <c r="JO30" s="86"/>
      <c r="JP30" s="20"/>
      <c r="JQ30" s="84"/>
    </row>
    <row r="31" spans="1:277">
      <c r="A31" s="2">
        <v>10</v>
      </c>
      <c r="B31" s="2" t="s">
        <v>202</v>
      </c>
      <c r="C31" s="37" t="s">
        <v>203</v>
      </c>
      <c r="D31" s="2" t="s">
        <v>172</v>
      </c>
      <c r="E31" s="20">
        <v>11764344770</v>
      </c>
      <c r="F31" s="20">
        <f>F3</f>
        <v>87823960</v>
      </c>
      <c r="G31" s="85">
        <f>E31/F31</f>
        <v>133.953704319414</v>
      </c>
      <c r="H31" s="20">
        <v>82897866082</v>
      </c>
      <c r="I31" s="20">
        <f>I3</f>
        <v>211800000</v>
      </c>
      <c r="J31" s="85">
        <f>H31/I31</f>
        <v>391.396912568461</v>
      </c>
      <c r="K31" s="20">
        <v>7948964000</v>
      </c>
      <c r="L31" s="20">
        <f>L3</f>
        <v>34090650</v>
      </c>
      <c r="M31" s="85">
        <f>K31/L31</f>
        <v>233.171382769176</v>
      </c>
      <c r="N31" s="20">
        <v>17737851455</v>
      </c>
      <c r="O31" s="20">
        <f>O3</f>
        <v>37800000</v>
      </c>
      <c r="P31" s="85">
        <f>N31/O31</f>
        <v>469.255329497355</v>
      </c>
      <c r="Q31" s="20">
        <v>7737049055</v>
      </c>
      <c r="R31" s="20">
        <f>R3</f>
        <v>37379937</v>
      </c>
      <c r="S31" s="85">
        <f>Q31/R31</f>
        <v>206.984004681442</v>
      </c>
      <c r="T31" s="20">
        <v>8902366390</v>
      </c>
      <c r="U31" s="20">
        <f>U3</f>
        <v>22050000</v>
      </c>
      <c r="V31" s="85">
        <f>T31/U31</f>
        <v>403.735437188209</v>
      </c>
      <c r="W31" s="20">
        <v>8902366390</v>
      </c>
      <c r="X31" s="20">
        <f>X3</f>
        <v>68421000</v>
      </c>
      <c r="Y31" s="85">
        <f>W31/X31</f>
        <v>130.111608862776</v>
      </c>
      <c r="Z31" s="20">
        <v>8902366390</v>
      </c>
      <c r="AA31" s="20">
        <f>AA3</f>
        <v>60000000</v>
      </c>
      <c r="AB31" s="85">
        <f>Z31/AA31</f>
        <v>148.372773166667</v>
      </c>
      <c r="AC31" s="20">
        <v>13699057092</v>
      </c>
      <c r="AD31" s="20">
        <f>AD3</f>
        <v>60759278</v>
      </c>
      <c r="AE31" s="85">
        <f>AC31/AD31</f>
        <v>225.464448277348</v>
      </c>
      <c r="AF31" s="20">
        <v>13941722619</v>
      </c>
      <c r="AG31" s="20">
        <f>AG3</f>
        <v>33325000</v>
      </c>
      <c r="AH31" s="85">
        <f>AF31/AG31</f>
        <v>418.356267636909</v>
      </c>
      <c r="AI31" s="20">
        <v>11228045132</v>
      </c>
      <c r="AJ31" s="20">
        <f>AJ3</f>
        <v>34375000</v>
      </c>
      <c r="AK31" s="85">
        <f>AI31/AJ31</f>
        <v>326.634040203636</v>
      </c>
      <c r="AL31" s="20">
        <v>11228045132</v>
      </c>
      <c r="AM31" s="20">
        <f>AM3</f>
        <v>32000000</v>
      </c>
      <c r="AN31" s="85">
        <f>AL31/AM31</f>
        <v>350.876410375</v>
      </c>
      <c r="AO31" s="20">
        <v>7072100872</v>
      </c>
      <c r="AP31" s="20">
        <f>AP3</f>
        <v>26027157</v>
      </c>
      <c r="AQ31" s="85">
        <f>AO31/AP31</f>
        <v>271.720068081197</v>
      </c>
      <c r="AR31" s="20">
        <v>2805748850</v>
      </c>
      <c r="AS31" s="20">
        <f>AS3</f>
        <v>18389793</v>
      </c>
      <c r="AT31" s="85">
        <f>AR31/AS31</f>
        <v>152.570985981191</v>
      </c>
      <c r="AU31" s="20">
        <v>2805748850</v>
      </c>
      <c r="AV31" s="20">
        <f>AV3</f>
        <v>37025584</v>
      </c>
      <c r="AW31" s="85">
        <f>AU31/AV31</f>
        <v>75.7786521341567</v>
      </c>
      <c r="AX31" s="20">
        <v>4618209165</v>
      </c>
      <c r="AY31" s="20">
        <f>AY3</f>
        <v>13636370</v>
      </c>
      <c r="AZ31" s="85">
        <f>AX31/AY31</f>
        <v>338.668514054693</v>
      </c>
      <c r="BA31" s="20">
        <v>4618209165</v>
      </c>
      <c r="BB31" s="20">
        <f>BB3</f>
        <v>36500000</v>
      </c>
      <c r="BC31" s="85">
        <f>BA31/BB31</f>
        <v>126.526278493151</v>
      </c>
      <c r="BD31" s="20">
        <v>4618209165</v>
      </c>
      <c r="BE31" s="20">
        <f>BE3</f>
        <v>19125000</v>
      </c>
      <c r="BF31" s="85">
        <f>BD31/BE31</f>
        <v>241.474989019608</v>
      </c>
      <c r="BG31" s="20">
        <v>4581336900</v>
      </c>
      <c r="BH31" s="20">
        <f>BH3</f>
        <v>38480030</v>
      </c>
      <c r="BI31" s="85">
        <f>BG31/BH31</f>
        <v>119.057518926051</v>
      </c>
      <c r="BJ31" s="20">
        <v>4581336900</v>
      </c>
      <c r="BK31" s="20">
        <f>BK3</f>
        <v>38959421</v>
      </c>
      <c r="BL31" s="85">
        <f>BJ31/BK31</f>
        <v>117.592530443407</v>
      </c>
      <c r="BM31" s="20">
        <v>4003590707</v>
      </c>
      <c r="BN31" s="20">
        <f>BN3</f>
        <v>22799299</v>
      </c>
      <c r="BO31" s="85">
        <f>BM31/BN31</f>
        <v>175.601482615759</v>
      </c>
      <c r="BP31" s="20">
        <v>4003590707</v>
      </c>
      <c r="BQ31" s="20">
        <f>BQ3</f>
        <v>29000</v>
      </c>
      <c r="BR31" s="85">
        <f>BP31/BQ31</f>
        <v>138054.851965517</v>
      </c>
      <c r="BS31" s="20">
        <v>4003590707</v>
      </c>
      <c r="BT31" s="20">
        <f>BT3</f>
        <v>17891627</v>
      </c>
      <c r="BU31" s="85">
        <f>BS31/BT31</f>
        <v>223.768956674538</v>
      </c>
      <c r="BV31" s="20">
        <v>6392208790</v>
      </c>
      <c r="BW31" s="20">
        <f>BW3</f>
        <v>29000000</v>
      </c>
      <c r="BX31" s="85">
        <f>BV31/BW31</f>
        <v>220.420992758621</v>
      </c>
      <c r="BY31" s="20">
        <v>6392208790</v>
      </c>
      <c r="BZ31" s="20">
        <f>BZ3</f>
        <v>36559400</v>
      </c>
      <c r="CA31" s="85">
        <f>BY31/BZ31</f>
        <v>174.844466539385</v>
      </c>
      <c r="CB31" s="20">
        <v>2155732949</v>
      </c>
      <c r="CC31" s="20">
        <f>CC3</f>
        <v>8500000</v>
      </c>
      <c r="CD31" s="85">
        <f>CB31/CC31</f>
        <v>253.615641058824</v>
      </c>
      <c r="CE31" s="20">
        <v>2155732949</v>
      </c>
      <c r="CF31" s="20">
        <f>CF3</f>
        <v>15000000</v>
      </c>
      <c r="CG31" s="85">
        <f>CE31/CF31</f>
        <v>143.715529933333</v>
      </c>
      <c r="CH31" s="20">
        <v>2143186</v>
      </c>
      <c r="CI31" s="20">
        <f>CI3</f>
        <v>12305</v>
      </c>
      <c r="CJ31" s="85">
        <f>CH31/CI31</f>
        <v>174.171962616822</v>
      </c>
      <c r="CK31" s="20">
        <v>2159246606</v>
      </c>
      <c r="CL31" s="20">
        <f>CL3</f>
        <v>7484000</v>
      </c>
      <c r="CM31" s="85">
        <f>CK31/CL31</f>
        <v>288.515046231961</v>
      </c>
      <c r="CN31" s="20">
        <v>873594706</v>
      </c>
      <c r="CO31" s="20">
        <f>CO3</f>
        <v>5949473</v>
      </c>
      <c r="CP31" s="85">
        <f>CN31/CO31</f>
        <v>146.835645106718</v>
      </c>
      <c r="CQ31" s="20">
        <v>2159246606</v>
      </c>
      <c r="CR31" s="20">
        <f>CR3</f>
        <v>10542604</v>
      </c>
      <c r="CS31" s="85">
        <f>CQ31/CR31</f>
        <v>204.811506341318</v>
      </c>
      <c r="CT31" s="20">
        <v>6286166022</v>
      </c>
      <c r="CU31" s="20">
        <f>CU3</f>
        <v>15930000</v>
      </c>
      <c r="CV31" s="85">
        <f>CT31/CU31</f>
        <v>394.611803013183</v>
      </c>
      <c r="CW31" s="20">
        <v>2592308557</v>
      </c>
      <c r="CX31" s="20">
        <f>CX3</f>
        <v>11732000</v>
      </c>
      <c r="CY31" s="85">
        <f>CW31/CX31</f>
        <v>220.960497528128</v>
      </c>
      <c r="CZ31" s="20">
        <v>3131428396</v>
      </c>
      <c r="DA31" s="20">
        <f>DA3</f>
        <v>10000000</v>
      </c>
      <c r="DB31" s="85">
        <f>CZ31/DA31</f>
        <v>313.1428396</v>
      </c>
      <c r="DC31" s="20">
        <v>3131428396</v>
      </c>
      <c r="DD31" s="20">
        <f>DD3</f>
        <v>23233518</v>
      </c>
      <c r="DE31" s="85">
        <f>DC31/DD31</f>
        <v>134.780638730648</v>
      </c>
      <c r="DF31" s="20">
        <v>4773799711</v>
      </c>
      <c r="DG31" s="20">
        <f>DG3</f>
        <v>13500000</v>
      </c>
      <c r="DH31" s="85">
        <f>DF31/DG31</f>
        <v>353.614793407407</v>
      </c>
      <c r="DI31" s="20">
        <v>4773799711</v>
      </c>
      <c r="DJ31" s="20">
        <f>DJ3</f>
        <v>28000000</v>
      </c>
      <c r="DK31" s="85">
        <f>DI31/DJ31</f>
        <v>170.492846821429</v>
      </c>
      <c r="DL31" s="20">
        <v>2895604376</v>
      </c>
      <c r="DM31" s="20">
        <f>DM3</f>
        <v>11298000</v>
      </c>
      <c r="DN31" s="85">
        <f>DL31/DM31</f>
        <v>256.293536555143</v>
      </c>
      <c r="DO31" s="20">
        <v>5540077279</v>
      </c>
      <c r="DP31" s="20">
        <f>DP3</f>
        <v>10654170</v>
      </c>
      <c r="DQ31" s="85">
        <f>DO31/DP31</f>
        <v>519.991447386329</v>
      </c>
      <c r="DR31" s="20">
        <v>5540077279</v>
      </c>
      <c r="DS31" s="20">
        <f>DS3</f>
        <v>24671629</v>
      </c>
      <c r="DT31" s="85">
        <f>DR31/DS31</f>
        <v>224.552553015449</v>
      </c>
      <c r="DU31" s="20">
        <v>1171560311</v>
      </c>
      <c r="DV31" s="20">
        <f>DV3</f>
        <v>9339495</v>
      </c>
      <c r="DW31" s="85">
        <f>DU31/DV31</f>
        <v>125.441505241986</v>
      </c>
      <c r="DX31" s="20">
        <v>1171560311</v>
      </c>
      <c r="DY31" s="20">
        <f>DY3</f>
        <v>19800000</v>
      </c>
      <c r="DZ31" s="85">
        <f>DX31/DY31</f>
        <v>59.1697126767677</v>
      </c>
      <c r="EA31" s="20">
        <v>1657675088</v>
      </c>
      <c r="EB31" s="20">
        <f>EB3</f>
        <v>12098625</v>
      </c>
      <c r="EC31" s="85">
        <f>EA31/EB31</f>
        <v>137.01351087417</v>
      </c>
      <c r="ED31" s="20">
        <v>1657675088</v>
      </c>
      <c r="EE31" s="20">
        <f>EE3</f>
        <v>22500000</v>
      </c>
      <c r="EF31" s="85">
        <f>ED31/EE31</f>
        <v>73.6744483555556</v>
      </c>
      <c r="EG31" s="20">
        <v>1657675088</v>
      </c>
      <c r="EH31" s="20">
        <f>EH3</f>
        <v>5358150</v>
      </c>
      <c r="EI31" s="85">
        <f>EG31/EH31</f>
        <v>309.374520683445</v>
      </c>
      <c r="EJ31" s="20">
        <v>1657675088</v>
      </c>
      <c r="EK31" s="20">
        <f>EK3</f>
        <v>18000000</v>
      </c>
      <c r="EL31" s="85">
        <f>EJ31/EK31</f>
        <v>92.0930604444444</v>
      </c>
      <c r="EM31" s="20">
        <v>2805064291</v>
      </c>
      <c r="EN31" s="20">
        <f>EN3</f>
        <v>7600000</v>
      </c>
      <c r="EO31" s="85">
        <f>EM31/EN31</f>
        <v>369.087406710526</v>
      </c>
      <c r="EP31" s="20">
        <v>1379675562</v>
      </c>
      <c r="EQ31" s="20">
        <f>EQ3</f>
        <v>5350000</v>
      </c>
      <c r="ER31" s="85">
        <f>EP31/EQ31</f>
        <v>257.883282616822</v>
      </c>
      <c r="ES31" s="20">
        <v>2805064291</v>
      </c>
      <c r="ET31" s="20">
        <f>ET3</f>
        <v>7000000</v>
      </c>
      <c r="EU31" s="85">
        <f>ES31/ET31</f>
        <v>400.723470142857</v>
      </c>
      <c r="EV31" s="20">
        <v>2293778357</v>
      </c>
      <c r="EW31" s="20">
        <f>EW3</f>
        <v>10950000</v>
      </c>
      <c r="EX31" s="85">
        <f>EV31/EW31</f>
        <v>209.477475525114</v>
      </c>
      <c r="EY31" s="20">
        <v>2635302273</v>
      </c>
      <c r="EZ31" s="20">
        <f>EZ3</f>
        <v>20000000</v>
      </c>
      <c r="FA31" s="85">
        <f>EY31/EZ31</f>
        <v>131.76511365</v>
      </c>
      <c r="FB31" s="20">
        <v>2635302273</v>
      </c>
      <c r="FC31" s="20">
        <f>FC3</f>
        <v>16500000</v>
      </c>
      <c r="FD31" s="85">
        <f>FB31/FC31</f>
        <v>159.715289272727</v>
      </c>
      <c r="FE31" s="20">
        <v>2635302273</v>
      </c>
      <c r="FF31" s="20">
        <f>FF3</f>
        <v>10000</v>
      </c>
      <c r="FG31" s="85">
        <f>FE31/FF31</f>
        <v>263530.2273</v>
      </c>
      <c r="FH31" s="20">
        <v>871449976</v>
      </c>
      <c r="FI31" s="20">
        <f>FI3</f>
        <v>6127938</v>
      </c>
      <c r="FJ31" s="85">
        <f>FH31/FI31</f>
        <v>142.209333057874</v>
      </c>
      <c r="FK31" s="20">
        <v>871449976</v>
      </c>
      <c r="FL31" s="20">
        <f>FL3</f>
        <v>11000000</v>
      </c>
      <c r="FM31" s="85">
        <f>FK31/FL31</f>
        <v>79.2227250909091</v>
      </c>
      <c r="FN31" s="20">
        <v>871449976</v>
      </c>
      <c r="FO31" s="20">
        <f>FO3</f>
        <v>5673222</v>
      </c>
      <c r="FP31" s="85">
        <f>FN31/FO31</f>
        <v>153.607593004469</v>
      </c>
      <c r="FQ31" s="20">
        <v>939422795</v>
      </c>
      <c r="FR31" s="20">
        <f>FR3</f>
        <v>6467671</v>
      </c>
      <c r="FS31" s="85">
        <f>FQ31/FR31</f>
        <v>145.249007718544</v>
      </c>
      <c r="FT31" s="20">
        <v>939422795</v>
      </c>
      <c r="FU31" s="20">
        <f>FU3</f>
        <v>6326000</v>
      </c>
      <c r="FV31" s="85">
        <f>FT31/FU31</f>
        <v>148.501864527347</v>
      </c>
      <c r="FW31" s="20">
        <v>939422795</v>
      </c>
      <c r="FX31" s="20">
        <f>FX3</f>
        <v>5440534</v>
      </c>
      <c r="FY31" s="85">
        <f>FW31/FX31</f>
        <v>172.6710640904</v>
      </c>
      <c r="FZ31" s="20">
        <v>939422795</v>
      </c>
      <c r="GA31" s="20">
        <f>GA3</f>
        <v>14764000</v>
      </c>
      <c r="GB31" s="85">
        <f>FZ31/GA31</f>
        <v>63.6292871173124</v>
      </c>
      <c r="GC31" s="20">
        <v>1172329843</v>
      </c>
      <c r="GD31" s="20">
        <f>GD3</f>
        <v>8025000</v>
      </c>
      <c r="GE31" s="85">
        <f>GC31/GD31</f>
        <v>146.084715638629</v>
      </c>
      <c r="GF31" s="20">
        <v>1172329843</v>
      </c>
      <c r="GG31" s="20">
        <f>GG3</f>
        <v>3921568</v>
      </c>
      <c r="GH31" s="85">
        <f>GF31/GG31</f>
        <v>298.944157796065</v>
      </c>
      <c r="GI31" s="20">
        <v>1172329843</v>
      </c>
      <c r="GJ31" s="20">
        <f>GJ3</f>
        <v>6200000</v>
      </c>
      <c r="GK31" s="85">
        <f>GI31/GJ31</f>
        <v>189.085458548387</v>
      </c>
      <c r="GL31" s="20">
        <v>1172329843</v>
      </c>
      <c r="GM31" s="20">
        <f>GM3</f>
        <v>9625000</v>
      </c>
      <c r="GN31" s="85">
        <f>GL31/GM31</f>
        <v>121.800503168831</v>
      </c>
      <c r="GO31" s="20">
        <v>1172329843</v>
      </c>
      <c r="GP31" s="20">
        <f>GP3</f>
        <v>9625000</v>
      </c>
      <c r="GQ31" s="85">
        <f>GO31/GP31</f>
        <v>121.800503168831</v>
      </c>
      <c r="GR31" s="20">
        <v>1172329843</v>
      </c>
      <c r="GS31" s="20">
        <f>GS3</f>
        <v>6000000</v>
      </c>
      <c r="GT31" s="85">
        <f>GR31/GS31</f>
        <v>195.388307166667</v>
      </c>
      <c r="GU31" s="20">
        <v>1172329843</v>
      </c>
      <c r="GV31" s="20">
        <f>GV3</f>
        <v>4925000</v>
      </c>
      <c r="GW31" s="85">
        <f>GU31/GV31</f>
        <v>238.036516345178</v>
      </c>
      <c r="GX31" s="20">
        <v>1172329843</v>
      </c>
      <c r="GY31" s="20">
        <f>GY3</f>
        <v>12500000</v>
      </c>
      <c r="GZ31" s="85">
        <f>GX31/GY31</f>
        <v>93.78638744</v>
      </c>
      <c r="HA31" s="20">
        <v>1187736621</v>
      </c>
      <c r="HB31" s="20">
        <f>HB3</f>
        <v>4000000</v>
      </c>
      <c r="HC31" s="85">
        <f>HA31/HB31</f>
        <v>296.93415525</v>
      </c>
      <c r="HD31" s="20">
        <v>1187736621</v>
      </c>
      <c r="HE31" s="20">
        <f>HE3</f>
        <v>5364860</v>
      </c>
      <c r="HF31" s="85">
        <f>HD31/HE31</f>
        <v>221.391913488889</v>
      </c>
      <c r="HG31" s="20">
        <v>784248077</v>
      </c>
      <c r="HH31" s="20">
        <f>HH3</f>
        <v>7500000</v>
      </c>
      <c r="HI31" s="85">
        <f>HG31/HH31</f>
        <v>104.566410266667</v>
      </c>
      <c r="HJ31" s="20">
        <v>784248077</v>
      </c>
      <c r="HK31" s="20">
        <f>HK3</f>
        <v>5425833</v>
      </c>
      <c r="HL31" s="85">
        <f>HJ31/HK31</f>
        <v>144.539663679291</v>
      </c>
      <c r="HM31" s="20">
        <v>1449198913</v>
      </c>
      <c r="HN31" s="20">
        <f>HN3</f>
        <v>4431000</v>
      </c>
      <c r="HO31" s="85">
        <f>HM31/HN31</f>
        <v>327.059109230422</v>
      </c>
      <c r="HP31" s="20">
        <v>1504455476</v>
      </c>
      <c r="HQ31" s="20">
        <f>HQ3</f>
        <v>5000000</v>
      </c>
      <c r="HR31" s="85">
        <f>HP31/HQ31</f>
        <v>300.8910952</v>
      </c>
      <c r="HS31" s="20">
        <v>1504455476</v>
      </c>
      <c r="HT31" s="20">
        <f>HT3</f>
        <v>4000000</v>
      </c>
      <c r="HU31" s="85">
        <f>HS31/HT31</f>
        <v>376.113869</v>
      </c>
      <c r="HV31" s="20">
        <v>1504455476</v>
      </c>
      <c r="HW31" s="20">
        <f>HW3</f>
        <v>4657143</v>
      </c>
      <c r="HX31" s="85">
        <f>HV31/HW31</f>
        <v>323.042576961884</v>
      </c>
      <c r="HY31" s="20">
        <v>624091000</v>
      </c>
      <c r="HZ31" s="20">
        <f>HZ3</f>
        <v>3881970</v>
      </c>
      <c r="IA31" s="85">
        <f>HY31/HZ31</f>
        <v>160.766569551027</v>
      </c>
      <c r="IB31" s="20">
        <v>219451092</v>
      </c>
      <c r="IC31" s="20">
        <f>IC3</f>
        <v>1340542</v>
      </c>
      <c r="ID31" s="85">
        <f>IB31/IC31</f>
        <v>163.703257339196</v>
      </c>
      <c r="IE31" s="20">
        <v>219451092</v>
      </c>
      <c r="IF31" s="20">
        <f>IF3</f>
        <v>5000000</v>
      </c>
      <c r="IG31" s="85">
        <f>IE31/IF31</f>
        <v>43.8902184</v>
      </c>
      <c r="IH31" s="20">
        <v>219451092</v>
      </c>
      <c r="II31" s="20">
        <f>II3</f>
        <v>3869775</v>
      </c>
      <c r="IJ31" s="85">
        <f>IH31/II31</f>
        <v>56.7090055623389</v>
      </c>
      <c r="IK31" s="20">
        <v>219451092</v>
      </c>
      <c r="IL31" s="20">
        <f>IL3</f>
        <v>5098040</v>
      </c>
      <c r="IM31" s="85">
        <f>IK31/IL31</f>
        <v>43.046169115974</v>
      </c>
      <c r="IN31" s="20">
        <v>661759117</v>
      </c>
      <c r="IO31" s="20">
        <f>IO3</f>
        <v>2800000</v>
      </c>
      <c r="IP31" s="85">
        <f>IN31/IO31</f>
        <v>236.342541785714</v>
      </c>
      <c r="IQ31" s="20">
        <v>661759117</v>
      </c>
      <c r="IR31" s="20">
        <f>IR3</f>
        <v>3400000</v>
      </c>
      <c r="IS31" s="85">
        <f>IQ31/IR31</f>
        <v>194.635034411765</v>
      </c>
      <c r="IT31" s="20">
        <v>661759117</v>
      </c>
      <c r="IU31" s="20">
        <f>IU3</f>
        <v>3714000</v>
      </c>
      <c r="IV31" s="85">
        <f>IT31/IU31</f>
        <v>178.179622240172</v>
      </c>
      <c r="IW31" s="20">
        <v>661759117</v>
      </c>
      <c r="IX31" s="20">
        <f>IX3</f>
        <v>4000000</v>
      </c>
      <c r="IY31" s="85">
        <f>IW31/IX31</f>
        <v>165.43977925</v>
      </c>
      <c r="IZ31" s="20">
        <v>834176158</v>
      </c>
      <c r="JA31" s="20">
        <f>JA3</f>
        <v>3763198</v>
      </c>
      <c r="JB31" s="85">
        <f>IZ31/JA31</f>
        <v>221.666826459836</v>
      </c>
      <c r="JC31" s="20">
        <v>534023236</v>
      </c>
      <c r="JD31" s="20">
        <f>JD3</f>
        <v>3000000</v>
      </c>
      <c r="JE31" s="85">
        <f>JC31/JD31</f>
        <v>178.007745333333</v>
      </c>
      <c r="JF31" s="20">
        <v>534023236</v>
      </c>
      <c r="JG31" s="20">
        <f>JG3</f>
        <v>2500000</v>
      </c>
      <c r="JH31" s="85">
        <f>JF31/JG31</f>
        <v>213.6092944</v>
      </c>
      <c r="JI31" s="20">
        <v>534023236</v>
      </c>
      <c r="JJ31" s="20">
        <f>JJ3</f>
        <v>2000000</v>
      </c>
      <c r="JK31" s="85">
        <f>JI31/JJ31</f>
        <v>267.011618</v>
      </c>
      <c r="JL31" s="20">
        <v>534023236</v>
      </c>
      <c r="JM31" s="20">
        <f>JM3</f>
        <v>2200000</v>
      </c>
      <c r="JN31" s="85">
        <f>JL31/JM31</f>
        <v>242.737834545455</v>
      </c>
      <c r="JO31" s="20">
        <v>534023236</v>
      </c>
      <c r="JP31" s="20">
        <f>JP3</f>
        <v>2640000</v>
      </c>
      <c r="JQ31" s="85">
        <f>JO31/JP31</f>
        <v>202.281528787879</v>
      </c>
    </row>
    <row r="32" spans="1:277">
      <c r="A32" s="2"/>
      <c r="B32" s="2"/>
      <c r="C32" s="6" t="s">
        <v>163</v>
      </c>
      <c r="D32" s="2"/>
      <c r="E32" s="20"/>
      <c r="F32" s="2"/>
      <c r="G32" s="85"/>
      <c r="H32" s="20"/>
      <c r="I32" s="2"/>
      <c r="J32" s="85"/>
      <c r="K32" s="20"/>
      <c r="L32" s="2"/>
      <c r="M32" s="85"/>
      <c r="N32" s="20"/>
      <c r="O32" s="2"/>
      <c r="P32" s="85"/>
      <c r="Q32" s="20"/>
      <c r="R32" s="2"/>
      <c r="S32" s="85"/>
      <c r="T32" s="20"/>
      <c r="U32" s="2"/>
      <c r="V32" s="85"/>
      <c r="W32" s="20"/>
      <c r="X32" s="2"/>
      <c r="Y32" s="85"/>
      <c r="Z32" s="20"/>
      <c r="AA32" s="2"/>
      <c r="AB32" s="85"/>
      <c r="AC32" s="20"/>
      <c r="AD32" s="2"/>
      <c r="AE32" s="85"/>
      <c r="AF32" s="20"/>
      <c r="AG32" s="2"/>
      <c r="AH32" s="85"/>
      <c r="AI32" s="20"/>
      <c r="AJ32" s="2"/>
      <c r="AK32" s="85"/>
      <c r="AL32" s="20"/>
      <c r="AM32" s="2"/>
      <c r="AN32" s="85"/>
      <c r="AO32" s="20"/>
      <c r="AP32" s="2"/>
      <c r="AQ32" s="85"/>
      <c r="AR32" s="20"/>
      <c r="AS32" s="2"/>
      <c r="AT32" s="85"/>
      <c r="AU32" s="20"/>
      <c r="AV32" s="2"/>
      <c r="AW32" s="85"/>
      <c r="AX32" s="20"/>
      <c r="AY32" s="2"/>
      <c r="AZ32" s="85"/>
      <c r="BA32" s="20"/>
      <c r="BB32" s="2"/>
      <c r="BC32" s="85"/>
      <c r="BD32" s="20"/>
      <c r="BE32" s="2"/>
      <c r="BF32" s="85"/>
      <c r="BG32" s="20"/>
      <c r="BH32" s="2"/>
      <c r="BI32" s="85"/>
      <c r="BJ32" s="20"/>
      <c r="BK32" s="2"/>
      <c r="BL32" s="85"/>
      <c r="BM32" s="20"/>
      <c r="BN32" s="2"/>
      <c r="BO32" s="85"/>
      <c r="BP32" s="20"/>
      <c r="BQ32" s="2"/>
      <c r="BR32" s="85"/>
      <c r="BS32" s="20"/>
      <c r="BT32" s="2"/>
      <c r="BU32" s="85"/>
      <c r="BV32" s="20"/>
      <c r="BW32" s="2"/>
      <c r="BX32" s="85"/>
      <c r="BY32" s="20"/>
      <c r="BZ32" s="2"/>
      <c r="CA32" s="85"/>
      <c r="CB32" s="20"/>
      <c r="CC32" s="2"/>
      <c r="CD32" s="85"/>
      <c r="CE32" s="20"/>
      <c r="CF32" s="2"/>
      <c r="CG32" s="85"/>
      <c r="CH32" s="20"/>
      <c r="CI32" s="2"/>
      <c r="CJ32" s="85"/>
      <c r="CK32" s="20"/>
      <c r="CL32" s="2"/>
      <c r="CM32" s="85"/>
      <c r="CN32" s="20"/>
      <c r="CO32" s="2"/>
      <c r="CP32" s="85"/>
      <c r="CQ32" s="20"/>
      <c r="CR32" s="2"/>
      <c r="CS32" s="85"/>
      <c r="CT32" s="20"/>
      <c r="CU32" s="2"/>
      <c r="CV32" s="85"/>
      <c r="CW32" s="20"/>
      <c r="CX32" s="2"/>
      <c r="CY32" s="85"/>
      <c r="CZ32" s="20"/>
      <c r="DA32" s="2"/>
      <c r="DB32" s="85"/>
      <c r="DC32" s="20"/>
      <c r="DD32" s="2"/>
      <c r="DE32" s="85"/>
      <c r="DF32" s="20"/>
      <c r="DG32" s="2"/>
      <c r="DH32" s="85"/>
      <c r="DI32" s="20"/>
      <c r="DJ32" s="2"/>
      <c r="DK32" s="85"/>
      <c r="DL32" s="20"/>
      <c r="DM32" s="2"/>
      <c r="DN32" s="85"/>
      <c r="DO32" s="20"/>
      <c r="DP32" s="2"/>
      <c r="DQ32" s="85"/>
      <c r="DR32" s="20"/>
      <c r="DS32" s="2"/>
      <c r="DT32" s="85"/>
      <c r="DU32" s="20"/>
      <c r="DV32" s="2"/>
      <c r="DW32" s="85"/>
      <c r="DX32" s="20"/>
      <c r="DY32" s="2"/>
      <c r="DZ32" s="85"/>
      <c r="EA32" s="20"/>
      <c r="EB32" s="2"/>
      <c r="EC32" s="85"/>
      <c r="ED32" s="20"/>
      <c r="EE32" s="2"/>
      <c r="EF32" s="85"/>
      <c r="EG32" s="20"/>
      <c r="EH32" s="2"/>
      <c r="EI32" s="85"/>
      <c r="EJ32" s="20"/>
      <c r="EK32" s="2"/>
      <c r="EL32" s="85"/>
      <c r="EM32" s="20"/>
      <c r="EN32" s="2"/>
      <c r="EO32" s="85"/>
      <c r="EP32" s="20"/>
      <c r="EQ32" s="2"/>
      <c r="ER32" s="85"/>
      <c r="ES32" s="20"/>
      <c r="ET32" s="2"/>
      <c r="EU32" s="85"/>
      <c r="EV32" s="20"/>
      <c r="EW32" s="2"/>
      <c r="EX32" s="85"/>
      <c r="EY32" s="20"/>
      <c r="EZ32" s="2"/>
      <c r="FA32" s="85"/>
      <c r="FB32" s="20"/>
      <c r="FC32" s="2"/>
      <c r="FD32" s="85"/>
      <c r="FE32" s="20"/>
      <c r="FF32" s="2"/>
      <c r="FG32" s="85"/>
      <c r="FH32" s="20"/>
      <c r="FI32" s="2"/>
      <c r="FJ32" s="85"/>
      <c r="FK32" s="20"/>
      <c r="FL32" s="2"/>
      <c r="FM32" s="85"/>
      <c r="FN32" s="20"/>
      <c r="FO32" s="2"/>
      <c r="FP32" s="85"/>
      <c r="FQ32" s="20"/>
      <c r="FR32" s="2"/>
      <c r="FS32" s="85"/>
      <c r="FT32" s="20"/>
      <c r="FU32" s="2"/>
      <c r="FV32" s="85"/>
      <c r="FW32" s="20"/>
      <c r="FX32" s="2"/>
      <c r="FY32" s="85"/>
      <c r="FZ32" s="20"/>
      <c r="GA32" s="2"/>
      <c r="GB32" s="85"/>
      <c r="GC32" s="20"/>
      <c r="GD32" s="2"/>
      <c r="GE32" s="85"/>
      <c r="GF32" s="20"/>
      <c r="GG32" s="2"/>
      <c r="GH32" s="85"/>
      <c r="GI32" s="20"/>
      <c r="GJ32" s="2"/>
      <c r="GK32" s="85"/>
      <c r="GL32" s="20"/>
      <c r="GM32" s="2"/>
      <c r="GN32" s="85"/>
      <c r="GO32" s="20"/>
      <c r="GP32" s="2"/>
      <c r="GQ32" s="85"/>
      <c r="GR32" s="20"/>
      <c r="GS32" s="2"/>
      <c r="GT32" s="85"/>
      <c r="GU32" s="20"/>
      <c r="GV32" s="2"/>
      <c r="GW32" s="85"/>
      <c r="GX32" s="20"/>
      <c r="GY32" s="2"/>
      <c r="GZ32" s="85"/>
      <c r="HA32" s="20"/>
      <c r="HB32" s="2"/>
      <c r="HC32" s="85"/>
      <c r="HD32" s="20"/>
      <c r="HE32" s="2"/>
      <c r="HF32" s="85"/>
      <c r="HG32" s="20"/>
      <c r="HH32" s="2"/>
      <c r="HI32" s="85"/>
      <c r="HJ32" s="20"/>
      <c r="HK32" s="2"/>
      <c r="HL32" s="85"/>
      <c r="HM32" s="20"/>
      <c r="HN32" s="2"/>
      <c r="HO32" s="85"/>
      <c r="HP32" s="20"/>
      <c r="HQ32" s="2"/>
      <c r="HR32" s="85"/>
      <c r="HS32" s="20"/>
      <c r="HT32" s="2"/>
      <c r="HU32" s="85"/>
      <c r="HV32" s="20"/>
      <c r="HW32" s="2"/>
      <c r="HX32" s="85"/>
      <c r="HY32" s="20"/>
      <c r="HZ32" s="2"/>
      <c r="IA32" s="85"/>
      <c r="IB32" s="20"/>
      <c r="IC32" s="2"/>
      <c r="ID32" s="85"/>
      <c r="IE32" s="20"/>
      <c r="IF32" s="2"/>
      <c r="IG32" s="85"/>
      <c r="IH32" s="20"/>
      <c r="II32" s="2"/>
      <c r="IJ32" s="85"/>
      <c r="IK32" s="20"/>
      <c r="IL32" s="2"/>
      <c r="IM32" s="85"/>
      <c r="IN32" s="20"/>
      <c r="IO32" s="2"/>
      <c r="IP32" s="85"/>
      <c r="IQ32" s="20"/>
      <c r="IR32" s="2"/>
      <c r="IS32" s="85"/>
      <c r="IT32" s="20"/>
      <c r="IU32" s="2"/>
      <c r="IV32" s="85"/>
      <c r="IW32" s="20"/>
      <c r="IX32" s="2"/>
      <c r="IY32" s="85"/>
      <c r="IZ32" s="20"/>
      <c r="JA32" s="2"/>
      <c r="JB32" s="85"/>
      <c r="JC32" s="20"/>
      <c r="JD32" s="2"/>
      <c r="JE32" s="85"/>
      <c r="JF32" s="20"/>
      <c r="JG32" s="2"/>
      <c r="JH32" s="85"/>
      <c r="JI32" s="20"/>
      <c r="JJ32" s="2"/>
      <c r="JK32" s="85"/>
      <c r="JL32" s="20"/>
      <c r="JM32" s="2"/>
      <c r="JN32" s="85"/>
      <c r="JO32" s="20"/>
      <c r="JP32" s="2"/>
      <c r="JQ32" s="85"/>
    </row>
    <row r="33" spans="1:277">
      <c r="G33" s="48"/>
      <c r="J33" s="48"/>
      <c r="M33" s="48"/>
      <c r="P33" s="48"/>
      <c r="S33" s="48"/>
      <c r="V33" s="48"/>
      <c r="Y33" s="48"/>
      <c r="AB33" s="48"/>
      <c r="AE33" s="48"/>
      <c r="AH33" s="48"/>
      <c r="AK33" s="48"/>
      <c r="AN33" s="48"/>
      <c r="AQ33" s="48"/>
      <c r="AT33" s="48"/>
      <c r="AW33" s="48"/>
      <c r="AZ33" s="48"/>
      <c r="BC33" s="48"/>
      <c r="BF33" s="48"/>
      <c r="BI33" s="48"/>
      <c r="BL33" s="48"/>
      <c r="BO33" s="48"/>
      <c r="BR33" s="48"/>
      <c r="BU33" s="48"/>
      <c r="BX33" s="48"/>
      <c r="CA33" s="48"/>
      <c r="CD33" s="48"/>
      <c r="CG33" s="48"/>
      <c r="CJ33" s="48"/>
      <c r="CM33" s="48"/>
      <c r="CN33" s="83" t="s">
        <v>454</v>
      </c>
      <c r="CP33" s="48"/>
      <c r="CS33" s="48"/>
      <c r="CV33" s="48"/>
      <c r="CY33" s="48"/>
      <c r="DB33" s="48"/>
      <c r="DE33" s="48"/>
      <c r="DH33" s="48"/>
      <c r="DK33" s="48"/>
      <c r="DN33" s="48"/>
      <c r="DQ33" s="48"/>
      <c r="DT33" s="48"/>
      <c r="DW33" s="48"/>
      <c r="DZ33" s="48"/>
      <c r="EC33" s="48"/>
      <c r="EF33" s="48"/>
      <c r="EI33" s="48"/>
      <c r="EL33" s="48"/>
      <c r="EO33" s="48"/>
      <c r="ER33" s="48"/>
      <c r="EU33" s="48"/>
      <c r="EX33" s="48"/>
      <c r="FA33" s="48"/>
      <c r="FD33" s="48"/>
      <c r="FG33" s="48"/>
      <c r="FJ33" s="48"/>
      <c r="FM33" s="48"/>
      <c r="FP33" s="48"/>
      <c r="FS33" s="48"/>
      <c r="FV33" s="48"/>
      <c r="FY33" s="48"/>
      <c r="GB33" s="48"/>
      <c r="GE33" s="48"/>
      <c r="GH33" s="48"/>
      <c r="GK33" s="48"/>
      <c r="GN33" s="48"/>
      <c r="GQ33" s="48"/>
      <c r="GT33" s="48"/>
      <c r="GW33" s="48"/>
      <c r="GZ33" s="48"/>
      <c r="HC33" s="48"/>
      <c r="HF33" s="48"/>
      <c r="HI33" s="48"/>
      <c r="HL33" s="48"/>
      <c r="HO33" s="48"/>
      <c r="HR33" s="48"/>
      <c r="HU33" s="48"/>
      <c r="HX33" s="48"/>
      <c r="IA33" s="48"/>
      <c r="ID33" s="48"/>
      <c r="IG33" s="48"/>
      <c r="IJ33" s="48"/>
      <c r="IM33" s="48"/>
      <c r="IP33" s="48"/>
      <c r="IS33" s="48"/>
      <c r="IV33" s="48"/>
      <c r="IY33" s="48"/>
      <c r="JB33" s="48"/>
      <c r="JE33" s="48"/>
      <c r="JH33" s="48"/>
      <c r="JK33" s="48"/>
      <c r="JN33" s="48"/>
      <c r="JQ33" s="48"/>
    </row>
    <row r="34" ht="14.5" customHeight="1" spans="1:277">
      <c r="A34" s="2">
        <v>11</v>
      </c>
      <c r="B34" s="41" t="s">
        <v>455</v>
      </c>
      <c r="C34" s="37" t="s">
        <v>456</v>
      </c>
      <c r="D34" s="41" t="s">
        <v>237</v>
      </c>
      <c r="E34" s="20">
        <v>2780119920</v>
      </c>
      <c r="F34" s="46">
        <v>194514290</v>
      </c>
      <c r="G34" s="55">
        <f>E34/F34</f>
        <v>14.2926255957853</v>
      </c>
      <c r="H34" s="20">
        <v>3820514205</v>
      </c>
      <c r="I34" s="46">
        <v>9191737881</v>
      </c>
      <c r="J34" s="55">
        <f>H34/I34</f>
        <v>0.415646557208434</v>
      </c>
      <c r="K34" s="20">
        <v>628041000</v>
      </c>
      <c r="L34" s="46">
        <v>275674000</v>
      </c>
      <c r="M34" s="55">
        <f>K34/L34</f>
        <v>2.2782017890697</v>
      </c>
      <c r="N34" s="20">
        <v>1033971042</v>
      </c>
      <c r="O34" s="46">
        <v>2169856422</v>
      </c>
      <c r="P34" s="55">
        <f>N34/O34</f>
        <v>0.476515879814282</v>
      </c>
      <c r="Q34" s="239">
        <v>1</v>
      </c>
      <c r="R34" s="303">
        <v>1</v>
      </c>
      <c r="S34" s="55">
        <v>5.69</v>
      </c>
      <c r="T34" s="20">
        <v>448349730</v>
      </c>
      <c r="U34" s="20">
        <v>362111770</v>
      </c>
      <c r="V34" s="38">
        <f>T34/U34</f>
        <v>1.23815287749415</v>
      </c>
      <c r="W34" s="20">
        <v>448349730</v>
      </c>
      <c r="X34" s="20">
        <v>362111770</v>
      </c>
      <c r="Y34" s="38">
        <f>W34/X34</f>
        <v>1.23815287749415</v>
      </c>
      <c r="Z34" s="20">
        <v>448349730</v>
      </c>
      <c r="AA34" s="20">
        <v>362111770</v>
      </c>
      <c r="AB34" s="38">
        <f>Z34/AA34</f>
        <v>1.23815287749415</v>
      </c>
      <c r="AC34" s="20">
        <v>610170747</v>
      </c>
      <c r="AD34" s="20">
        <v>1034292875</v>
      </c>
      <c r="AE34" s="38">
        <f>AC34/AD34</f>
        <v>0.58994000804656</v>
      </c>
      <c r="AF34" s="20">
        <v>1</v>
      </c>
      <c r="AG34" s="20">
        <v>1</v>
      </c>
      <c r="AH34" s="38">
        <v>30.03</v>
      </c>
      <c r="AI34" s="20">
        <v>1165742988</v>
      </c>
      <c r="AJ34" s="20">
        <v>581577511</v>
      </c>
      <c r="AK34" s="38">
        <f>AI34/AJ34</f>
        <v>2.00444990727986</v>
      </c>
      <c r="AL34" s="20">
        <v>1165742988</v>
      </c>
      <c r="AM34" s="20">
        <v>581577511</v>
      </c>
      <c r="AN34" s="38">
        <f>AL34/AM34</f>
        <v>2.00444990727986</v>
      </c>
      <c r="AO34" s="20">
        <v>1376881657</v>
      </c>
      <c r="AP34" s="20">
        <v>462217232</v>
      </c>
      <c r="AQ34" s="38">
        <f>AO34/AP34</f>
        <v>2.97886266819234</v>
      </c>
      <c r="AR34" s="20">
        <v>516202445</v>
      </c>
      <c r="AS34" s="20">
        <v>298391440</v>
      </c>
      <c r="AT34" s="38">
        <f>AR34/AS34</f>
        <v>1.72995058102203</v>
      </c>
      <c r="AU34" s="20">
        <v>516202445</v>
      </c>
      <c r="AV34" s="20">
        <v>298391440</v>
      </c>
      <c r="AW34" s="38">
        <f>AU34/AV34</f>
        <v>1.72995058102203</v>
      </c>
      <c r="AX34" s="20">
        <v>535748566</v>
      </c>
      <c r="AY34" s="20">
        <v>376190723</v>
      </c>
      <c r="AZ34" s="38">
        <f>AX34/AY34</f>
        <v>1.42414082337698</v>
      </c>
      <c r="BA34" s="20">
        <v>535748566</v>
      </c>
      <c r="BB34" s="20">
        <v>376190723</v>
      </c>
      <c r="BC34" s="38">
        <f>BA34/BB34</f>
        <v>1.42414082337698</v>
      </c>
      <c r="BD34" s="20">
        <v>535748566</v>
      </c>
      <c r="BE34" s="20">
        <v>376190723</v>
      </c>
      <c r="BF34" s="38">
        <f>BD34/BE34</f>
        <v>1.42414082337698</v>
      </c>
      <c r="BG34" s="20">
        <v>1909688743</v>
      </c>
      <c r="BH34" s="20">
        <v>88983944</v>
      </c>
      <c r="BI34" s="38">
        <f>BG34/BH34</f>
        <v>21.4610485572543</v>
      </c>
      <c r="BJ34" s="20">
        <v>1909688743</v>
      </c>
      <c r="BK34" s="20">
        <v>88983944</v>
      </c>
      <c r="BL34" s="38">
        <f>BJ34/BK34</f>
        <v>21.4610485572543</v>
      </c>
      <c r="BM34" s="20">
        <v>366333042</v>
      </c>
      <c r="BN34" s="20">
        <v>75001732</v>
      </c>
      <c r="BO34" s="38">
        <f>BM34/BN34</f>
        <v>4.88432776459082</v>
      </c>
      <c r="BP34" s="20">
        <v>366333042</v>
      </c>
      <c r="BQ34" s="20">
        <v>75001732</v>
      </c>
      <c r="BR34" s="38">
        <f>BP34/BQ34</f>
        <v>4.88432776459082</v>
      </c>
      <c r="BS34" s="20">
        <v>366333042</v>
      </c>
      <c r="BT34" s="20">
        <v>75001732</v>
      </c>
      <c r="BU34" s="38">
        <f>BS34/BT34</f>
        <v>4.88432776459082</v>
      </c>
      <c r="BV34" s="20">
        <v>130252152</v>
      </c>
      <c r="BW34" s="20">
        <v>4776880</v>
      </c>
      <c r="BX34" s="38">
        <f>BV34/BW34</f>
        <v>27.2672020230778</v>
      </c>
      <c r="BY34" s="20">
        <v>130252152</v>
      </c>
      <c r="BZ34" s="20">
        <v>4776880</v>
      </c>
      <c r="CA34" s="38">
        <f>BY34/BZ34</f>
        <v>27.2672020230778</v>
      </c>
      <c r="CB34" s="20">
        <v>150656591</v>
      </c>
      <c r="CC34" s="20">
        <v>96665091</v>
      </c>
      <c r="CD34" s="38">
        <f>CB34/CC34</f>
        <v>1.55854186285305</v>
      </c>
      <c r="CE34" s="20">
        <v>150656591</v>
      </c>
      <c r="CF34" s="20">
        <v>96665091</v>
      </c>
      <c r="CG34" s="38">
        <f>CE34/CF34</f>
        <v>1.55854186285305</v>
      </c>
      <c r="CH34" s="20">
        <v>145552</v>
      </c>
      <c r="CI34" s="20">
        <v>33096</v>
      </c>
      <c r="CJ34" s="38">
        <f>CH34/CI34</f>
        <v>4.39787285472565</v>
      </c>
      <c r="CK34" s="20">
        <v>219620155</v>
      </c>
      <c r="CL34" s="20">
        <v>36820809</v>
      </c>
      <c r="CM34" s="38">
        <f>CK34/CL34</f>
        <v>5.96456625925845</v>
      </c>
      <c r="CN34" s="20">
        <v>200877259</v>
      </c>
      <c r="CO34" s="20">
        <v>20767401</v>
      </c>
      <c r="CP34" s="38">
        <f>CN34/CO34</f>
        <v>9.67272019257489</v>
      </c>
      <c r="CQ34" s="20">
        <v>219620155</v>
      </c>
      <c r="CR34" s="20">
        <v>36820809</v>
      </c>
      <c r="CS34" s="38">
        <f>CQ34/CR34</f>
        <v>5.96456625925845</v>
      </c>
      <c r="CT34" s="20">
        <v>1</v>
      </c>
      <c r="CU34" s="20">
        <v>1</v>
      </c>
      <c r="CV34" s="38">
        <v>0.41</v>
      </c>
      <c r="CW34" s="20">
        <v>149880268</v>
      </c>
      <c r="CX34" s="20">
        <v>305121919</v>
      </c>
      <c r="CY34" s="38">
        <f>CW34/CX34</f>
        <v>0.491214359463962</v>
      </c>
      <c r="CZ34" s="20">
        <v>228207609</v>
      </c>
      <c r="DA34" s="20">
        <v>99092826</v>
      </c>
      <c r="DB34" s="38">
        <f>CZ34/DA34</f>
        <v>2.30296801707926</v>
      </c>
      <c r="DC34" s="20">
        <v>228207609</v>
      </c>
      <c r="DD34" s="20">
        <v>99092826</v>
      </c>
      <c r="DE34" s="38">
        <f>DC34/DD34</f>
        <v>2.30296801707926</v>
      </c>
      <c r="DF34" s="20">
        <v>209824524</v>
      </c>
      <c r="DG34" s="20">
        <v>205582732</v>
      </c>
      <c r="DH34" s="38">
        <f>DF34/DG34</f>
        <v>1.02063301697927</v>
      </c>
      <c r="DI34" s="20">
        <v>209824524</v>
      </c>
      <c r="DJ34" s="20">
        <v>205582732</v>
      </c>
      <c r="DK34" s="38">
        <f>DI34/DJ34</f>
        <v>1.02063301697927</v>
      </c>
      <c r="DL34" s="20">
        <v>100620260</v>
      </c>
      <c r="DM34" s="20">
        <v>70510732</v>
      </c>
      <c r="DN34" s="38">
        <f>DL34/DM34</f>
        <v>1.42702049951772</v>
      </c>
      <c r="DO34" s="20">
        <v>268663672</v>
      </c>
      <c r="DP34" s="20">
        <v>263252905</v>
      </c>
      <c r="DQ34" s="38">
        <f>DO34/DP34</f>
        <v>1.02055349398708</v>
      </c>
      <c r="DR34" s="20">
        <v>268663672</v>
      </c>
      <c r="DS34" s="20">
        <v>263252905</v>
      </c>
      <c r="DT34" s="38">
        <f>DR34/DS34</f>
        <v>1.02055349398708</v>
      </c>
      <c r="DU34" s="20">
        <v>154936854</v>
      </c>
      <c r="DV34" s="20">
        <v>53446237</v>
      </c>
      <c r="DW34" s="38">
        <f>DU34/DV34</f>
        <v>2.89892914256994</v>
      </c>
      <c r="DX34" s="20">
        <v>154936854</v>
      </c>
      <c r="DY34" s="20">
        <v>53446237</v>
      </c>
      <c r="DZ34" s="38">
        <f>DX34/DY34</f>
        <v>2.89892914256994</v>
      </c>
      <c r="EA34" s="20">
        <v>95645473</v>
      </c>
      <c r="EB34" s="20">
        <v>55481391</v>
      </c>
      <c r="EC34" s="38">
        <f>EA34/EB34</f>
        <v>1.72391988153289</v>
      </c>
      <c r="ED34" s="20">
        <v>95645473</v>
      </c>
      <c r="EE34" s="20">
        <v>55481391</v>
      </c>
      <c r="EF34" s="38">
        <f>ED34/EE34</f>
        <v>1.72391988153289</v>
      </c>
      <c r="EG34" s="20">
        <v>95645473</v>
      </c>
      <c r="EH34" s="20">
        <v>55481391</v>
      </c>
      <c r="EI34" s="38">
        <f>EG34/EH34</f>
        <v>1.72391988153289</v>
      </c>
      <c r="EJ34" s="20">
        <v>95645473</v>
      </c>
      <c r="EK34" s="20">
        <v>55481391</v>
      </c>
      <c r="EL34" s="38">
        <f>EJ34/EK34</f>
        <v>1.72391988153289</v>
      </c>
      <c r="EM34" s="20">
        <v>149555550</v>
      </c>
      <c r="EN34" s="20">
        <v>4035404</v>
      </c>
      <c r="EO34" s="38">
        <f>EM34/EN34</f>
        <v>37.0608618121011</v>
      </c>
      <c r="EP34" s="20">
        <v>96879366</v>
      </c>
      <c r="EQ34" s="20">
        <v>6163623</v>
      </c>
      <c r="ER34" s="38">
        <f>EP34/EQ34</f>
        <v>15.7179253176257</v>
      </c>
      <c r="ES34" s="20">
        <v>149555550</v>
      </c>
      <c r="ET34" s="20">
        <v>4035404</v>
      </c>
      <c r="EU34" s="38">
        <f>ES34/ET34</f>
        <v>37.0608618121011</v>
      </c>
      <c r="EV34" s="20">
        <v>101296739</v>
      </c>
      <c r="EW34" s="20">
        <v>33624443</v>
      </c>
      <c r="EX34" s="38">
        <f>EV34/EW34</f>
        <v>3.01259232755172</v>
      </c>
      <c r="EY34" s="20">
        <v>834185621</v>
      </c>
      <c r="EZ34" s="20">
        <v>165653077</v>
      </c>
      <c r="FA34" s="38">
        <f>EY34/EZ34</f>
        <v>5.03573876264309</v>
      </c>
      <c r="FB34" s="20">
        <v>834185621</v>
      </c>
      <c r="FC34" s="20">
        <v>165653077</v>
      </c>
      <c r="FD34" s="38">
        <f>FB34/FC34</f>
        <v>5.03573876264309</v>
      </c>
      <c r="FE34" s="20">
        <v>834185621</v>
      </c>
      <c r="FF34" s="20">
        <v>165653077</v>
      </c>
      <c r="FG34" s="38">
        <f>FE34/FF34</f>
        <v>5.03573876264309</v>
      </c>
      <c r="FH34" s="20">
        <v>162944026</v>
      </c>
      <c r="FI34" s="20">
        <v>104310919</v>
      </c>
      <c r="FJ34" s="38">
        <f>FH34/FI34</f>
        <v>1.56209941933308</v>
      </c>
      <c r="FK34" s="20">
        <v>162944026</v>
      </c>
      <c r="FL34" s="20">
        <v>104310919</v>
      </c>
      <c r="FM34" s="38">
        <f>FK34/FL34</f>
        <v>1.56209941933308</v>
      </c>
      <c r="FN34" s="20">
        <v>162944026</v>
      </c>
      <c r="FO34" s="20">
        <v>104310919</v>
      </c>
      <c r="FP34" s="38">
        <f>FN34/FO34</f>
        <v>1.56209941933308</v>
      </c>
      <c r="FQ34" s="20">
        <v>86391512</v>
      </c>
      <c r="FR34" s="20">
        <v>4521679</v>
      </c>
      <c r="FS34" s="38">
        <f>FQ34/FR34</f>
        <v>19.1060692278244</v>
      </c>
      <c r="FT34" s="20">
        <v>86391512</v>
      </c>
      <c r="FU34" s="20">
        <v>4521679</v>
      </c>
      <c r="FV34" s="38">
        <f>FT34/FU34</f>
        <v>19.1060692278244</v>
      </c>
      <c r="FW34" s="20">
        <v>86391512</v>
      </c>
      <c r="FX34" s="20">
        <v>4521679</v>
      </c>
      <c r="FY34" s="38">
        <f>FW34/FX34</f>
        <v>19.1060692278244</v>
      </c>
      <c r="FZ34" s="20">
        <v>86391512</v>
      </c>
      <c r="GA34" s="20">
        <v>4521679</v>
      </c>
      <c r="GB34" s="38">
        <f>FZ34/GA34</f>
        <v>19.1060692278244</v>
      </c>
      <c r="GC34" s="20">
        <v>93362840</v>
      </c>
      <c r="GD34" s="20">
        <v>3124464</v>
      </c>
      <c r="GE34" s="38">
        <f>GC34/GD34</f>
        <v>29.8812340292607</v>
      </c>
      <c r="GF34" s="20">
        <v>93362840</v>
      </c>
      <c r="GG34" s="20">
        <v>3124464</v>
      </c>
      <c r="GH34" s="38">
        <f>GF34/GG34</f>
        <v>29.8812340292607</v>
      </c>
      <c r="GI34" s="20">
        <v>93362840</v>
      </c>
      <c r="GJ34" s="20">
        <v>3124464</v>
      </c>
      <c r="GK34" s="38">
        <f>GI34/GJ34</f>
        <v>29.8812340292607</v>
      </c>
      <c r="GL34" s="20">
        <v>93362840</v>
      </c>
      <c r="GM34" s="20">
        <v>3124464</v>
      </c>
      <c r="GN34" s="38">
        <f>GL34/GM34</f>
        <v>29.8812340292607</v>
      </c>
      <c r="GO34" s="20">
        <v>93362840</v>
      </c>
      <c r="GP34" s="20">
        <v>3124464</v>
      </c>
      <c r="GQ34" s="38">
        <f>GO34/GP34</f>
        <v>29.8812340292607</v>
      </c>
      <c r="GR34" s="20">
        <v>93362840</v>
      </c>
      <c r="GS34" s="20">
        <v>3124464</v>
      </c>
      <c r="GT34" s="38">
        <f>GR34/GS34</f>
        <v>29.8812340292607</v>
      </c>
      <c r="GU34" s="20">
        <v>93362840</v>
      </c>
      <c r="GV34" s="20">
        <v>3124464</v>
      </c>
      <c r="GW34" s="38">
        <f>GU34/GV34</f>
        <v>29.8812340292607</v>
      </c>
      <c r="GX34" s="20">
        <v>93362840</v>
      </c>
      <c r="GY34" s="20">
        <v>3124464</v>
      </c>
      <c r="GZ34" s="38">
        <f>GX34/GY34</f>
        <v>29.8812340292607</v>
      </c>
      <c r="HA34" s="20">
        <v>56850769</v>
      </c>
      <c r="HB34" s="20">
        <v>58401224</v>
      </c>
      <c r="HC34" s="38">
        <f>HA34/HB34</f>
        <v>0.973451669437613</v>
      </c>
      <c r="HD34" s="20">
        <v>56850769</v>
      </c>
      <c r="HE34" s="20">
        <v>58401224</v>
      </c>
      <c r="HF34" s="38">
        <f>HD34/HE34</f>
        <v>0.973451669437613</v>
      </c>
      <c r="HG34" s="20">
        <v>85574629</v>
      </c>
      <c r="HH34" s="20">
        <v>31844555</v>
      </c>
      <c r="HI34" s="38">
        <f>HG34/HH34</f>
        <v>2.68726094618059</v>
      </c>
      <c r="HJ34" s="20">
        <v>85574629</v>
      </c>
      <c r="HK34" s="20">
        <v>31844555</v>
      </c>
      <c r="HL34" s="38">
        <f>HJ34/HK34</f>
        <v>2.68726094618059</v>
      </c>
      <c r="HM34" s="20">
        <v>84904207</v>
      </c>
      <c r="HN34" s="20">
        <v>96883986</v>
      </c>
      <c r="HO34" s="38">
        <f>HM34/HN34</f>
        <v>0.876349234846717</v>
      </c>
      <c r="HP34" s="20">
        <v>37739328</v>
      </c>
      <c r="HQ34" s="20">
        <v>53420783</v>
      </c>
      <c r="HR34" s="38">
        <f>HP34/HQ34</f>
        <v>0.706454040555714</v>
      </c>
      <c r="HS34" s="20">
        <v>37739328</v>
      </c>
      <c r="HT34" s="20">
        <v>53420783</v>
      </c>
      <c r="HU34" s="38">
        <f>HS34/HT34</f>
        <v>0.706454040555714</v>
      </c>
      <c r="HV34" s="20">
        <v>37739328</v>
      </c>
      <c r="HW34" s="20">
        <v>53420783</v>
      </c>
      <c r="HX34" s="38">
        <f>HV34/HW34</f>
        <v>0.706454040555714</v>
      </c>
      <c r="HY34" s="20">
        <v>98506000</v>
      </c>
      <c r="HZ34" s="20">
        <v>75528000</v>
      </c>
      <c r="IA34" s="38">
        <f>HY34/HZ34</f>
        <v>1.30423154326872</v>
      </c>
      <c r="IB34" s="20">
        <v>13254482</v>
      </c>
      <c r="IC34" s="20">
        <v>503037</v>
      </c>
      <c r="ID34" s="38">
        <f>IB34/IC34</f>
        <v>26.3489206559358</v>
      </c>
      <c r="IE34" s="20">
        <v>13254482</v>
      </c>
      <c r="IF34" s="20">
        <v>503037</v>
      </c>
      <c r="IG34" s="38">
        <f>IE34/IF34</f>
        <v>26.3489206559358</v>
      </c>
      <c r="IH34" s="20">
        <v>13254482</v>
      </c>
      <c r="II34" s="20">
        <v>503037</v>
      </c>
      <c r="IJ34" s="38">
        <f>IH34/II34</f>
        <v>26.3489206559358</v>
      </c>
      <c r="IK34" s="20">
        <v>13254482</v>
      </c>
      <c r="IL34" s="20">
        <v>503037</v>
      </c>
      <c r="IM34" s="38">
        <f>IK34/IL34</f>
        <v>26.3489206559358</v>
      </c>
      <c r="IN34" s="20">
        <v>24855962</v>
      </c>
      <c r="IO34" s="20">
        <v>63601846</v>
      </c>
      <c r="IP34" s="38">
        <f>IN34/IO34</f>
        <v>0.390805669382615</v>
      </c>
      <c r="IQ34" s="20">
        <v>24855962</v>
      </c>
      <c r="IR34" s="20">
        <v>63601846</v>
      </c>
      <c r="IS34" s="38">
        <f>IQ34/IR34</f>
        <v>0.390805669382615</v>
      </c>
      <c r="IT34" s="20">
        <v>24855962</v>
      </c>
      <c r="IU34" s="20">
        <v>63601846</v>
      </c>
      <c r="IV34" s="38">
        <f>IT34/IU34</f>
        <v>0.390805669382615</v>
      </c>
      <c r="IW34" s="20">
        <v>24855962</v>
      </c>
      <c r="IX34" s="20">
        <v>63601846</v>
      </c>
      <c r="IY34" s="38">
        <f>IW34/IX34</f>
        <v>0.390805669382615</v>
      </c>
      <c r="IZ34" s="20">
        <v>158332902</v>
      </c>
      <c r="JA34" s="20">
        <v>94531687</v>
      </c>
      <c r="JB34" s="38">
        <f>IZ34/JA34</f>
        <v>1.67491882378022</v>
      </c>
      <c r="JC34" s="20">
        <v>49130915</v>
      </c>
      <c r="JD34" s="20">
        <v>30704160</v>
      </c>
      <c r="JE34" s="38">
        <f>JC34/JD34</f>
        <v>1.6001387108457</v>
      </c>
      <c r="JF34" s="20">
        <v>49130915</v>
      </c>
      <c r="JG34" s="20">
        <v>30704160</v>
      </c>
      <c r="JH34" s="38">
        <f>JF34/JG34</f>
        <v>1.6001387108457</v>
      </c>
      <c r="JI34" s="20">
        <v>49130915</v>
      </c>
      <c r="JJ34" s="20">
        <v>30704160</v>
      </c>
      <c r="JK34" s="38">
        <f>JI34/JJ34</f>
        <v>1.6001387108457</v>
      </c>
      <c r="JL34" s="20">
        <v>49130915</v>
      </c>
      <c r="JM34" s="20">
        <v>30704160</v>
      </c>
      <c r="JN34" s="38">
        <f>JL34/JM34</f>
        <v>1.6001387108457</v>
      </c>
      <c r="JO34" s="20">
        <v>49130915</v>
      </c>
      <c r="JP34" s="20">
        <v>30704160</v>
      </c>
      <c r="JQ34" s="38">
        <f>JO34/JP34</f>
        <v>1.6001387108457</v>
      </c>
    </row>
    <row r="35" spans="1:277">
      <c r="A35" s="2"/>
      <c r="B35" s="41"/>
      <c r="C35" s="2" t="s">
        <v>457</v>
      </c>
      <c r="D35" s="41"/>
      <c r="E35" s="20"/>
      <c r="F35" s="46"/>
      <c r="G35" s="55"/>
      <c r="H35" s="20"/>
      <c r="I35" s="46"/>
      <c r="J35" s="55"/>
      <c r="K35" s="20"/>
      <c r="L35" s="46"/>
      <c r="M35" s="55"/>
      <c r="N35" s="20"/>
      <c r="O35" s="46"/>
      <c r="P35" s="55"/>
      <c r="Q35" s="239"/>
      <c r="R35" s="303"/>
      <c r="S35" s="55"/>
      <c r="T35" s="20"/>
      <c r="U35" s="2"/>
      <c r="V35" s="38"/>
      <c r="W35" s="20"/>
      <c r="X35" s="2"/>
      <c r="Y35" s="38"/>
      <c r="Z35" s="20"/>
      <c r="AA35" s="2"/>
      <c r="AB35" s="38"/>
      <c r="AC35" s="20"/>
      <c r="AD35" s="2"/>
      <c r="AE35" s="38"/>
      <c r="AF35" s="20"/>
      <c r="AG35" s="2"/>
      <c r="AH35" s="38"/>
      <c r="AI35" s="20"/>
      <c r="AJ35" s="2"/>
      <c r="AK35" s="38"/>
      <c r="AL35" s="20"/>
      <c r="AM35" s="2"/>
      <c r="AN35" s="38"/>
      <c r="AO35" s="20"/>
      <c r="AP35" s="2"/>
      <c r="AQ35" s="38"/>
      <c r="AR35" s="20"/>
      <c r="AS35" s="2"/>
      <c r="AT35" s="38"/>
      <c r="AU35" s="20"/>
      <c r="AV35" s="2"/>
      <c r="AW35" s="38"/>
      <c r="AX35" s="20"/>
      <c r="AY35" s="2"/>
      <c r="AZ35" s="38"/>
      <c r="BA35" s="20"/>
      <c r="BB35" s="2"/>
      <c r="BC35" s="38"/>
      <c r="BD35" s="20"/>
      <c r="BE35" s="2"/>
      <c r="BF35" s="38"/>
      <c r="BG35" s="20"/>
      <c r="BH35" s="2"/>
      <c r="BI35" s="38"/>
      <c r="BJ35" s="20"/>
      <c r="BK35" s="2"/>
      <c r="BL35" s="38"/>
      <c r="BM35" s="20"/>
      <c r="BN35" s="2"/>
      <c r="BO35" s="38"/>
      <c r="BP35" s="20"/>
      <c r="BQ35" s="2"/>
      <c r="BR35" s="38"/>
      <c r="BS35" s="20"/>
      <c r="BT35" s="2"/>
      <c r="BU35" s="38"/>
      <c r="BV35" s="20"/>
      <c r="BW35" s="2"/>
      <c r="BX35" s="38"/>
      <c r="BY35" s="20"/>
      <c r="BZ35" s="2"/>
      <c r="CA35" s="38"/>
      <c r="CB35" s="20"/>
      <c r="CC35" s="2"/>
      <c r="CD35" s="38"/>
      <c r="CE35" s="20"/>
      <c r="CF35" s="2"/>
      <c r="CG35" s="38"/>
      <c r="CH35" s="20"/>
      <c r="CI35" s="2"/>
      <c r="CJ35" s="38"/>
      <c r="CK35" s="20"/>
      <c r="CL35" s="2"/>
      <c r="CM35" s="38"/>
      <c r="CN35" s="20"/>
      <c r="CO35" s="2"/>
      <c r="CP35" s="38"/>
      <c r="CQ35" s="20"/>
      <c r="CR35" s="2"/>
      <c r="CS35" s="38"/>
      <c r="CT35" s="20"/>
      <c r="CU35" s="2"/>
      <c r="CV35" s="38"/>
      <c r="CW35" s="20"/>
      <c r="CX35" s="2"/>
      <c r="CY35" s="38"/>
      <c r="CZ35" s="20"/>
      <c r="DA35" s="2"/>
      <c r="DB35" s="38"/>
      <c r="DC35" s="20"/>
      <c r="DD35" s="2"/>
      <c r="DE35" s="38"/>
      <c r="DF35" s="20"/>
      <c r="DG35" s="2"/>
      <c r="DH35" s="38"/>
      <c r="DI35" s="20"/>
      <c r="DJ35" s="2"/>
      <c r="DK35" s="38"/>
      <c r="DL35" s="20"/>
      <c r="DM35" s="2"/>
      <c r="DN35" s="38"/>
      <c r="DO35" s="20"/>
      <c r="DP35" s="2"/>
      <c r="DQ35" s="38"/>
      <c r="DR35" s="20"/>
      <c r="DS35" s="2"/>
      <c r="DT35" s="38"/>
      <c r="DU35" s="20"/>
      <c r="DV35" s="2"/>
      <c r="DW35" s="38"/>
      <c r="DX35" s="20"/>
      <c r="DY35" s="2"/>
      <c r="DZ35" s="38"/>
      <c r="EA35" s="20"/>
      <c r="EB35" s="2"/>
      <c r="EC35" s="38"/>
      <c r="ED35" s="20"/>
      <c r="EE35" s="2"/>
      <c r="EF35" s="38"/>
      <c r="EG35" s="20"/>
      <c r="EH35" s="2"/>
      <c r="EI35" s="38"/>
      <c r="EJ35" s="20"/>
      <c r="EK35" s="2"/>
      <c r="EL35" s="38"/>
      <c r="EM35" s="20"/>
      <c r="EN35" s="2"/>
      <c r="EO35" s="38"/>
      <c r="EP35" s="20"/>
      <c r="EQ35" s="2"/>
      <c r="ER35" s="38"/>
      <c r="ES35" s="20"/>
      <c r="ET35" s="2"/>
      <c r="EU35" s="38"/>
      <c r="EV35" s="20"/>
      <c r="EW35" s="2"/>
      <c r="EX35" s="38"/>
      <c r="EY35" s="20"/>
      <c r="EZ35" s="2"/>
      <c r="FA35" s="38"/>
      <c r="FB35" s="20"/>
      <c r="FC35" s="2"/>
      <c r="FD35" s="38"/>
      <c r="FE35" s="20"/>
      <c r="FF35" s="2"/>
      <c r="FG35" s="38"/>
      <c r="FH35" s="20"/>
      <c r="FI35" s="2"/>
      <c r="FJ35" s="38"/>
      <c r="FK35" s="20"/>
      <c r="FL35" s="2"/>
      <c r="FM35" s="38"/>
      <c r="FN35" s="20"/>
      <c r="FO35" s="2"/>
      <c r="FP35" s="38"/>
      <c r="FQ35" s="20"/>
      <c r="FR35" s="2"/>
      <c r="FS35" s="38"/>
      <c r="FT35" s="20"/>
      <c r="FU35" s="2"/>
      <c r="FV35" s="38"/>
      <c r="FW35" s="20"/>
      <c r="FX35" s="2"/>
      <c r="FY35" s="38"/>
      <c r="FZ35" s="20"/>
      <c r="GA35" s="2"/>
      <c r="GB35" s="38"/>
      <c r="GC35" s="20"/>
      <c r="GD35" s="2"/>
      <c r="GE35" s="38"/>
      <c r="GF35" s="20"/>
      <c r="GG35" s="2"/>
      <c r="GH35" s="38"/>
      <c r="GI35" s="20"/>
      <c r="GJ35" s="2"/>
      <c r="GK35" s="38"/>
      <c r="GL35" s="20"/>
      <c r="GM35" s="2"/>
      <c r="GN35" s="38"/>
      <c r="GO35" s="20"/>
      <c r="GP35" s="2"/>
      <c r="GQ35" s="38"/>
      <c r="GR35" s="20"/>
      <c r="GS35" s="2"/>
      <c r="GT35" s="38"/>
      <c r="GU35" s="20"/>
      <c r="GV35" s="2"/>
      <c r="GW35" s="38"/>
      <c r="GX35" s="20"/>
      <c r="GY35" s="2"/>
      <c r="GZ35" s="38"/>
      <c r="HA35" s="20"/>
      <c r="HB35" s="2"/>
      <c r="HC35" s="38"/>
      <c r="HD35" s="20"/>
      <c r="HE35" s="2"/>
      <c r="HF35" s="38"/>
      <c r="HG35" s="20"/>
      <c r="HH35" s="2"/>
      <c r="HI35" s="38"/>
      <c r="HJ35" s="20"/>
      <c r="HK35" s="2"/>
      <c r="HL35" s="38"/>
      <c r="HM35" s="20"/>
      <c r="HN35" s="2"/>
      <c r="HO35" s="38"/>
      <c r="HP35" s="20"/>
      <c r="HQ35" s="2"/>
      <c r="HR35" s="38"/>
      <c r="HS35" s="20"/>
      <c r="HT35" s="2"/>
      <c r="HU35" s="38"/>
      <c r="HV35" s="20"/>
      <c r="HW35" s="2"/>
      <c r="HX35" s="38"/>
      <c r="HY35" s="20"/>
      <c r="HZ35" s="2"/>
      <c r="IA35" s="38"/>
      <c r="IB35" s="20"/>
      <c r="IC35" s="2"/>
      <c r="ID35" s="38"/>
      <c r="IE35" s="20"/>
      <c r="IF35" s="2"/>
      <c r="IG35" s="38"/>
      <c r="IH35" s="20"/>
      <c r="II35" s="2"/>
      <c r="IJ35" s="38"/>
      <c r="IK35" s="20"/>
      <c r="IL35" s="2"/>
      <c r="IM35" s="38"/>
      <c r="IN35" s="20"/>
      <c r="IO35" s="2"/>
      <c r="IP35" s="38"/>
      <c r="IQ35" s="20"/>
      <c r="IR35" s="2"/>
      <c r="IS35" s="38"/>
      <c r="IT35" s="20"/>
      <c r="IU35" s="2"/>
      <c r="IV35" s="38"/>
      <c r="IW35" s="20"/>
      <c r="IX35" s="2"/>
      <c r="IY35" s="38"/>
      <c r="IZ35" s="20"/>
      <c r="JA35" s="2"/>
      <c r="JB35" s="38"/>
      <c r="JC35" s="20"/>
      <c r="JD35" s="2"/>
      <c r="JE35" s="38"/>
      <c r="JF35" s="20"/>
      <c r="JG35" s="2"/>
      <c r="JH35" s="38"/>
      <c r="JI35" s="20"/>
      <c r="JJ35" s="2"/>
      <c r="JK35" s="38"/>
      <c r="JL35" s="20"/>
      <c r="JM35" s="2"/>
      <c r="JN35" s="38"/>
      <c r="JO35" s="20"/>
      <c r="JP35" s="2"/>
      <c r="JQ35" s="38"/>
    </row>
    <row r="36" spans="1:277">
      <c r="AF36" s="2" t="s">
        <v>458</v>
      </c>
      <c r="AI36" s="2"/>
      <c r="AL36" s="2"/>
      <c r="AO36" s="2"/>
      <c r="AR36" s="2"/>
      <c r="AU36" s="2"/>
      <c r="AX36" s="2"/>
      <c r="BA36" s="2"/>
      <c r="BD36" s="2"/>
      <c r="BG36" s="2"/>
      <c r="BJ36" s="2"/>
      <c r="BM36" s="2"/>
      <c r="BP36" s="2"/>
      <c r="BS36" s="2"/>
      <c r="BV36" s="2"/>
      <c r="BY36" s="2"/>
      <c r="CB36" s="2"/>
      <c r="CE36" s="2"/>
      <c r="CH36" s="2"/>
      <c r="CK36" s="2"/>
      <c r="CN36" s="2"/>
      <c r="CQ36" s="2"/>
      <c r="CT36" s="2"/>
      <c r="CW36" s="2"/>
      <c r="CZ36" s="2"/>
      <c r="DC36" s="2"/>
      <c r="DF36" s="2"/>
      <c r="DI36" s="2"/>
      <c r="DL36" s="2"/>
      <c r="DO36" s="2"/>
      <c r="DR36" s="2"/>
      <c r="DU36" s="2"/>
      <c r="DX36" s="2"/>
      <c r="EA36" s="2"/>
      <c r="ED36" s="2"/>
      <c r="EG36" s="2"/>
      <c r="EJ36" s="2"/>
      <c r="EM36" s="2"/>
      <c r="EP36" s="2"/>
      <c r="ES36" s="2"/>
      <c r="EV36" s="2"/>
      <c r="EY36" s="2"/>
      <c r="FB36" s="2"/>
      <c r="FE36" s="2"/>
      <c r="FH36" s="2"/>
      <c r="FK36" s="2"/>
      <c r="FN36" s="2"/>
      <c r="FQ36" s="2"/>
      <c r="FT36" s="2"/>
      <c r="FW36" s="2"/>
      <c r="FZ36" s="2"/>
      <c r="GC36" s="2"/>
      <c r="GF36" s="2"/>
      <c r="GI36" s="2"/>
      <c r="GL36" s="2"/>
      <c r="GO36" s="2"/>
      <c r="GR36" s="2"/>
      <c r="GU36" s="2"/>
      <c r="GX36" s="2"/>
      <c r="HA36" s="2"/>
      <c r="HD36" s="2"/>
      <c r="HG36" s="2"/>
      <c r="HJ36" s="2"/>
      <c r="HM36" s="2"/>
      <c r="HP36" s="2"/>
      <c r="HS36" s="2"/>
      <c r="HV36" s="2"/>
      <c r="HY36" s="2"/>
      <c r="IB36" s="2"/>
      <c r="IE36" s="2"/>
      <c r="IH36" s="2"/>
      <c r="IK36" s="2"/>
      <c r="IN36" s="2"/>
      <c r="IQ36" s="2"/>
      <c r="IT36" s="2"/>
      <c r="IW36" s="2"/>
      <c r="IZ36" s="2"/>
      <c r="JC36" s="2"/>
      <c r="JF36" s="2"/>
      <c r="JI36" s="2"/>
      <c r="JL36" s="2"/>
      <c r="JO36" s="2"/>
    </row>
    <row r="39" ht="29" customHeight="1" spans="1:277">
      <c r="A39" s="280"/>
      <c r="B39" s="305" t="s">
        <v>459</v>
      </c>
      <c r="C39" s="305"/>
      <c r="D39" s="305"/>
      <c r="E39" s="305"/>
    </row>
    <row r="40" spans="1:277">
      <c r="A40" s="2">
        <v>1</v>
      </c>
      <c r="B40" s="99" t="s">
        <v>460</v>
      </c>
      <c r="C40" s="99"/>
      <c r="D40" s="99"/>
      <c r="E40" s="99"/>
      <c r="H40" s="103"/>
    </row>
    <row r="41" ht="14.5" customHeight="1" spans="1:277">
      <c r="A41" s="2">
        <v>2</v>
      </c>
      <c r="B41" s="99" t="s">
        <v>461</v>
      </c>
      <c r="C41" s="99"/>
      <c r="D41" s="99"/>
      <c r="E41" s="99"/>
      <c r="H41" s="103"/>
    </row>
    <row r="42" ht="14.5" customHeight="1" spans="1:277">
      <c r="A42" s="2">
        <v>3</v>
      </c>
      <c r="B42" s="99" t="s">
        <v>462</v>
      </c>
      <c r="C42" s="99"/>
      <c r="D42" s="99"/>
      <c r="E42" s="99"/>
      <c r="H42" s="103"/>
    </row>
  </sheetData>
  <mergeCells count="3383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  <mergeCell ref="EG1:EI1"/>
    <mergeCell ref="EJ1:EL1"/>
    <mergeCell ref="EM1:EO1"/>
    <mergeCell ref="EP1:ER1"/>
    <mergeCell ref="ES1:EU1"/>
    <mergeCell ref="EV1:EX1"/>
    <mergeCell ref="EY1:FA1"/>
    <mergeCell ref="FB1:FD1"/>
    <mergeCell ref="FE1:FG1"/>
    <mergeCell ref="FH1:FJ1"/>
    <mergeCell ref="FK1:FM1"/>
    <mergeCell ref="FN1:FP1"/>
    <mergeCell ref="FQ1:FS1"/>
    <mergeCell ref="FT1:FV1"/>
    <mergeCell ref="FW1:FY1"/>
    <mergeCell ref="FZ1:GB1"/>
    <mergeCell ref="GC1:GE1"/>
    <mergeCell ref="GF1:GH1"/>
    <mergeCell ref="GI1:GK1"/>
    <mergeCell ref="GL1:GN1"/>
    <mergeCell ref="GO1:GQ1"/>
    <mergeCell ref="GR1:GT1"/>
    <mergeCell ref="GU1:GW1"/>
    <mergeCell ref="GX1:GZ1"/>
    <mergeCell ref="HA1:HC1"/>
    <mergeCell ref="HD1:HF1"/>
    <mergeCell ref="HG1:HI1"/>
    <mergeCell ref="HJ1:HL1"/>
    <mergeCell ref="HM1:HO1"/>
    <mergeCell ref="HP1:HR1"/>
    <mergeCell ref="HS1:HU1"/>
    <mergeCell ref="HV1:HX1"/>
    <mergeCell ref="HY1:IA1"/>
    <mergeCell ref="IB1:ID1"/>
    <mergeCell ref="IE1:IG1"/>
    <mergeCell ref="IH1:IJ1"/>
    <mergeCell ref="IK1:IM1"/>
    <mergeCell ref="IN1:IP1"/>
    <mergeCell ref="IQ1:IS1"/>
    <mergeCell ref="IT1:IV1"/>
    <mergeCell ref="IW1:IY1"/>
    <mergeCell ref="IZ1:JB1"/>
    <mergeCell ref="JC1:JE1"/>
    <mergeCell ref="JF1:JH1"/>
    <mergeCell ref="JI1:JK1"/>
    <mergeCell ref="JL1:JN1"/>
    <mergeCell ref="JO1:JQ1"/>
    <mergeCell ref="FF5:FG5"/>
    <mergeCell ref="BA6:BB6"/>
    <mergeCell ref="BJ6:BK6"/>
    <mergeCell ref="BM6:BN6"/>
    <mergeCell ref="BP6:BQ6"/>
    <mergeCell ref="BS6:BT6"/>
    <mergeCell ref="BV6:BW6"/>
    <mergeCell ref="BY6:BZ6"/>
    <mergeCell ref="CB6:CC6"/>
    <mergeCell ref="CE6:CF6"/>
    <mergeCell ref="CH6:CI6"/>
    <mergeCell ref="CK6:CL6"/>
    <mergeCell ref="CN6:CO6"/>
    <mergeCell ref="CQ6:CR6"/>
    <mergeCell ref="CT6:CU6"/>
    <mergeCell ref="CW6:CX6"/>
    <mergeCell ref="CZ6:DA6"/>
    <mergeCell ref="DC6:DD6"/>
    <mergeCell ref="DF6:DG6"/>
    <mergeCell ref="DI6:DJ6"/>
    <mergeCell ref="DL6:DM6"/>
    <mergeCell ref="DO6:DP6"/>
    <mergeCell ref="DR6:DS6"/>
    <mergeCell ref="DU6:DV6"/>
    <mergeCell ref="DX6:DY6"/>
    <mergeCell ref="EA6:EB6"/>
    <mergeCell ref="ED6:EE6"/>
    <mergeCell ref="EG6:EH6"/>
    <mergeCell ref="EJ6:EK6"/>
    <mergeCell ref="EM6:EN6"/>
    <mergeCell ref="EP6:EQ6"/>
    <mergeCell ref="ES6:ET6"/>
    <mergeCell ref="EV6:EW6"/>
    <mergeCell ref="EY6:EZ6"/>
    <mergeCell ref="FB6:FC6"/>
    <mergeCell ref="FE6:FF6"/>
    <mergeCell ref="FH6:FI6"/>
    <mergeCell ref="FK6:FL6"/>
    <mergeCell ref="FN6:FO6"/>
    <mergeCell ref="FQ6:FR6"/>
    <mergeCell ref="FT6:FU6"/>
    <mergeCell ref="FW6:FX6"/>
    <mergeCell ref="FZ6:GA6"/>
    <mergeCell ref="GC6:GD6"/>
    <mergeCell ref="GF6:GG6"/>
    <mergeCell ref="GI6:GJ6"/>
    <mergeCell ref="GL6:GM6"/>
    <mergeCell ref="GO6:GP6"/>
    <mergeCell ref="GR6:GS6"/>
    <mergeCell ref="GU6:GV6"/>
    <mergeCell ref="GX6:GY6"/>
    <mergeCell ref="HA6:HB6"/>
    <mergeCell ref="HD6:HE6"/>
    <mergeCell ref="HG6:HH6"/>
    <mergeCell ref="HJ6:HK6"/>
    <mergeCell ref="HM6:HN6"/>
    <mergeCell ref="HP6:HQ6"/>
    <mergeCell ref="HS6:HT6"/>
    <mergeCell ref="HV6:HW6"/>
    <mergeCell ref="HY6:HZ6"/>
    <mergeCell ref="IB6:IC6"/>
    <mergeCell ref="IE6:IF6"/>
    <mergeCell ref="IH6:II6"/>
    <mergeCell ref="IK6:IL6"/>
    <mergeCell ref="IN6:IO6"/>
    <mergeCell ref="IQ6:IR6"/>
    <mergeCell ref="IT6:IU6"/>
    <mergeCell ref="IW6:IX6"/>
    <mergeCell ref="IZ6:JA6"/>
    <mergeCell ref="JC6:JD6"/>
    <mergeCell ref="JF6:JG6"/>
    <mergeCell ref="JI6:JJ6"/>
    <mergeCell ref="JL6:JM6"/>
    <mergeCell ref="JO6:JP6"/>
    <mergeCell ref="W9:X9"/>
    <mergeCell ref="Z9:AA9"/>
    <mergeCell ref="AL9:AM9"/>
    <mergeCell ref="AU9:AV9"/>
    <mergeCell ref="BA9:BB9"/>
    <mergeCell ref="BD9:BE9"/>
    <mergeCell ref="BG9:BH9"/>
    <mergeCell ref="BJ9:BK9"/>
    <mergeCell ref="BM9:BN9"/>
    <mergeCell ref="BP9:BQ9"/>
    <mergeCell ref="BS9:BT9"/>
    <mergeCell ref="BV9:BW9"/>
    <mergeCell ref="BY9:BZ9"/>
    <mergeCell ref="CB9:CC9"/>
    <mergeCell ref="CE9:CF9"/>
    <mergeCell ref="CH9:CI9"/>
    <mergeCell ref="CK9:CL9"/>
    <mergeCell ref="CN9:CO9"/>
    <mergeCell ref="CQ9:CR9"/>
    <mergeCell ref="CT9:CU9"/>
    <mergeCell ref="CW9:CX9"/>
    <mergeCell ref="CZ9:DA9"/>
    <mergeCell ref="DC9:DD9"/>
    <mergeCell ref="DF9:DG9"/>
    <mergeCell ref="DI9:DJ9"/>
    <mergeCell ref="DL9:DM9"/>
    <mergeCell ref="DO9:DP9"/>
    <mergeCell ref="DR9:DS9"/>
    <mergeCell ref="DU9:DV9"/>
    <mergeCell ref="DX9:DY9"/>
    <mergeCell ref="EA9:EB9"/>
    <mergeCell ref="ED9:EE9"/>
    <mergeCell ref="EG9:EH9"/>
    <mergeCell ref="EJ9:EK9"/>
    <mergeCell ref="EM9:EN9"/>
    <mergeCell ref="EP9:EQ9"/>
    <mergeCell ref="ES9:ET9"/>
    <mergeCell ref="EV9:EW9"/>
    <mergeCell ref="EY9:EZ9"/>
    <mergeCell ref="FB9:FC9"/>
    <mergeCell ref="FE9:FF9"/>
    <mergeCell ref="FH9:FI9"/>
    <mergeCell ref="FK9:FL9"/>
    <mergeCell ref="FN9:FO9"/>
    <mergeCell ref="FQ9:FR9"/>
    <mergeCell ref="FT9:FU9"/>
    <mergeCell ref="FW9:FX9"/>
    <mergeCell ref="FZ9:GA9"/>
    <mergeCell ref="GC9:GD9"/>
    <mergeCell ref="GF9:GG9"/>
    <mergeCell ref="GI9:GJ9"/>
    <mergeCell ref="GL9:GM9"/>
    <mergeCell ref="GO9:GP9"/>
    <mergeCell ref="GR9:GS9"/>
    <mergeCell ref="GU9:GV9"/>
    <mergeCell ref="GX9:GY9"/>
    <mergeCell ref="HA9:HB9"/>
    <mergeCell ref="HD9:HE9"/>
    <mergeCell ref="HG9:HH9"/>
    <mergeCell ref="HJ9:HK9"/>
    <mergeCell ref="HM9:HN9"/>
    <mergeCell ref="HP9:HQ9"/>
    <mergeCell ref="HS9:HT9"/>
    <mergeCell ref="HV9:HW9"/>
    <mergeCell ref="HY9:HZ9"/>
    <mergeCell ref="IB9:IC9"/>
    <mergeCell ref="IE9:IF9"/>
    <mergeCell ref="IH9:II9"/>
    <mergeCell ref="IK9:IL9"/>
    <mergeCell ref="IN9:IO9"/>
    <mergeCell ref="IQ9:IR9"/>
    <mergeCell ref="IT9:IU9"/>
    <mergeCell ref="IW9:IX9"/>
    <mergeCell ref="IZ9:JA9"/>
    <mergeCell ref="JC9:JD9"/>
    <mergeCell ref="JF9:JG9"/>
    <mergeCell ref="JI9:JJ9"/>
    <mergeCell ref="JL9:JM9"/>
    <mergeCell ref="JO9:JP9"/>
    <mergeCell ref="BG12:BH12"/>
    <mergeCell ref="BJ12:BK12"/>
    <mergeCell ref="BM12:BN12"/>
    <mergeCell ref="BP12:BQ12"/>
    <mergeCell ref="BS12:BT12"/>
    <mergeCell ref="BV12:BW12"/>
    <mergeCell ref="BY12:BZ12"/>
    <mergeCell ref="CB12:CC12"/>
    <mergeCell ref="CE12:CF12"/>
    <mergeCell ref="CH12:CI12"/>
    <mergeCell ref="CK12:CL12"/>
    <mergeCell ref="CN12:CO12"/>
    <mergeCell ref="CQ12:CR12"/>
    <mergeCell ref="CT12:CU12"/>
    <mergeCell ref="CW12:CX12"/>
    <mergeCell ref="CZ12:DA12"/>
    <mergeCell ref="DC12:DD12"/>
    <mergeCell ref="DF12:DG12"/>
    <mergeCell ref="DI12:DJ12"/>
    <mergeCell ref="DL12:DM12"/>
    <mergeCell ref="DO12:DP12"/>
    <mergeCell ref="DR12:DS12"/>
    <mergeCell ref="DU12:DV12"/>
    <mergeCell ref="DX12:DY12"/>
    <mergeCell ref="EA12:EB12"/>
    <mergeCell ref="ED12:EE12"/>
    <mergeCell ref="EG12:EH12"/>
    <mergeCell ref="EJ12:EK12"/>
    <mergeCell ref="EM12:EN12"/>
    <mergeCell ref="EP12:EQ12"/>
    <mergeCell ref="ES12:ET12"/>
    <mergeCell ref="EV12:EW12"/>
    <mergeCell ref="EY12:EZ12"/>
    <mergeCell ref="FB12:FC12"/>
    <mergeCell ref="FE12:FF12"/>
    <mergeCell ref="FH12:FI12"/>
    <mergeCell ref="FK12:FL12"/>
    <mergeCell ref="FN12:FO12"/>
    <mergeCell ref="FQ12:FR12"/>
    <mergeCell ref="FT12:FU12"/>
    <mergeCell ref="FW12:FX12"/>
    <mergeCell ref="FZ12:GA12"/>
    <mergeCell ref="GC12:GD12"/>
    <mergeCell ref="GF12:GG12"/>
    <mergeCell ref="GI12:GJ12"/>
    <mergeCell ref="GL12:GM12"/>
    <mergeCell ref="GO12:GP12"/>
    <mergeCell ref="GR12:GS12"/>
    <mergeCell ref="GU12:GV12"/>
    <mergeCell ref="GX12:GY12"/>
    <mergeCell ref="HA12:HB12"/>
    <mergeCell ref="HD12:HE12"/>
    <mergeCell ref="HG12:HH12"/>
    <mergeCell ref="HJ12:HK12"/>
    <mergeCell ref="HM12:HN12"/>
    <mergeCell ref="HP12:HQ12"/>
    <mergeCell ref="HS12:HT12"/>
    <mergeCell ref="HV12:HW12"/>
    <mergeCell ref="HY12:HZ12"/>
    <mergeCell ref="IB12:IC12"/>
    <mergeCell ref="IE12:IF12"/>
    <mergeCell ref="IH12:II12"/>
    <mergeCell ref="FT18:FU18"/>
    <mergeCell ref="FW18:FX18"/>
    <mergeCell ref="FZ18:GA18"/>
    <mergeCell ref="GC18:GD18"/>
    <mergeCell ref="GF18:GG18"/>
    <mergeCell ref="GI18:GJ18"/>
    <mergeCell ref="GL18:GM18"/>
    <mergeCell ref="GO18:GP18"/>
    <mergeCell ref="GR18:GS18"/>
    <mergeCell ref="GU18:GV18"/>
    <mergeCell ref="GX18:GY18"/>
    <mergeCell ref="HA18:HB18"/>
    <mergeCell ref="HD18:HE18"/>
    <mergeCell ref="HG18:HH18"/>
    <mergeCell ref="HJ18:HK18"/>
    <mergeCell ref="HM18:HN18"/>
    <mergeCell ref="HP18:HQ18"/>
    <mergeCell ref="HS18:HT18"/>
    <mergeCell ref="HV18:HW18"/>
    <mergeCell ref="HY18:HZ18"/>
    <mergeCell ref="IB18:IC18"/>
    <mergeCell ref="IE18:IF18"/>
    <mergeCell ref="IH18:II18"/>
    <mergeCell ref="IK18:IL18"/>
    <mergeCell ref="IN18:IO18"/>
    <mergeCell ref="IQ18:IR18"/>
    <mergeCell ref="IT18:IU18"/>
    <mergeCell ref="IW18:IX18"/>
    <mergeCell ref="IZ18:JA18"/>
    <mergeCell ref="JC18:JD18"/>
    <mergeCell ref="JF18:JG18"/>
    <mergeCell ref="JI18:JJ18"/>
    <mergeCell ref="JL18:JM18"/>
    <mergeCell ref="JO18:JP18"/>
    <mergeCell ref="EW21:EX21"/>
    <mergeCell ref="B39:E39"/>
    <mergeCell ref="B40:E40"/>
    <mergeCell ref="B41:E41"/>
    <mergeCell ref="B42:E42"/>
    <mergeCell ref="A3:A4"/>
    <mergeCell ref="A7:A8"/>
    <mergeCell ref="A10:A11"/>
    <mergeCell ref="A13:A14"/>
    <mergeCell ref="A16:A17"/>
    <mergeCell ref="A19:A20"/>
    <mergeCell ref="A22:A23"/>
    <mergeCell ref="A25:A26"/>
    <mergeCell ref="A28:A29"/>
    <mergeCell ref="A31:A32"/>
    <mergeCell ref="A34:A35"/>
    <mergeCell ref="B3:B4"/>
    <mergeCell ref="B7:B8"/>
    <mergeCell ref="B10:B11"/>
    <mergeCell ref="B13:B14"/>
    <mergeCell ref="B16:B17"/>
    <mergeCell ref="B19:B20"/>
    <mergeCell ref="B22:B23"/>
    <mergeCell ref="B25:B26"/>
    <mergeCell ref="B28:B29"/>
    <mergeCell ref="B31:B32"/>
    <mergeCell ref="B34:B35"/>
    <mergeCell ref="C13:C14"/>
    <mergeCell ref="D3:D4"/>
    <mergeCell ref="D7:D8"/>
    <mergeCell ref="D10:D11"/>
    <mergeCell ref="D13:D14"/>
    <mergeCell ref="D16:D17"/>
    <mergeCell ref="D19:D20"/>
    <mergeCell ref="D22:D23"/>
    <mergeCell ref="D25:D26"/>
    <mergeCell ref="D28:D29"/>
    <mergeCell ref="D31:D32"/>
    <mergeCell ref="D34:D35"/>
    <mergeCell ref="E3:E4"/>
    <mergeCell ref="E7:E8"/>
    <mergeCell ref="E10:E11"/>
    <mergeCell ref="E13:E14"/>
    <mergeCell ref="E16:E17"/>
    <mergeCell ref="E19:E20"/>
    <mergeCell ref="E22:E23"/>
    <mergeCell ref="E25:E26"/>
    <mergeCell ref="E28:E29"/>
    <mergeCell ref="E31:E32"/>
    <mergeCell ref="E34:E35"/>
    <mergeCell ref="F3:F4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G3:G4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H3:H4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I3:I4"/>
    <mergeCell ref="I7:I8"/>
    <mergeCell ref="I10:I11"/>
    <mergeCell ref="I13:I14"/>
    <mergeCell ref="I16:I17"/>
    <mergeCell ref="I19:I20"/>
    <mergeCell ref="I22:I23"/>
    <mergeCell ref="I25:I26"/>
    <mergeCell ref="I28:I29"/>
    <mergeCell ref="I31:I32"/>
    <mergeCell ref="I34:I35"/>
    <mergeCell ref="J3:J4"/>
    <mergeCell ref="J7:J8"/>
    <mergeCell ref="J10:J11"/>
    <mergeCell ref="J13:J14"/>
    <mergeCell ref="J16:J17"/>
    <mergeCell ref="J19:J20"/>
    <mergeCell ref="J22:J23"/>
    <mergeCell ref="J25:J26"/>
    <mergeCell ref="J28:J29"/>
    <mergeCell ref="J31:J32"/>
    <mergeCell ref="J34:J35"/>
    <mergeCell ref="K3:K4"/>
    <mergeCell ref="K7:K8"/>
    <mergeCell ref="K10:K11"/>
    <mergeCell ref="K13:K14"/>
    <mergeCell ref="K16:K17"/>
    <mergeCell ref="K19:K20"/>
    <mergeCell ref="K22:K23"/>
    <mergeCell ref="K25:K26"/>
    <mergeCell ref="K28:K29"/>
    <mergeCell ref="K31:K32"/>
    <mergeCell ref="K34:K35"/>
    <mergeCell ref="L3:L4"/>
    <mergeCell ref="L7:L8"/>
    <mergeCell ref="L10:L11"/>
    <mergeCell ref="L13:L14"/>
    <mergeCell ref="L16:L17"/>
    <mergeCell ref="L19:L20"/>
    <mergeCell ref="L22:L23"/>
    <mergeCell ref="L25:L26"/>
    <mergeCell ref="L28:L29"/>
    <mergeCell ref="L31:L32"/>
    <mergeCell ref="L34:L35"/>
    <mergeCell ref="M3:M4"/>
    <mergeCell ref="M7:M8"/>
    <mergeCell ref="M10:M11"/>
    <mergeCell ref="M13:M14"/>
    <mergeCell ref="M16:M17"/>
    <mergeCell ref="M19:M20"/>
    <mergeCell ref="M22:M23"/>
    <mergeCell ref="M25:M26"/>
    <mergeCell ref="M28:M29"/>
    <mergeCell ref="M31:M32"/>
    <mergeCell ref="M34:M35"/>
    <mergeCell ref="N3:N4"/>
    <mergeCell ref="N7:N8"/>
    <mergeCell ref="N10:N11"/>
    <mergeCell ref="N13:N14"/>
    <mergeCell ref="N16:N17"/>
    <mergeCell ref="N19:N20"/>
    <mergeCell ref="N22:N23"/>
    <mergeCell ref="N25:N26"/>
    <mergeCell ref="N28:N29"/>
    <mergeCell ref="N31:N32"/>
    <mergeCell ref="N34:N35"/>
    <mergeCell ref="O3:O4"/>
    <mergeCell ref="O7:O8"/>
    <mergeCell ref="O10:O11"/>
    <mergeCell ref="O13:O14"/>
    <mergeCell ref="O16:O17"/>
    <mergeCell ref="O19:O20"/>
    <mergeCell ref="O22:O23"/>
    <mergeCell ref="O25:O26"/>
    <mergeCell ref="O28:O29"/>
    <mergeCell ref="O31:O32"/>
    <mergeCell ref="O34:O35"/>
    <mergeCell ref="P3:P4"/>
    <mergeCell ref="P7:P8"/>
    <mergeCell ref="P10:P11"/>
    <mergeCell ref="P13:P14"/>
    <mergeCell ref="P16:P17"/>
    <mergeCell ref="P19:P20"/>
    <mergeCell ref="P22:P23"/>
    <mergeCell ref="P25:P26"/>
    <mergeCell ref="P28:P29"/>
    <mergeCell ref="P31:P32"/>
    <mergeCell ref="P34:P35"/>
    <mergeCell ref="Q3:Q4"/>
    <mergeCell ref="Q7:Q8"/>
    <mergeCell ref="Q10:Q11"/>
    <mergeCell ref="Q13:Q14"/>
    <mergeCell ref="Q16:Q17"/>
    <mergeCell ref="Q19:Q20"/>
    <mergeCell ref="Q22:Q23"/>
    <mergeCell ref="Q25:Q26"/>
    <mergeCell ref="Q28:Q29"/>
    <mergeCell ref="Q31:Q32"/>
    <mergeCell ref="Q34:Q35"/>
    <mergeCell ref="R3:R4"/>
    <mergeCell ref="R7:R8"/>
    <mergeCell ref="R10:R11"/>
    <mergeCell ref="R13:R14"/>
    <mergeCell ref="R16:R17"/>
    <mergeCell ref="R19:R20"/>
    <mergeCell ref="R22:R23"/>
    <mergeCell ref="R25:R26"/>
    <mergeCell ref="R28:R29"/>
    <mergeCell ref="R31:R32"/>
    <mergeCell ref="R34:R35"/>
    <mergeCell ref="S3:S4"/>
    <mergeCell ref="S7:S8"/>
    <mergeCell ref="S10:S11"/>
    <mergeCell ref="S13:S14"/>
    <mergeCell ref="S16:S17"/>
    <mergeCell ref="S19:S20"/>
    <mergeCell ref="S22:S23"/>
    <mergeCell ref="S25:S26"/>
    <mergeCell ref="S28:S29"/>
    <mergeCell ref="S31:S32"/>
    <mergeCell ref="S34:S35"/>
    <mergeCell ref="T3:T4"/>
    <mergeCell ref="T7:T8"/>
    <mergeCell ref="T10:T11"/>
    <mergeCell ref="T13:T14"/>
    <mergeCell ref="T16:T17"/>
    <mergeCell ref="T19:T20"/>
    <mergeCell ref="T22:T23"/>
    <mergeCell ref="T25:T26"/>
    <mergeCell ref="T28:T29"/>
    <mergeCell ref="T31:T32"/>
    <mergeCell ref="T34:T35"/>
    <mergeCell ref="U3:U4"/>
    <mergeCell ref="U7:U8"/>
    <mergeCell ref="U10:U11"/>
    <mergeCell ref="U13:U14"/>
    <mergeCell ref="U16:U17"/>
    <mergeCell ref="U19:U20"/>
    <mergeCell ref="U22:U23"/>
    <mergeCell ref="U25:U26"/>
    <mergeCell ref="U28:U29"/>
    <mergeCell ref="U31:U32"/>
    <mergeCell ref="U34:U35"/>
    <mergeCell ref="V3:V4"/>
    <mergeCell ref="V7:V8"/>
    <mergeCell ref="V10:V11"/>
    <mergeCell ref="V13:V14"/>
    <mergeCell ref="V16:V17"/>
    <mergeCell ref="V19:V20"/>
    <mergeCell ref="V22:V23"/>
    <mergeCell ref="V25:V26"/>
    <mergeCell ref="V28:V29"/>
    <mergeCell ref="V31:V32"/>
    <mergeCell ref="V34:V35"/>
    <mergeCell ref="W3:W4"/>
    <mergeCell ref="W7:W8"/>
    <mergeCell ref="W10:W11"/>
    <mergeCell ref="W13:W14"/>
    <mergeCell ref="W16:W17"/>
    <mergeCell ref="W19:W20"/>
    <mergeCell ref="W22:W23"/>
    <mergeCell ref="W25:W26"/>
    <mergeCell ref="W28:W29"/>
    <mergeCell ref="W31:W32"/>
    <mergeCell ref="W34:W35"/>
    <mergeCell ref="X3:X4"/>
    <mergeCell ref="X7:X8"/>
    <mergeCell ref="X10:X11"/>
    <mergeCell ref="X13:X14"/>
    <mergeCell ref="X16:X17"/>
    <mergeCell ref="X19:X20"/>
    <mergeCell ref="X22:X23"/>
    <mergeCell ref="X25:X26"/>
    <mergeCell ref="X28:X29"/>
    <mergeCell ref="X31:X32"/>
    <mergeCell ref="X34:X35"/>
    <mergeCell ref="Y3:Y4"/>
    <mergeCell ref="Y7:Y8"/>
    <mergeCell ref="Y10:Y11"/>
    <mergeCell ref="Y13:Y14"/>
    <mergeCell ref="Y16:Y17"/>
    <mergeCell ref="Y19:Y20"/>
    <mergeCell ref="Y22:Y23"/>
    <mergeCell ref="Y25:Y26"/>
    <mergeCell ref="Y28:Y29"/>
    <mergeCell ref="Y31:Y32"/>
    <mergeCell ref="Y34:Y35"/>
    <mergeCell ref="Z3:Z4"/>
    <mergeCell ref="Z7:Z8"/>
    <mergeCell ref="Z10:Z11"/>
    <mergeCell ref="Z13:Z14"/>
    <mergeCell ref="Z16:Z17"/>
    <mergeCell ref="Z19:Z20"/>
    <mergeCell ref="Z22:Z23"/>
    <mergeCell ref="Z25:Z26"/>
    <mergeCell ref="Z28:Z29"/>
    <mergeCell ref="Z31:Z32"/>
    <mergeCell ref="Z34:Z35"/>
    <mergeCell ref="AA3:AA4"/>
    <mergeCell ref="AA7:AA8"/>
    <mergeCell ref="AA10:AA11"/>
    <mergeCell ref="AA13:AA14"/>
    <mergeCell ref="AA16:AA17"/>
    <mergeCell ref="AA19:AA20"/>
    <mergeCell ref="AA22:AA23"/>
    <mergeCell ref="AA25:AA26"/>
    <mergeCell ref="AA28:AA29"/>
    <mergeCell ref="AA31:AA32"/>
    <mergeCell ref="AA34:AA35"/>
    <mergeCell ref="AB3:AB4"/>
    <mergeCell ref="AB7:AB8"/>
    <mergeCell ref="AB10:AB11"/>
    <mergeCell ref="AB13:AB14"/>
    <mergeCell ref="AB16:AB17"/>
    <mergeCell ref="AB19:AB20"/>
    <mergeCell ref="AB22:AB23"/>
    <mergeCell ref="AB25:AB26"/>
    <mergeCell ref="AB28:AB29"/>
    <mergeCell ref="AB31:AB32"/>
    <mergeCell ref="AB34:AB35"/>
    <mergeCell ref="AC3:AC4"/>
    <mergeCell ref="AC7:AC8"/>
    <mergeCell ref="AC10:AC11"/>
    <mergeCell ref="AC13:AC14"/>
    <mergeCell ref="AC16:AC17"/>
    <mergeCell ref="AC19:AC20"/>
    <mergeCell ref="AC22:AC23"/>
    <mergeCell ref="AC25:AC26"/>
    <mergeCell ref="AC28:AC29"/>
    <mergeCell ref="AC31:AC32"/>
    <mergeCell ref="AC34:AC35"/>
    <mergeCell ref="AD3:AD4"/>
    <mergeCell ref="AD7:AD8"/>
    <mergeCell ref="AD10:AD11"/>
    <mergeCell ref="AD13:AD14"/>
    <mergeCell ref="AD16:AD17"/>
    <mergeCell ref="AD19:AD20"/>
    <mergeCell ref="AD22:AD23"/>
    <mergeCell ref="AD25:AD26"/>
    <mergeCell ref="AD28:AD29"/>
    <mergeCell ref="AD31:AD32"/>
    <mergeCell ref="AD34:AD35"/>
    <mergeCell ref="AE3:AE4"/>
    <mergeCell ref="AE7:AE8"/>
    <mergeCell ref="AE10:AE11"/>
    <mergeCell ref="AE13:AE14"/>
    <mergeCell ref="AE16:AE17"/>
    <mergeCell ref="AE19:AE20"/>
    <mergeCell ref="AE22:AE23"/>
    <mergeCell ref="AE25:AE26"/>
    <mergeCell ref="AE28:AE29"/>
    <mergeCell ref="AE31:AE32"/>
    <mergeCell ref="AE34:AE35"/>
    <mergeCell ref="AF3:AF4"/>
    <mergeCell ref="AF7:AF8"/>
    <mergeCell ref="AF10:AF11"/>
    <mergeCell ref="AF13:AF14"/>
    <mergeCell ref="AF16:AF17"/>
    <mergeCell ref="AF19:AF20"/>
    <mergeCell ref="AF22:AF23"/>
    <mergeCell ref="AF25:AF26"/>
    <mergeCell ref="AF28:AF29"/>
    <mergeCell ref="AF31:AF32"/>
    <mergeCell ref="AF34:AF35"/>
    <mergeCell ref="AG3:AG4"/>
    <mergeCell ref="AG7:AG8"/>
    <mergeCell ref="AG10:AG11"/>
    <mergeCell ref="AG13:AG14"/>
    <mergeCell ref="AG16:AG17"/>
    <mergeCell ref="AG19:AG20"/>
    <mergeCell ref="AG22:AG23"/>
    <mergeCell ref="AG25:AG26"/>
    <mergeCell ref="AG28:AG29"/>
    <mergeCell ref="AG31:AG32"/>
    <mergeCell ref="AG34:AG35"/>
    <mergeCell ref="AH3:AH4"/>
    <mergeCell ref="AH7:AH8"/>
    <mergeCell ref="AH10:AH11"/>
    <mergeCell ref="AH13:AH14"/>
    <mergeCell ref="AH16:AH17"/>
    <mergeCell ref="AH19:AH20"/>
    <mergeCell ref="AH22:AH23"/>
    <mergeCell ref="AH25:AH26"/>
    <mergeCell ref="AH28:AH29"/>
    <mergeCell ref="AH31:AH32"/>
    <mergeCell ref="AH34:AH35"/>
    <mergeCell ref="AI3:AI4"/>
    <mergeCell ref="AI7:AI8"/>
    <mergeCell ref="AI10:AI11"/>
    <mergeCell ref="AI13:AI14"/>
    <mergeCell ref="AI16:AI17"/>
    <mergeCell ref="AI19:AI20"/>
    <mergeCell ref="AI22:AI23"/>
    <mergeCell ref="AI25:AI26"/>
    <mergeCell ref="AI28:AI29"/>
    <mergeCell ref="AI31:AI32"/>
    <mergeCell ref="AI34:AI35"/>
    <mergeCell ref="AJ3:AJ4"/>
    <mergeCell ref="AJ7:AJ8"/>
    <mergeCell ref="AJ10:AJ11"/>
    <mergeCell ref="AJ13:AJ14"/>
    <mergeCell ref="AJ16:AJ17"/>
    <mergeCell ref="AJ19:AJ20"/>
    <mergeCell ref="AJ22:AJ23"/>
    <mergeCell ref="AJ25:AJ26"/>
    <mergeCell ref="AJ28:AJ29"/>
    <mergeCell ref="AJ31:AJ32"/>
    <mergeCell ref="AJ34:AJ35"/>
    <mergeCell ref="AK3:AK4"/>
    <mergeCell ref="AK7:AK8"/>
    <mergeCell ref="AK10:AK11"/>
    <mergeCell ref="AK13:AK14"/>
    <mergeCell ref="AK16:AK17"/>
    <mergeCell ref="AK19:AK20"/>
    <mergeCell ref="AK22:AK23"/>
    <mergeCell ref="AK25:AK26"/>
    <mergeCell ref="AK28:AK29"/>
    <mergeCell ref="AK31:AK32"/>
    <mergeCell ref="AK34:AK35"/>
    <mergeCell ref="AL3:AL4"/>
    <mergeCell ref="AL7:AL8"/>
    <mergeCell ref="AL10:AL11"/>
    <mergeCell ref="AL13:AL14"/>
    <mergeCell ref="AL16:AL17"/>
    <mergeCell ref="AL19:AL20"/>
    <mergeCell ref="AL22:AL23"/>
    <mergeCell ref="AL25:AL26"/>
    <mergeCell ref="AL28:AL29"/>
    <mergeCell ref="AL31:AL32"/>
    <mergeCell ref="AL34:AL35"/>
    <mergeCell ref="AM3:AM4"/>
    <mergeCell ref="AM7:AM8"/>
    <mergeCell ref="AM10:AM11"/>
    <mergeCell ref="AM13:AM14"/>
    <mergeCell ref="AM16:AM17"/>
    <mergeCell ref="AM19:AM20"/>
    <mergeCell ref="AM22:AM23"/>
    <mergeCell ref="AM25:AM26"/>
    <mergeCell ref="AM28:AM29"/>
    <mergeCell ref="AM31:AM32"/>
    <mergeCell ref="AM34:AM35"/>
    <mergeCell ref="AN3:AN4"/>
    <mergeCell ref="AN7:AN8"/>
    <mergeCell ref="AN10:AN11"/>
    <mergeCell ref="AN13:AN14"/>
    <mergeCell ref="AN16:AN17"/>
    <mergeCell ref="AN19:AN20"/>
    <mergeCell ref="AN22:AN23"/>
    <mergeCell ref="AN25:AN26"/>
    <mergeCell ref="AN28:AN29"/>
    <mergeCell ref="AN31:AN32"/>
    <mergeCell ref="AN34:AN35"/>
    <mergeCell ref="AO3:AO4"/>
    <mergeCell ref="AO7:AO8"/>
    <mergeCell ref="AO10:AO11"/>
    <mergeCell ref="AO13:AO14"/>
    <mergeCell ref="AO16:AO17"/>
    <mergeCell ref="AO19:AO20"/>
    <mergeCell ref="AO22:AO23"/>
    <mergeCell ref="AO25:AO26"/>
    <mergeCell ref="AO28:AO29"/>
    <mergeCell ref="AO31:AO32"/>
    <mergeCell ref="AO34:AO35"/>
    <mergeCell ref="AP3:AP4"/>
    <mergeCell ref="AP7:AP8"/>
    <mergeCell ref="AP10:AP11"/>
    <mergeCell ref="AP13:AP14"/>
    <mergeCell ref="AP16:AP17"/>
    <mergeCell ref="AP19:AP20"/>
    <mergeCell ref="AP22:AP23"/>
    <mergeCell ref="AP25:AP26"/>
    <mergeCell ref="AP28:AP29"/>
    <mergeCell ref="AP31:AP32"/>
    <mergeCell ref="AP34:AP35"/>
    <mergeCell ref="AQ3:AQ4"/>
    <mergeCell ref="AQ7:AQ8"/>
    <mergeCell ref="AQ10:AQ11"/>
    <mergeCell ref="AQ13:AQ14"/>
    <mergeCell ref="AQ16:AQ17"/>
    <mergeCell ref="AQ19:AQ20"/>
    <mergeCell ref="AQ22:AQ23"/>
    <mergeCell ref="AQ25:AQ26"/>
    <mergeCell ref="AQ28:AQ29"/>
    <mergeCell ref="AQ31:AQ32"/>
    <mergeCell ref="AQ34:AQ35"/>
    <mergeCell ref="AR3:AR4"/>
    <mergeCell ref="AR7:AR8"/>
    <mergeCell ref="AR10:AR11"/>
    <mergeCell ref="AR13:AR14"/>
    <mergeCell ref="AR16:AR17"/>
    <mergeCell ref="AR19:AR20"/>
    <mergeCell ref="AR22:AR23"/>
    <mergeCell ref="AR25:AR26"/>
    <mergeCell ref="AR28:AR29"/>
    <mergeCell ref="AR31:AR32"/>
    <mergeCell ref="AR34:AR35"/>
    <mergeCell ref="AS3:AS4"/>
    <mergeCell ref="AS7:AS8"/>
    <mergeCell ref="AS10:AS11"/>
    <mergeCell ref="AS13:AS14"/>
    <mergeCell ref="AS16:AS17"/>
    <mergeCell ref="AS19:AS20"/>
    <mergeCell ref="AS22:AS23"/>
    <mergeCell ref="AS25:AS26"/>
    <mergeCell ref="AS28:AS29"/>
    <mergeCell ref="AS31:AS32"/>
    <mergeCell ref="AS34:AS35"/>
    <mergeCell ref="AT3:AT4"/>
    <mergeCell ref="AT7:AT8"/>
    <mergeCell ref="AT10:AT11"/>
    <mergeCell ref="AT13:AT14"/>
    <mergeCell ref="AT16:AT17"/>
    <mergeCell ref="AT19:AT20"/>
    <mergeCell ref="AT22:AT23"/>
    <mergeCell ref="AT25:AT26"/>
    <mergeCell ref="AT28:AT29"/>
    <mergeCell ref="AT31:AT32"/>
    <mergeCell ref="AT34:AT35"/>
    <mergeCell ref="AU3:AU4"/>
    <mergeCell ref="AU7:AU8"/>
    <mergeCell ref="AU10:AU11"/>
    <mergeCell ref="AU13:AU14"/>
    <mergeCell ref="AU16:AU17"/>
    <mergeCell ref="AU19:AU20"/>
    <mergeCell ref="AU22:AU23"/>
    <mergeCell ref="AU25:AU26"/>
    <mergeCell ref="AU28:AU29"/>
    <mergeCell ref="AU31:AU32"/>
    <mergeCell ref="AU34:AU35"/>
    <mergeCell ref="AV3:AV4"/>
    <mergeCell ref="AV7:AV8"/>
    <mergeCell ref="AV10:AV11"/>
    <mergeCell ref="AV13:AV14"/>
    <mergeCell ref="AV16:AV17"/>
    <mergeCell ref="AV19:AV20"/>
    <mergeCell ref="AV22:AV23"/>
    <mergeCell ref="AV25:AV26"/>
    <mergeCell ref="AV28:AV29"/>
    <mergeCell ref="AV31:AV32"/>
    <mergeCell ref="AV34:AV35"/>
    <mergeCell ref="AW3:AW4"/>
    <mergeCell ref="AW7:AW8"/>
    <mergeCell ref="AW10:AW11"/>
    <mergeCell ref="AW13:AW14"/>
    <mergeCell ref="AW16:AW17"/>
    <mergeCell ref="AW19:AW20"/>
    <mergeCell ref="AW22:AW23"/>
    <mergeCell ref="AW25:AW26"/>
    <mergeCell ref="AW28:AW29"/>
    <mergeCell ref="AW31:AW32"/>
    <mergeCell ref="AW34:AW35"/>
    <mergeCell ref="AX3:AX4"/>
    <mergeCell ref="AX7:AX8"/>
    <mergeCell ref="AX10:AX11"/>
    <mergeCell ref="AX13:AX14"/>
    <mergeCell ref="AX16:AX17"/>
    <mergeCell ref="AX19:AX20"/>
    <mergeCell ref="AX22:AX23"/>
    <mergeCell ref="AX25:AX26"/>
    <mergeCell ref="AX28:AX29"/>
    <mergeCell ref="AX31:AX32"/>
    <mergeCell ref="AX34:AX35"/>
    <mergeCell ref="AY3:AY4"/>
    <mergeCell ref="AY7:AY8"/>
    <mergeCell ref="AY10:AY11"/>
    <mergeCell ref="AY13:AY14"/>
    <mergeCell ref="AY16:AY17"/>
    <mergeCell ref="AY19:AY20"/>
    <mergeCell ref="AY22:AY23"/>
    <mergeCell ref="AY25:AY26"/>
    <mergeCell ref="AY28:AY29"/>
    <mergeCell ref="AY31:AY32"/>
    <mergeCell ref="AY34:AY35"/>
    <mergeCell ref="AZ3:AZ4"/>
    <mergeCell ref="AZ7:AZ8"/>
    <mergeCell ref="AZ10:AZ11"/>
    <mergeCell ref="AZ13:AZ14"/>
    <mergeCell ref="AZ16:AZ17"/>
    <mergeCell ref="AZ19:AZ20"/>
    <mergeCell ref="AZ22:AZ23"/>
    <mergeCell ref="AZ25:AZ26"/>
    <mergeCell ref="AZ28:AZ29"/>
    <mergeCell ref="AZ31:AZ32"/>
    <mergeCell ref="AZ34:AZ35"/>
    <mergeCell ref="BA3:BA4"/>
    <mergeCell ref="BA7:BA8"/>
    <mergeCell ref="BA10:BA11"/>
    <mergeCell ref="BA13:BA14"/>
    <mergeCell ref="BA16:BA17"/>
    <mergeCell ref="BA19:BA20"/>
    <mergeCell ref="BA22:BA23"/>
    <mergeCell ref="BA25:BA26"/>
    <mergeCell ref="BA28:BA29"/>
    <mergeCell ref="BA31:BA32"/>
    <mergeCell ref="BA34:BA35"/>
    <mergeCell ref="BB3:BB4"/>
    <mergeCell ref="BB7:BB8"/>
    <mergeCell ref="BB10:BB11"/>
    <mergeCell ref="BB13:BB14"/>
    <mergeCell ref="BB16:BB17"/>
    <mergeCell ref="BB19:BB20"/>
    <mergeCell ref="BB22:BB23"/>
    <mergeCell ref="BB25:BB26"/>
    <mergeCell ref="BB28:BB29"/>
    <mergeCell ref="BB31:BB32"/>
    <mergeCell ref="BB34:BB35"/>
    <mergeCell ref="BC3:BC4"/>
    <mergeCell ref="BC7:BC8"/>
    <mergeCell ref="BC10:BC11"/>
    <mergeCell ref="BC13:BC14"/>
    <mergeCell ref="BC16:BC17"/>
    <mergeCell ref="BC19:BC20"/>
    <mergeCell ref="BC22:BC23"/>
    <mergeCell ref="BC25:BC26"/>
    <mergeCell ref="BC28:BC29"/>
    <mergeCell ref="BC31:BC32"/>
    <mergeCell ref="BC34:BC35"/>
    <mergeCell ref="BD3:BD4"/>
    <mergeCell ref="BD7:BD8"/>
    <mergeCell ref="BD10:BD11"/>
    <mergeCell ref="BD13:BD14"/>
    <mergeCell ref="BD16:BD17"/>
    <mergeCell ref="BD19:BD20"/>
    <mergeCell ref="BD22:BD23"/>
    <mergeCell ref="BD25:BD26"/>
    <mergeCell ref="BD28:BD29"/>
    <mergeCell ref="BD31:BD32"/>
    <mergeCell ref="BD34:BD35"/>
    <mergeCell ref="BE3:BE4"/>
    <mergeCell ref="BE7:BE8"/>
    <mergeCell ref="BE10:BE11"/>
    <mergeCell ref="BE13:BE14"/>
    <mergeCell ref="BE16:BE17"/>
    <mergeCell ref="BE19:BE20"/>
    <mergeCell ref="BE22:BE23"/>
    <mergeCell ref="BE25:BE26"/>
    <mergeCell ref="BE28:BE29"/>
    <mergeCell ref="BE31:BE32"/>
    <mergeCell ref="BE34:BE35"/>
    <mergeCell ref="BF3:BF4"/>
    <mergeCell ref="BF7:BF8"/>
    <mergeCell ref="BF10:BF11"/>
    <mergeCell ref="BF13:BF14"/>
    <mergeCell ref="BF16:BF17"/>
    <mergeCell ref="BF19:BF20"/>
    <mergeCell ref="BF22:BF23"/>
    <mergeCell ref="BF25:BF26"/>
    <mergeCell ref="BF28:BF29"/>
    <mergeCell ref="BF31:BF32"/>
    <mergeCell ref="BF34:BF35"/>
    <mergeCell ref="BG3:BG4"/>
    <mergeCell ref="BG7:BG8"/>
    <mergeCell ref="BG10:BG11"/>
    <mergeCell ref="BG13:BG14"/>
    <mergeCell ref="BG16:BG17"/>
    <mergeCell ref="BG19:BG20"/>
    <mergeCell ref="BG22:BG23"/>
    <mergeCell ref="BG25:BG26"/>
    <mergeCell ref="BG28:BG29"/>
    <mergeCell ref="BG31:BG32"/>
    <mergeCell ref="BG34:BG35"/>
    <mergeCell ref="BH3:BH4"/>
    <mergeCell ref="BH7:BH8"/>
    <mergeCell ref="BH10:BH11"/>
    <mergeCell ref="BH13:BH14"/>
    <mergeCell ref="BH16:BH17"/>
    <mergeCell ref="BH19:BH20"/>
    <mergeCell ref="BH22:BH23"/>
    <mergeCell ref="BH25:BH26"/>
    <mergeCell ref="BH28:BH29"/>
    <mergeCell ref="BH31:BH32"/>
    <mergeCell ref="BH34:BH35"/>
    <mergeCell ref="BI3:BI4"/>
    <mergeCell ref="BI7:BI8"/>
    <mergeCell ref="BI10:BI11"/>
    <mergeCell ref="BI13:BI14"/>
    <mergeCell ref="BI16:BI17"/>
    <mergeCell ref="BI19:BI20"/>
    <mergeCell ref="BI22:BI23"/>
    <mergeCell ref="BI25:BI26"/>
    <mergeCell ref="BI28:BI29"/>
    <mergeCell ref="BI31:BI32"/>
    <mergeCell ref="BI34:BI35"/>
    <mergeCell ref="BJ3:BJ4"/>
    <mergeCell ref="BJ7:BJ8"/>
    <mergeCell ref="BJ10:BJ11"/>
    <mergeCell ref="BJ13:BJ14"/>
    <mergeCell ref="BJ16:BJ17"/>
    <mergeCell ref="BJ19:BJ20"/>
    <mergeCell ref="BJ22:BJ23"/>
    <mergeCell ref="BJ25:BJ26"/>
    <mergeCell ref="BJ28:BJ29"/>
    <mergeCell ref="BJ31:BJ32"/>
    <mergeCell ref="BJ34:BJ35"/>
    <mergeCell ref="BK3:BK4"/>
    <mergeCell ref="BK7:BK8"/>
    <mergeCell ref="BK10:BK11"/>
    <mergeCell ref="BK13:BK14"/>
    <mergeCell ref="BK16:BK17"/>
    <mergeCell ref="BK19:BK20"/>
    <mergeCell ref="BK22:BK23"/>
    <mergeCell ref="BK25:BK26"/>
    <mergeCell ref="BK28:BK29"/>
    <mergeCell ref="BK31:BK32"/>
    <mergeCell ref="BK34:BK35"/>
    <mergeCell ref="BL3:BL4"/>
    <mergeCell ref="BL7:BL8"/>
    <mergeCell ref="BL10:BL11"/>
    <mergeCell ref="BL13:BL14"/>
    <mergeCell ref="BL16:BL17"/>
    <mergeCell ref="BL19:BL20"/>
    <mergeCell ref="BL22:BL23"/>
    <mergeCell ref="BL25:BL26"/>
    <mergeCell ref="BL28:BL29"/>
    <mergeCell ref="BL31:BL32"/>
    <mergeCell ref="BL34:BL35"/>
    <mergeCell ref="BM3:BM4"/>
    <mergeCell ref="BM7:BM8"/>
    <mergeCell ref="BM10:BM11"/>
    <mergeCell ref="BM13:BM14"/>
    <mergeCell ref="BM16:BM17"/>
    <mergeCell ref="BM19:BM20"/>
    <mergeCell ref="BM22:BM23"/>
    <mergeCell ref="BM25:BM26"/>
    <mergeCell ref="BM28:BM29"/>
    <mergeCell ref="BM31:BM32"/>
    <mergeCell ref="BM34:BM35"/>
    <mergeCell ref="BN3:BN4"/>
    <mergeCell ref="BN7:BN8"/>
    <mergeCell ref="BN10:BN11"/>
    <mergeCell ref="BN13:BN14"/>
    <mergeCell ref="BN16:BN17"/>
    <mergeCell ref="BN19:BN20"/>
    <mergeCell ref="BN22:BN23"/>
    <mergeCell ref="BN25:BN26"/>
    <mergeCell ref="BN28:BN29"/>
    <mergeCell ref="BN31:BN32"/>
    <mergeCell ref="BN34:BN35"/>
    <mergeCell ref="BO3:BO4"/>
    <mergeCell ref="BO7:BO8"/>
    <mergeCell ref="BO10:BO11"/>
    <mergeCell ref="BO13:BO14"/>
    <mergeCell ref="BO16:BO17"/>
    <mergeCell ref="BO19:BO20"/>
    <mergeCell ref="BO22:BO23"/>
    <mergeCell ref="BO25:BO26"/>
    <mergeCell ref="BO28:BO29"/>
    <mergeCell ref="BO31:BO32"/>
    <mergeCell ref="BO34:BO35"/>
    <mergeCell ref="BP3:BP4"/>
    <mergeCell ref="BP7:BP8"/>
    <mergeCell ref="BP10:BP11"/>
    <mergeCell ref="BP13:BP14"/>
    <mergeCell ref="BP16:BP17"/>
    <mergeCell ref="BP19:BP20"/>
    <mergeCell ref="BP22:BP23"/>
    <mergeCell ref="BP25:BP26"/>
    <mergeCell ref="BP28:BP29"/>
    <mergeCell ref="BP31:BP32"/>
    <mergeCell ref="BP34:BP35"/>
    <mergeCell ref="BQ3:BQ4"/>
    <mergeCell ref="BQ7:BQ8"/>
    <mergeCell ref="BQ10:BQ11"/>
    <mergeCell ref="BQ13:BQ14"/>
    <mergeCell ref="BQ16:BQ17"/>
    <mergeCell ref="BQ19:BQ20"/>
    <mergeCell ref="BQ22:BQ23"/>
    <mergeCell ref="BQ25:BQ26"/>
    <mergeCell ref="BQ28:BQ29"/>
    <mergeCell ref="BQ31:BQ32"/>
    <mergeCell ref="BQ34:BQ35"/>
    <mergeCell ref="BR3:BR4"/>
    <mergeCell ref="BR7:BR8"/>
    <mergeCell ref="BR10:BR11"/>
    <mergeCell ref="BR13:BR14"/>
    <mergeCell ref="BR16:BR17"/>
    <mergeCell ref="BR19:BR20"/>
    <mergeCell ref="BR22:BR23"/>
    <mergeCell ref="BR25:BR26"/>
    <mergeCell ref="BR28:BR29"/>
    <mergeCell ref="BR31:BR32"/>
    <mergeCell ref="BR34:BR35"/>
    <mergeCell ref="BS3:BS4"/>
    <mergeCell ref="BS7:BS8"/>
    <mergeCell ref="BS10:BS11"/>
    <mergeCell ref="BS13:BS14"/>
    <mergeCell ref="BS16:BS17"/>
    <mergeCell ref="BS19:BS20"/>
    <mergeCell ref="BS22:BS23"/>
    <mergeCell ref="BS25:BS26"/>
    <mergeCell ref="BS28:BS29"/>
    <mergeCell ref="BS31:BS32"/>
    <mergeCell ref="BS34:BS35"/>
    <mergeCell ref="BT3:BT4"/>
    <mergeCell ref="BT7:BT8"/>
    <mergeCell ref="BT10:BT11"/>
    <mergeCell ref="BT13:BT14"/>
    <mergeCell ref="BT16:BT17"/>
    <mergeCell ref="BT19:BT20"/>
    <mergeCell ref="BT22:BT23"/>
    <mergeCell ref="BT25:BT26"/>
    <mergeCell ref="BT28:BT29"/>
    <mergeCell ref="BT31:BT32"/>
    <mergeCell ref="BT34:BT35"/>
    <mergeCell ref="BU3:BU4"/>
    <mergeCell ref="BU7:BU8"/>
    <mergeCell ref="BU10:BU11"/>
    <mergeCell ref="BU13:BU14"/>
    <mergeCell ref="BU16:BU17"/>
    <mergeCell ref="BU19:BU20"/>
    <mergeCell ref="BU22:BU23"/>
    <mergeCell ref="BU25:BU26"/>
    <mergeCell ref="BU28:BU29"/>
    <mergeCell ref="BU31:BU32"/>
    <mergeCell ref="BU34:BU35"/>
    <mergeCell ref="BV3:BV4"/>
    <mergeCell ref="BV7:BV8"/>
    <mergeCell ref="BV10:BV11"/>
    <mergeCell ref="BV13:BV14"/>
    <mergeCell ref="BV16:BV17"/>
    <mergeCell ref="BV19:BV20"/>
    <mergeCell ref="BV22:BV23"/>
    <mergeCell ref="BV25:BV26"/>
    <mergeCell ref="BV28:BV29"/>
    <mergeCell ref="BV31:BV32"/>
    <mergeCell ref="BV34:BV35"/>
    <mergeCell ref="BW3:BW4"/>
    <mergeCell ref="BW7:BW8"/>
    <mergeCell ref="BW10:BW11"/>
    <mergeCell ref="BW13:BW14"/>
    <mergeCell ref="BW16:BW17"/>
    <mergeCell ref="BW19:BW20"/>
    <mergeCell ref="BW22:BW23"/>
    <mergeCell ref="BW25:BW26"/>
    <mergeCell ref="BW28:BW29"/>
    <mergeCell ref="BW31:BW32"/>
    <mergeCell ref="BW34:BW35"/>
    <mergeCell ref="BX3:BX4"/>
    <mergeCell ref="BX7:BX8"/>
    <mergeCell ref="BX10:BX11"/>
    <mergeCell ref="BX13:BX14"/>
    <mergeCell ref="BX16:BX17"/>
    <mergeCell ref="BX19:BX20"/>
    <mergeCell ref="BX22:BX23"/>
    <mergeCell ref="BX25:BX26"/>
    <mergeCell ref="BX28:BX29"/>
    <mergeCell ref="BX31:BX32"/>
    <mergeCell ref="BX34:BX35"/>
    <mergeCell ref="BY3:BY4"/>
    <mergeCell ref="BY7:BY8"/>
    <mergeCell ref="BY10:BY11"/>
    <mergeCell ref="BY13:BY14"/>
    <mergeCell ref="BY16:BY17"/>
    <mergeCell ref="BY19:BY20"/>
    <mergeCell ref="BY22:BY23"/>
    <mergeCell ref="BY25:BY26"/>
    <mergeCell ref="BY28:BY29"/>
    <mergeCell ref="BY31:BY32"/>
    <mergeCell ref="BY34:BY35"/>
    <mergeCell ref="BZ3:BZ4"/>
    <mergeCell ref="BZ7:BZ8"/>
    <mergeCell ref="BZ10:BZ11"/>
    <mergeCell ref="BZ13:BZ14"/>
    <mergeCell ref="BZ16:BZ17"/>
    <mergeCell ref="BZ19:BZ20"/>
    <mergeCell ref="BZ22:BZ23"/>
    <mergeCell ref="BZ25:BZ26"/>
    <mergeCell ref="BZ28:BZ29"/>
    <mergeCell ref="BZ31:BZ32"/>
    <mergeCell ref="BZ34:BZ35"/>
    <mergeCell ref="CA3:CA4"/>
    <mergeCell ref="CA7:CA8"/>
    <mergeCell ref="CA10:CA11"/>
    <mergeCell ref="CA13:CA14"/>
    <mergeCell ref="CA16:CA17"/>
    <mergeCell ref="CA19:CA20"/>
    <mergeCell ref="CA22:CA23"/>
    <mergeCell ref="CA25:CA26"/>
    <mergeCell ref="CA28:CA29"/>
    <mergeCell ref="CA31:CA32"/>
    <mergeCell ref="CA34:CA35"/>
    <mergeCell ref="CB3:CB4"/>
    <mergeCell ref="CB7:CB8"/>
    <mergeCell ref="CB10:CB11"/>
    <mergeCell ref="CB13:CB14"/>
    <mergeCell ref="CB16:CB17"/>
    <mergeCell ref="CB19:CB20"/>
    <mergeCell ref="CB22:CB23"/>
    <mergeCell ref="CB25:CB26"/>
    <mergeCell ref="CB28:CB29"/>
    <mergeCell ref="CB31:CB32"/>
    <mergeCell ref="CB34:CB35"/>
    <mergeCell ref="CC3:CC4"/>
    <mergeCell ref="CC7:CC8"/>
    <mergeCell ref="CC10:CC11"/>
    <mergeCell ref="CC13:CC14"/>
    <mergeCell ref="CC16:CC17"/>
    <mergeCell ref="CC19:CC20"/>
    <mergeCell ref="CC22:CC23"/>
    <mergeCell ref="CC25:CC26"/>
    <mergeCell ref="CC28:CC29"/>
    <mergeCell ref="CC31:CC32"/>
    <mergeCell ref="CC34:CC35"/>
    <mergeCell ref="CD3:CD4"/>
    <mergeCell ref="CD7:CD8"/>
    <mergeCell ref="CD10:CD11"/>
    <mergeCell ref="CD13:CD14"/>
    <mergeCell ref="CD16:CD17"/>
    <mergeCell ref="CD19:CD20"/>
    <mergeCell ref="CD22:CD23"/>
    <mergeCell ref="CD25:CD26"/>
    <mergeCell ref="CD28:CD29"/>
    <mergeCell ref="CD31:CD32"/>
    <mergeCell ref="CD34:CD35"/>
    <mergeCell ref="CE3:CE4"/>
    <mergeCell ref="CE7:CE8"/>
    <mergeCell ref="CE10:CE11"/>
    <mergeCell ref="CE13:CE14"/>
    <mergeCell ref="CE16:CE17"/>
    <mergeCell ref="CE19:CE20"/>
    <mergeCell ref="CE22:CE23"/>
    <mergeCell ref="CE25:CE26"/>
    <mergeCell ref="CE28:CE29"/>
    <mergeCell ref="CE31:CE32"/>
    <mergeCell ref="CE34:CE35"/>
    <mergeCell ref="CF3:CF4"/>
    <mergeCell ref="CF7:CF8"/>
    <mergeCell ref="CF10:CF11"/>
    <mergeCell ref="CF13:CF14"/>
    <mergeCell ref="CF16:CF17"/>
    <mergeCell ref="CF19:CF20"/>
    <mergeCell ref="CF22:CF23"/>
    <mergeCell ref="CF25:CF26"/>
    <mergeCell ref="CF28:CF29"/>
    <mergeCell ref="CF31:CF32"/>
    <mergeCell ref="CF34:CF35"/>
    <mergeCell ref="CG3:CG4"/>
    <mergeCell ref="CG7:CG8"/>
    <mergeCell ref="CG10:CG11"/>
    <mergeCell ref="CG13:CG14"/>
    <mergeCell ref="CG16:CG17"/>
    <mergeCell ref="CG19:CG20"/>
    <mergeCell ref="CG22:CG23"/>
    <mergeCell ref="CG25:CG26"/>
    <mergeCell ref="CG28:CG29"/>
    <mergeCell ref="CG31:CG32"/>
    <mergeCell ref="CG34:CG35"/>
    <mergeCell ref="CH3:CH4"/>
    <mergeCell ref="CH7:CH8"/>
    <mergeCell ref="CH10:CH11"/>
    <mergeCell ref="CH13:CH14"/>
    <mergeCell ref="CH16:CH17"/>
    <mergeCell ref="CH19:CH20"/>
    <mergeCell ref="CH22:CH23"/>
    <mergeCell ref="CH25:CH26"/>
    <mergeCell ref="CH28:CH29"/>
    <mergeCell ref="CH31:CH32"/>
    <mergeCell ref="CH34:CH35"/>
    <mergeCell ref="CI3:CI4"/>
    <mergeCell ref="CI7:CI8"/>
    <mergeCell ref="CI10:CI11"/>
    <mergeCell ref="CI13:CI14"/>
    <mergeCell ref="CI16:CI17"/>
    <mergeCell ref="CI19:CI20"/>
    <mergeCell ref="CI22:CI23"/>
    <mergeCell ref="CI25:CI26"/>
    <mergeCell ref="CI28:CI29"/>
    <mergeCell ref="CI31:CI32"/>
    <mergeCell ref="CI34:CI35"/>
    <mergeCell ref="CJ3:CJ4"/>
    <mergeCell ref="CJ7:CJ8"/>
    <mergeCell ref="CJ10:CJ11"/>
    <mergeCell ref="CJ13:CJ14"/>
    <mergeCell ref="CJ16:CJ17"/>
    <mergeCell ref="CJ19:CJ20"/>
    <mergeCell ref="CJ22:CJ23"/>
    <mergeCell ref="CJ25:CJ26"/>
    <mergeCell ref="CJ28:CJ29"/>
    <mergeCell ref="CJ31:CJ32"/>
    <mergeCell ref="CJ34:CJ35"/>
    <mergeCell ref="CK3:CK4"/>
    <mergeCell ref="CK7:CK8"/>
    <mergeCell ref="CK10:CK11"/>
    <mergeCell ref="CK13:CK14"/>
    <mergeCell ref="CK16:CK17"/>
    <mergeCell ref="CK19:CK20"/>
    <mergeCell ref="CK22:CK23"/>
    <mergeCell ref="CK25:CK26"/>
    <mergeCell ref="CK28:CK29"/>
    <mergeCell ref="CK31:CK32"/>
    <mergeCell ref="CK34:CK35"/>
    <mergeCell ref="CL3:CL4"/>
    <mergeCell ref="CL7:CL8"/>
    <mergeCell ref="CL10:CL11"/>
    <mergeCell ref="CL13:CL14"/>
    <mergeCell ref="CL16:CL17"/>
    <mergeCell ref="CL19:CL20"/>
    <mergeCell ref="CL22:CL23"/>
    <mergeCell ref="CL25:CL26"/>
    <mergeCell ref="CL28:CL29"/>
    <mergeCell ref="CL31:CL32"/>
    <mergeCell ref="CL34:CL35"/>
    <mergeCell ref="CM3:CM4"/>
    <mergeCell ref="CM7:CM8"/>
    <mergeCell ref="CM10:CM11"/>
    <mergeCell ref="CM13:CM14"/>
    <mergeCell ref="CM16:CM17"/>
    <mergeCell ref="CM19:CM20"/>
    <mergeCell ref="CM22:CM23"/>
    <mergeCell ref="CM25:CM26"/>
    <mergeCell ref="CM28:CM29"/>
    <mergeCell ref="CM31:CM32"/>
    <mergeCell ref="CM34:CM35"/>
    <mergeCell ref="CN3:CN4"/>
    <mergeCell ref="CN7:CN8"/>
    <mergeCell ref="CN10:CN11"/>
    <mergeCell ref="CN13:CN14"/>
    <mergeCell ref="CN16:CN17"/>
    <mergeCell ref="CN19:CN20"/>
    <mergeCell ref="CN22:CN23"/>
    <mergeCell ref="CN25:CN26"/>
    <mergeCell ref="CN28:CN29"/>
    <mergeCell ref="CN31:CN32"/>
    <mergeCell ref="CN34:CN35"/>
    <mergeCell ref="CO3:CO4"/>
    <mergeCell ref="CO7:CO8"/>
    <mergeCell ref="CO10:CO11"/>
    <mergeCell ref="CO13:CO14"/>
    <mergeCell ref="CO16:CO17"/>
    <mergeCell ref="CO19:CO20"/>
    <mergeCell ref="CO22:CO23"/>
    <mergeCell ref="CO25:CO26"/>
    <mergeCell ref="CO28:CO29"/>
    <mergeCell ref="CO31:CO32"/>
    <mergeCell ref="CO34:CO35"/>
    <mergeCell ref="CP3:CP4"/>
    <mergeCell ref="CP7:CP8"/>
    <mergeCell ref="CP10:CP11"/>
    <mergeCell ref="CP13:CP14"/>
    <mergeCell ref="CP16:CP17"/>
    <mergeCell ref="CP19:CP20"/>
    <mergeCell ref="CP22:CP23"/>
    <mergeCell ref="CP25:CP26"/>
    <mergeCell ref="CP28:CP29"/>
    <mergeCell ref="CP31:CP32"/>
    <mergeCell ref="CP34:CP35"/>
    <mergeCell ref="CQ3:CQ4"/>
    <mergeCell ref="CQ7:CQ8"/>
    <mergeCell ref="CQ10:CQ11"/>
    <mergeCell ref="CQ13:CQ14"/>
    <mergeCell ref="CQ16:CQ17"/>
    <mergeCell ref="CQ19:CQ20"/>
    <mergeCell ref="CQ22:CQ23"/>
    <mergeCell ref="CQ25:CQ26"/>
    <mergeCell ref="CQ28:CQ29"/>
    <mergeCell ref="CQ31:CQ32"/>
    <mergeCell ref="CQ34:CQ35"/>
    <mergeCell ref="CR3:CR4"/>
    <mergeCell ref="CR7:CR8"/>
    <mergeCell ref="CR10:CR11"/>
    <mergeCell ref="CR13:CR14"/>
    <mergeCell ref="CR16:CR17"/>
    <mergeCell ref="CR19:CR20"/>
    <mergeCell ref="CR22:CR23"/>
    <mergeCell ref="CR25:CR26"/>
    <mergeCell ref="CR28:CR29"/>
    <mergeCell ref="CR31:CR32"/>
    <mergeCell ref="CR34:CR35"/>
    <mergeCell ref="CS3:CS4"/>
    <mergeCell ref="CS7:CS8"/>
    <mergeCell ref="CS10:CS11"/>
    <mergeCell ref="CS13:CS14"/>
    <mergeCell ref="CS16:CS17"/>
    <mergeCell ref="CS19:CS20"/>
    <mergeCell ref="CS22:CS23"/>
    <mergeCell ref="CS25:CS26"/>
    <mergeCell ref="CS28:CS29"/>
    <mergeCell ref="CS31:CS32"/>
    <mergeCell ref="CS34:CS35"/>
    <mergeCell ref="CT3:CT4"/>
    <mergeCell ref="CT7:CT8"/>
    <mergeCell ref="CT10:CT11"/>
    <mergeCell ref="CT13:CT14"/>
    <mergeCell ref="CT16:CT17"/>
    <mergeCell ref="CT19:CT20"/>
    <mergeCell ref="CT22:CT23"/>
    <mergeCell ref="CT25:CT26"/>
    <mergeCell ref="CT28:CT29"/>
    <mergeCell ref="CT31:CT32"/>
    <mergeCell ref="CT34:CT35"/>
    <mergeCell ref="CU3:CU4"/>
    <mergeCell ref="CU7:CU8"/>
    <mergeCell ref="CU10:CU11"/>
    <mergeCell ref="CU13:CU14"/>
    <mergeCell ref="CU16:CU17"/>
    <mergeCell ref="CU19:CU20"/>
    <mergeCell ref="CU22:CU23"/>
    <mergeCell ref="CU25:CU26"/>
    <mergeCell ref="CU28:CU29"/>
    <mergeCell ref="CU31:CU32"/>
    <mergeCell ref="CU34:CU35"/>
    <mergeCell ref="CV3:CV4"/>
    <mergeCell ref="CV7:CV8"/>
    <mergeCell ref="CV10:CV11"/>
    <mergeCell ref="CV13:CV14"/>
    <mergeCell ref="CV16:CV17"/>
    <mergeCell ref="CV19:CV20"/>
    <mergeCell ref="CV22:CV23"/>
    <mergeCell ref="CV25:CV26"/>
    <mergeCell ref="CV28:CV29"/>
    <mergeCell ref="CV31:CV32"/>
    <mergeCell ref="CV34:CV35"/>
    <mergeCell ref="CW3:CW4"/>
    <mergeCell ref="CW7:CW8"/>
    <mergeCell ref="CW10:CW11"/>
    <mergeCell ref="CW13:CW14"/>
    <mergeCell ref="CW16:CW17"/>
    <mergeCell ref="CW19:CW20"/>
    <mergeCell ref="CW22:CW23"/>
    <mergeCell ref="CW25:CW26"/>
    <mergeCell ref="CW28:CW29"/>
    <mergeCell ref="CW31:CW32"/>
    <mergeCell ref="CW34:CW35"/>
    <mergeCell ref="CX3:CX4"/>
    <mergeCell ref="CX7:CX8"/>
    <mergeCell ref="CX10:CX11"/>
    <mergeCell ref="CX13:CX14"/>
    <mergeCell ref="CX16:CX17"/>
    <mergeCell ref="CX19:CX20"/>
    <mergeCell ref="CX22:CX23"/>
    <mergeCell ref="CX25:CX26"/>
    <mergeCell ref="CX28:CX29"/>
    <mergeCell ref="CX31:CX32"/>
    <mergeCell ref="CX34:CX35"/>
    <mergeCell ref="CY3:CY4"/>
    <mergeCell ref="CY7:CY8"/>
    <mergeCell ref="CY10:CY11"/>
    <mergeCell ref="CY13:CY14"/>
    <mergeCell ref="CY16:CY17"/>
    <mergeCell ref="CY19:CY20"/>
    <mergeCell ref="CY22:CY23"/>
    <mergeCell ref="CY25:CY26"/>
    <mergeCell ref="CY28:CY29"/>
    <mergeCell ref="CY31:CY32"/>
    <mergeCell ref="CY34:CY35"/>
    <mergeCell ref="CZ3:CZ4"/>
    <mergeCell ref="CZ7:CZ8"/>
    <mergeCell ref="CZ10:CZ11"/>
    <mergeCell ref="CZ13:CZ14"/>
    <mergeCell ref="CZ16:CZ17"/>
    <mergeCell ref="CZ19:CZ20"/>
    <mergeCell ref="CZ22:CZ23"/>
    <mergeCell ref="CZ25:CZ26"/>
    <mergeCell ref="CZ28:CZ29"/>
    <mergeCell ref="CZ31:CZ32"/>
    <mergeCell ref="CZ34:CZ35"/>
    <mergeCell ref="DA3:DA4"/>
    <mergeCell ref="DA7:DA8"/>
    <mergeCell ref="DA10:DA11"/>
    <mergeCell ref="DA13:DA14"/>
    <mergeCell ref="DA16:DA17"/>
    <mergeCell ref="DA19:DA20"/>
    <mergeCell ref="DA22:DA23"/>
    <mergeCell ref="DA25:DA26"/>
    <mergeCell ref="DA28:DA29"/>
    <mergeCell ref="DA31:DA32"/>
    <mergeCell ref="DA34:DA35"/>
    <mergeCell ref="DB3:DB4"/>
    <mergeCell ref="DB7:DB8"/>
    <mergeCell ref="DB10:DB11"/>
    <mergeCell ref="DB13:DB14"/>
    <mergeCell ref="DB16:DB17"/>
    <mergeCell ref="DB19:DB20"/>
    <mergeCell ref="DB22:DB23"/>
    <mergeCell ref="DB25:DB26"/>
    <mergeCell ref="DB28:DB29"/>
    <mergeCell ref="DB31:DB32"/>
    <mergeCell ref="DB34:DB35"/>
    <mergeCell ref="DC3:DC4"/>
    <mergeCell ref="DC7:DC8"/>
    <mergeCell ref="DC10:DC11"/>
    <mergeCell ref="DC13:DC14"/>
    <mergeCell ref="DC16:DC17"/>
    <mergeCell ref="DC19:DC20"/>
    <mergeCell ref="DC22:DC23"/>
    <mergeCell ref="DC25:DC26"/>
    <mergeCell ref="DC28:DC29"/>
    <mergeCell ref="DC31:DC32"/>
    <mergeCell ref="DC34:DC35"/>
    <mergeCell ref="DD3:DD4"/>
    <mergeCell ref="DD7:DD8"/>
    <mergeCell ref="DD10:DD11"/>
    <mergeCell ref="DD13:DD14"/>
    <mergeCell ref="DD16:DD17"/>
    <mergeCell ref="DD19:DD20"/>
    <mergeCell ref="DD22:DD23"/>
    <mergeCell ref="DD25:DD26"/>
    <mergeCell ref="DD28:DD29"/>
    <mergeCell ref="DD31:DD32"/>
    <mergeCell ref="DD34:DD35"/>
    <mergeCell ref="DE3:DE4"/>
    <mergeCell ref="DE7:DE8"/>
    <mergeCell ref="DE10:DE11"/>
    <mergeCell ref="DE13:DE14"/>
    <mergeCell ref="DE16:DE17"/>
    <mergeCell ref="DE19:DE20"/>
    <mergeCell ref="DE22:DE23"/>
    <mergeCell ref="DE25:DE26"/>
    <mergeCell ref="DE28:DE29"/>
    <mergeCell ref="DE31:DE32"/>
    <mergeCell ref="DE34:DE35"/>
    <mergeCell ref="DF3:DF4"/>
    <mergeCell ref="DF7:DF8"/>
    <mergeCell ref="DF10:DF11"/>
    <mergeCell ref="DF13:DF14"/>
    <mergeCell ref="DF16:DF17"/>
    <mergeCell ref="DF19:DF20"/>
    <mergeCell ref="DF22:DF23"/>
    <mergeCell ref="DF25:DF26"/>
    <mergeCell ref="DF28:DF29"/>
    <mergeCell ref="DF31:DF32"/>
    <mergeCell ref="DF34:DF35"/>
    <mergeCell ref="DG3:DG4"/>
    <mergeCell ref="DG7:DG8"/>
    <mergeCell ref="DG10:DG11"/>
    <mergeCell ref="DG13:DG14"/>
    <mergeCell ref="DG16:DG17"/>
    <mergeCell ref="DG19:DG20"/>
    <mergeCell ref="DG22:DG23"/>
    <mergeCell ref="DG25:DG26"/>
    <mergeCell ref="DG28:DG29"/>
    <mergeCell ref="DG31:DG32"/>
    <mergeCell ref="DG34:DG35"/>
    <mergeCell ref="DH3:DH4"/>
    <mergeCell ref="DH7:DH8"/>
    <mergeCell ref="DH10:DH11"/>
    <mergeCell ref="DH13:DH14"/>
    <mergeCell ref="DH16:DH17"/>
    <mergeCell ref="DH19:DH20"/>
    <mergeCell ref="DH22:DH23"/>
    <mergeCell ref="DH25:DH26"/>
    <mergeCell ref="DH28:DH29"/>
    <mergeCell ref="DH31:DH32"/>
    <mergeCell ref="DH34:DH35"/>
    <mergeCell ref="DI3:DI4"/>
    <mergeCell ref="DI7:DI8"/>
    <mergeCell ref="DI10:DI11"/>
    <mergeCell ref="DI13:DI14"/>
    <mergeCell ref="DI16:DI17"/>
    <mergeCell ref="DI19:DI20"/>
    <mergeCell ref="DI22:DI23"/>
    <mergeCell ref="DI25:DI26"/>
    <mergeCell ref="DI28:DI29"/>
    <mergeCell ref="DI31:DI32"/>
    <mergeCell ref="DI34:DI35"/>
    <mergeCell ref="DJ3:DJ4"/>
    <mergeCell ref="DJ7:DJ8"/>
    <mergeCell ref="DJ10:DJ11"/>
    <mergeCell ref="DJ13:DJ14"/>
    <mergeCell ref="DJ16:DJ17"/>
    <mergeCell ref="DJ19:DJ20"/>
    <mergeCell ref="DJ22:DJ23"/>
    <mergeCell ref="DJ25:DJ26"/>
    <mergeCell ref="DJ28:DJ29"/>
    <mergeCell ref="DJ31:DJ32"/>
    <mergeCell ref="DJ34:DJ35"/>
    <mergeCell ref="DK3:DK4"/>
    <mergeCell ref="DK7:DK8"/>
    <mergeCell ref="DK10:DK11"/>
    <mergeCell ref="DK13:DK14"/>
    <mergeCell ref="DK16:DK17"/>
    <mergeCell ref="DK19:DK20"/>
    <mergeCell ref="DK22:DK23"/>
    <mergeCell ref="DK25:DK26"/>
    <mergeCell ref="DK28:DK29"/>
    <mergeCell ref="DK31:DK32"/>
    <mergeCell ref="DK34:DK35"/>
    <mergeCell ref="DL3:DL4"/>
    <mergeCell ref="DL7:DL8"/>
    <mergeCell ref="DL10:DL11"/>
    <mergeCell ref="DL13:DL14"/>
    <mergeCell ref="DL16:DL17"/>
    <mergeCell ref="DL19:DL20"/>
    <mergeCell ref="DL22:DL23"/>
    <mergeCell ref="DL25:DL26"/>
    <mergeCell ref="DL28:DL29"/>
    <mergeCell ref="DL31:DL32"/>
    <mergeCell ref="DL34:DL35"/>
    <mergeCell ref="DM3:DM4"/>
    <mergeCell ref="DM7:DM8"/>
    <mergeCell ref="DM10:DM11"/>
    <mergeCell ref="DM13:DM14"/>
    <mergeCell ref="DM16:DM17"/>
    <mergeCell ref="DM19:DM20"/>
    <mergeCell ref="DM22:DM23"/>
    <mergeCell ref="DM25:DM26"/>
    <mergeCell ref="DM28:DM29"/>
    <mergeCell ref="DM31:DM32"/>
    <mergeCell ref="DM34:DM35"/>
    <mergeCell ref="DN3:DN4"/>
    <mergeCell ref="DN7:DN8"/>
    <mergeCell ref="DN10:DN11"/>
    <mergeCell ref="DN13:DN14"/>
    <mergeCell ref="DN16:DN17"/>
    <mergeCell ref="DN19:DN20"/>
    <mergeCell ref="DN22:DN23"/>
    <mergeCell ref="DN25:DN26"/>
    <mergeCell ref="DN28:DN29"/>
    <mergeCell ref="DN31:DN32"/>
    <mergeCell ref="DN34:DN35"/>
    <mergeCell ref="DO3:DO4"/>
    <mergeCell ref="DO7:DO8"/>
    <mergeCell ref="DO10:DO11"/>
    <mergeCell ref="DO13:DO14"/>
    <mergeCell ref="DO16:DO17"/>
    <mergeCell ref="DO19:DO20"/>
    <mergeCell ref="DO22:DO23"/>
    <mergeCell ref="DO25:DO26"/>
    <mergeCell ref="DO28:DO29"/>
    <mergeCell ref="DO31:DO32"/>
    <mergeCell ref="DO34:DO35"/>
    <mergeCell ref="DP3:DP4"/>
    <mergeCell ref="DP7:DP8"/>
    <mergeCell ref="DP10:DP11"/>
    <mergeCell ref="DP13:DP14"/>
    <mergeCell ref="DP16:DP17"/>
    <mergeCell ref="DP19:DP20"/>
    <mergeCell ref="DP22:DP23"/>
    <mergeCell ref="DP25:DP26"/>
    <mergeCell ref="DP28:DP29"/>
    <mergeCell ref="DP31:DP32"/>
    <mergeCell ref="DP34:DP35"/>
    <mergeCell ref="DQ3:DQ4"/>
    <mergeCell ref="DQ7:DQ8"/>
    <mergeCell ref="DQ10:DQ11"/>
    <mergeCell ref="DQ13:DQ14"/>
    <mergeCell ref="DQ16:DQ17"/>
    <mergeCell ref="DQ19:DQ20"/>
    <mergeCell ref="DQ22:DQ23"/>
    <mergeCell ref="DQ25:DQ26"/>
    <mergeCell ref="DQ28:DQ29"/>
    <mergeCell ref="DQ31:DQ32"/>
    <mergeCell ref="DQ34:DQ35"/>
    <mergeCell ref="DR3:DR4"/>
    <mergeCell ref="DR7:DR8"/>
    <mergeCell ref="DR10:DR11"/>
    <mergeCell ref="DR13:DR14"/>
    <mergeCell ref="DR16:DR17"/>
    <mergeCell ref="DR19:DR20"/>
    <mergeCell ref="DR22:DR23"/>
    <mergeCell ref="DR25:DR26"/>
    <mergeCell ref="DR28:DR29"/>
    <mergeCell ref="DR31:DR32"/>
    <mergeCell ref="DR34:DR35"/>
    <mergeCell ref="DS3:DS4"/>
    <mergeCell ref="DS7:DS8"/>
    <mergeCell ref="DS10:DS11"/>
    <mergeCell ref="DS13:DS14"/>
    <mergeCell ref="DS16:DS17"/>
    <mergeCell ref="DS19:DS20"/>
    <mergeCell ref="DS22:DS23"/>
    <mergeCell ref="DS25:DS26"/>
    <mergeCell ref="DS28:DS29"/>
    <mergeCell ref="DS31:DS32"/>
    <mergeCell ref="DS34:DS35"/>
    <mergeCell ref="DT3:DT4"/>
    <mergeCell ref="DT7:DT8"/>
    <mergeCell ref="DT10:DT11"/>
    <mergeCell ref="DT13:DT14"/>
    <mergeCell ref="DT16:DT17"/>
    <mergeCell ref="DT19:DT20"/>
    <mergeCell ref="DT22:DT23"/>
    <mergeCell ref="DT25:DT26"/>
    <mergeCell ref="DT28:DT29"/>
    <mergeCell ref="DT31:DT32"/>
    <mergeCell ref="DT34:DT35"/>
    <mergeCell ref="DU3:DU4"/>
    <mergeCell ref="DU7:DU8"/>
    <mergeCell ref="DU10:DU11"/>
    <mergeCell ref="DU13:DU14"/>
    <mergeCell ref="DU16:DU17"/>
    <mergeCell ref="DU19:DU20"/>
    <mergeCell ref="DU22:DU23"/>
    <mergeCell ref="DU25:DU26"/>
    <mergeCell ref="DU28:DU29"/>
    <mergeCell ref="DU31:DU32"/>
    <mergeCell ref="DU34:DU35"/>
    <mergeCell ref="DV3:DV4"/>
    <mergeCell ref="DV7:DV8"/>
    <mergeCell ref="DV10:DV11"/>
    <mergeCell ref="DV13:DV14"/>
    <mergeCell ref="DV16:DV17"/>
    <mergeCell ref="DV19:DV20"/>
    <mergeCell ref="DV22:DV23"/>
    <mergeCell ref="DV25:DV26"/>
    <mergeCell ref="DV28:DV29"/>
    <mergeCell ref="DV31:DV32"/>
    <mergeCell ref="DV34:DV35"/>
    <mergeCell ref="DW3:DW4"/>
    <mergeCell ref="DW7:DW8"/>
    <mergeCell ref="DW10:DW11"/>
    <mergeCell ref="DW13:DW14"/>
    <mergeCell ref="DW16:DW17"/>
    <mergeCell ref="DW19:DW20"/>
    <mergeCell ref="DW22:DW23"/>
    <mergeCell ref="DW25:DW26"/>
    <mergeCell ref="DW28:DW29"/>
    <mergeCell ref="DW31:DW32"/>
    <mergeCell ref="DW34:DW35"/>
    <mergeCell ref="DX3:DX4"/>
    <mergeCell ref="DX7:DX8"/>
    <mergeCell ref="DX10:DX11"/>
    <mergeCell ref="DX13:DX14"/>
    <mergeCell ref="DX16:DX17"/>
    <mergeCell ref="DX19:DX20"/>
    <mergeCell ref="DX22:DX23"/>
    <mergeCell ref="DX25:DX26"/>
    <mergeCell ref="DX28:DX29"/>
    <mergeCell ref="DX31:DX32"/>
    <mergeCell ref="DX34:DX35"/>
    <mergeCell ref="DY3:DY4"/>
    <mergeCell ref="DY7:DY8"/>
    <mergeCell ref="DY10:DY11"/>
    <mergeCell ref="DY13:DY14"/>
    <mergeCell ref="DY16:DY17"/>
    <mergeCell ref="DY19:DY20"/>
    <mergeCell ref="DY22:DY23"/>
    <mergeCell ref="DY25:DY26"/>
    <mergeCell ref="DY28:DY29"/>
    <mergeCell ref="DY31:DY32"/>
    <mergeCell ref="DY34:DY35"/>
    <mergeCell ref="DZ3:DZ4"/>
    <mergeCell ref="DZ7:DZ8"/>
    <mergeCell ref="DZ10:DZ11"/>
    <mergeCell ref="DZ13:DZ14"/>
    <mergeCell ref="DZ16:DZ17"/>
    <mergeCell ref="DZ19:DZ20"/>
    <mergeCell ref="DZ22:DZ23"/>
    <mergeCell ref="DZ25:DZ26"/>
    <mergeCell ref="DZ28:DZ29"/>
    <mergeCell ref="DZ31:DZ32"/>
    <mergeCell ref="DZ34:DZ35"/>
    <mergeCell ref="EA3:EA4"/>
    <mergeCell ref="EA7:EA8"/>
    <mergeCell ref="EA10:EA11"/>
    <mergeCell ref="EA13:EA14"/>
    <mergeCell ref="EA16:EA17"/>
    <mergeCell ref="EA19:EA20"/>
    <mergeCell ref="EA22:EA23"/>
    <mergeCell ref="EA25:EA26"/>
    <mergeCell ref="EA28:EA29"/>
    <mergeCell ref="EA31:EA32"/>
    <mergeCell ref="EA34:EA35"/>
    <mergeCell ref="EB3:EB4"/>
    <mergeCell ref="EB7:EB8"/>
    <mergeCell ref="EB10:EB11"/>
    <mergeCell ref="EB13:EB14"/>
    <mergeCell ref="EB16:EB17"/>
    <mergeCell ref="EB19:EB20"/>
    <mergeCell ref="EB22:EB23"/>
    <mergeCell ref="EB25:EB26"/>
    <mergeCell ref="EB28:EB29"/>
    <mergeCell ref="EB31:EB32"/>
    <mergeCell ref="EB34:EB35"/>
    <mergeCell ref="EC3:EC4"/>
    <mergeCell ref="EC7:EC8"/>
    <mergeCell ref="EC10:EC11"/>
    <mergeCell ref="EC13:EC14"/>
    <mergeCell ref="EC16:EC17"/>
    <mergeCell ref="EC19:EC20"/>
    <mergeCell ref="EC22:EC23"/>
    <mergeCell ref="EC25:EC26"/>
    <mergeCell ref="EC28:EC29"/>
    <mergeCell ref="EC31:EC32"/>
    <mergeCell ref="EC34:EC35"/>
    <mergeCell ref="ED3:ED4"/>
    <mergeCell ref="ED7:ED8"/>
    <mergeCell ref="ED10:ED11"/>
    <mergeCell ref="ED13:ED14"/>
    <mergeCell ref="ED16:ED17"/>
    <mergeCell ref="ED19:ED20"/>
    <mergeCell ref="ED22:ED23"/>
    <mergeCell ref="ED25:ED26"/>
    <mergeCell ref="ED28:ED29"/>
    <mergeCell ref="ED31:ED32"/>
    <mergeCell ref="ED34:ED35"/>
    <mergeCell ref="EE3:EE4"/>
    <mergeCell ref="EE7:EE8"/>
    <mergeCell ref="EE10:EE11"/>
    <mergeCell ref="EE13:EE14"/>
    <mergeCell ref="EE16:EE17"/>
    <mergeCell ref="EE19:EE20"/>
    <mergeCell ref="EE22:EE23"/>
    <mergeCell ref="EE25:EE26"/>
    <mergeCell ref="EE28:EE29"/>
    <mergeCell ref="EE31:EE32"/>
    <mergeCell ref="EE34:EE35"/>
    <mergeCell ref="EF3:EF4"/>
    <mergeCell ref="EF7:EF8"/>
    <mergeCell ref="EF10:EF11"/>
    <mergeCell ref="EF13:EF14"/>
    <mergeCell ref="EF16:EF17"/>
    <mergeCell ref="EF19:EF20"/>
    <mergeCell ref="EF22:EF23"/>
    <mergeCell ref="EF25:EF26"/>
    <mergeCell ref="EF28:EF29"/>
    <mergeCell ref="EF31:EF32"/>
    <mergeCell ref="EF34:EF35"/>
    <mergeCell ref="EG3:EG4"/>
    <mergeCell ref="EG7:EG8"/>
    <mergeCell ref="EG10:EG11"/>
    <mergeCell ref="EG13:EG14"/>
    <mergeCell ref="EG16:EG17"/>
    <mergeCell ref="EG19:EG20"/>
    <mergeCell ref="EG22:EG23"/>
    <mergeCell ref="EG25:EG26"/>
    <mergeCell ref="EG28:EG29"/>
    <mergeCell ref="EG31:EG32"/>
    <mergeCell ref="EG34:EG35"/>
    <mergeCell ref="EH3:EH4"/>
    <mergeCell ref="EH7:EH8"/>
    <mergeCell ref="EH10:EH11"/>
    <mergeCell ref="EH13:EH14"/>
    <mergeCell ref="EH16:EH17"/>
    <mergeCell ref="EH19:EH20"/>
    <mergeCell ref="EH22:EH23"/>
    <mergeCell ref="EH25:EH26"/>
    <mergeCell ref="EH28:EH29"/>
    <mergeCell ref="EH31:EH32"/>
    <mergeCell ref="EH34:EH35"/>
    <mergeCell ref="EI3:EI4"/>
    <mergeCell ref="EI7:EI8"/>
    <mergeCell ref="EI10:EI11"/>
    <mergeCell ref="EI13:EI14"/>
    <mergeCell ref="EI16:EI17"/>
    <mergeCell ref="EI19:EI20"/>
    <mergeCell ref="EI22:EI23"/>
    <mergeCell ref="EI25:EI26"/>
    <mergeCell ref="EI28:EI29"/>
    <mergeCell ref="EI31:EI32"/>
    <mergeCell ref="EI34:EI35"/>
    <mergeCell ref="EJ3:EJ4"/>
    <mergeCell ref="EJ7:EJ8"/>
    <mergeCell ref="EJ10:EJ11"/>
    <mergeCell ref="EJ13:EJ14"/>
    <mergeCell ref="EJ16:EJ17"/>
    <mergeCell ref="EJ19:EJ20"/>
    <mergeCell ref="EJ22:EJ23"/>
    <mergeCell ref="EJ25:EJ26"/>
    <mergeCell ref="EJ28:EJ29"/>
    <mergeCell ref="EJ31:EJ32"/>
    <mergeCell ref="EJ34:EJ35"/>
    <mergeCell ref="EK3:EK4"/>
    <mergeCell ref="EK7:EK8"/>
    <mergeCell ref="EK10:EK11"/>
    <mergeCell ref="EK13:EK14"/>
    <mergeCell ref="EK16:EK17"/>
    <mergeCell ref="EK19:EK20"/>
    <mergeCell ref="EK22:EK23"/>
    <mergeCell ref="EK25:EK26"/>
    <mergeCell ref="EK28:EK29"/>
    <mergeCell ref="EK31:EK32"/>
    <mergeCell ref="EK34:EK35"/>
    <mergeCell ref="EL3:EL4"/>
    <mergeCell ref="EL7:EL8"/>
    <mergeCell ref="EL10:EL11"/>
    <mergeCell ref="EL13:EL14"/>
    <mergeCell ref="EL16:EL17"/>
    <mergeCell ref="EL19:EL20"/>
    <mergeCell ref="EL22:EL23"/>
    <mergeCell ref="EL25:EL26"/>
    <mergeCell ref="EL28:EL29"/>
    <mergeCell ref="EL31:EL32"/>
    <mergeCell ref="EL34:EL35"/>
    <mergeCell ref="EM3:EM4"/>
    <mergeCell ref="EM7:EM8"/>
    <mergeCell ref="EM10:EM11"/>
    <mergeCell ref="EM13:EM14"/>
    <mergeCell ref="EM16:EM17"/>
    <mergeCell ref="EM19:EM20"/>
    <mergeCell ref="EM22:EM23"/>
    <mergeCell ref="EM25:EM26"/>
    <mergeCell ref="EM28:EM29"/>
    <mergeCell ref="EM31:EM32"/>
    <mergeCell ref="EM34:EM35"/>
    <mergeCell ref="EN3:EN4"/>
    <mergeCell ref="EN7:EN8"/>
    <mergeCell ref="EN10:EN11"/>
    <mergeCell ref="EN13:EN14"/>
    <mergeCell ref="EN16:EN17"/>
    <mergeCell ref="EN19:EN20"/>
    <mergeCell ref="EN22:EN23"/>
    <mergeCell ref="EN25:EN26"/>
    <mergeCell ref="EN28:EN29"/>
    <mergeCell ref="EN31:EN32"/>
    <mergeCell ref="EN34:EN35"/>
    <mergeCell ref="EO3:EO4"/>
    <mergeCell ref="EO7:EO8"/>
    <mergeCell ref="EO10:EO11"/>
    <mergeCell ref="EO13:EO14"/>
    <mergeCell ref="EO16:EO17"/>
    <mergeCell ref="EO19:EO20"/>
    <mergeCell ref="EO22:EO23"/>
    <mergeCell ref="EO25:EO26"/>
    <mergeCell ref="EO28:EO29"/>
    <mergeCell ref="EO31:EO32"/>
    <mergeCell ref="EO34:EO35"/>
    <mergeCell ref="EP3:EP4"/>
    <mergeCell ref="EP7:EP8"/>
    <mergeCell ref="EP10:EP11"/>
    <mergeCell ref="EP13:EP14"/>
    <mergeCell ref="EP16:EP17"/>
    <mergeCell ref="EP19:EP20"/>
    <mergeCell ref="EP22:EP23"/>
    <mergeCell ref="EP25:EP26"/>
    <mergeCell ref="EP28:EP29"/>
    <mergeCell ref="EP31:EP32"/>
    <mergeCell ref="EP34:EP35"/>
    <mergeCell ref="EQ3:EQ4"/>
    <mergeCell ref="EQ7:EQ8"/>
    <mergeCell ref="EQ10:EQ11"/>
    <mergeCell ref="EQ13:EQ14"/>
    <mergeCell ref="EQ16:EQ17"/>
    <mergeCell ref="EQ19:EQ20"/>
    <mergeCell ref="EQ22:EQ23"/>
    <mergeCell ref="EQ25:EQ26"/>
    <mergeCell ref="EQ28:EQ29"/>
    <mergeCell ref="EQ31:EQ32"/>
    <mergeCell ref="EQ34:EQ35"/>
    <mergeCell ref="ER3:ER4"/>
    <mergeCell ref="ER7:ER8"/>
    <mergeCell ref="ER10:ER11"/>
    <mergeCell ref="ER13:ER14"/>
    <mergeCell ref="ER16:ER17"/>
    <mergeCell ref="ER19:ER20"/>
    <mergeCell ref="ER22:ER23"/>
    <mergeCell ref="ER25:ER26"/>
    <mergeCell ref="ER28:ER29"/>
    <mergeCell ref="ER31:ER32"/>
    <mergeCell ref="ER34:ER35"/>
    <mergeCell ref="ES3:ES4"/>
    <mergeCell ref="ES7:ES8"/>
    <mergeCell ref="ES10:ES11"/>
    <mergeCell ref="ES13:ES14"/>
    <mergeCell ref="ES16:ES17"/>
    <mergeCell ref="ES19:ES20"/>
    <mergeCell ref="ES22:ES23"/>
    <mergeCell ref="ES25:ES26"/>
    <mergeCell ref="ES28:ES29"/>
    <mergeCell ref="ES31:ES32"/>
    <mergeCell ref="ES34:ES35"/>
    <mergeCell ref="ET3:ET4"/>
    <mergeCell ref="ET7:ET8"/>
    <mergeCell ref="ET10:ET11"/>
    <mergeCell ref="ET13:ET14"/>
    <mergeCell ref="ET16:ET17"/>
    <mergeCell ref="ET19:ET20"/>
    <mergeCell ref="ET22:ET23"/>
    <mergeCell ref="ET25:ET26"/>
    <mergeCell ref="ET28:ET29"/>
    <mergeCell ref="ET31:ET32"/>
    <mergeCell ref="ET34:ET35"/>
    <mergeCell ref="EU3:EU4"/>
    <mergeCell ref="EU7:EU8"/>
    <mergeCell ref="EU10:EU11"/>
    <mergeCell ref="EU13:EU14"/>
    <mergeCell ref="EU16:EU17"/>
    <mergeCell ref="EU19:EU20"/>
    <mergeCell ref="EU22:EU23"/>
    <mergeCell ref="EU25:EU26"/>
    <mergeCell ref="EU28:EU29"/>
    <mergeCell ref="EU31:EU32"/>
    <mergeCell ref="EU34:EU35"/>
    <mergeCell ref="EV3:EV4"/>
    <mergeCell ref="EV7:EV8"/>
    <mergeCell ref="EV10:EV11"/>
    <mergeCell ref="EV13:EV14"/>
    <mergeCell ref="EV16:EV17"/>
    <mergeCell ref="EV19:EV20"/>
    <mergeCell ref="EV22:EV23"/>
    <mergeCell ref="EV25:EV26"/>
    <mergeCell ref="EV28:EV29"/>
    <mergeCell ref="EV31:EV32"/>
    <mergeCell ref="EV34:EV35"/>
    <mergeCell ref="EW3:EW4"/>
    <mergeCell ref="EW7:EW8"/>
    <mergeCell ref="EW10:EW11"/>
    <mergeCell ref="EW13:EW14"/>
    <mergeCell ref="EW16:EW17"/>
    <mergeCell ref="EW19:EW20"/>
    <mergeCell ref="EW22:EW23"/>
    <mergeCell ref="EW25:EW26"/>
    <mergeCell ref="EW28:EW29"/>
    <mergeCell ref="EW31:EW32"/>
    <mergeCell ref="EW34:EW35"/>
    <mergeCell ref="EX3:EX4"/>
    <mergeCell ref="EX7:EX8"/>
    <mergeCell ref="EX10:EX11"/>
    <mergeCell ref="EX13:EX14"/>
    <mergeCell ref="EX16:EX17"/>
    <mergeCell ref="EX19:EX20"/>
    <mergeCell ref="EX22:EX23"/>
    <mergeCell ref="EX25:EX26"/>
    <mergeCell ref="EX28:EX29"/>
    <mergeCell ref="EX31:EX32"/>
    <mergeCell ref="EX34:EX35"/>
    <mergeCell ref="EY3:EY4"/>
    <mergeCell ref="EY7:EY8"/>
    <mergeCell ref="EY10:EY11"/>
    <mergeCell ref="EY13:EY14"/>
    <mergeCell ref="EY16:EY17"/>
    <mergeCell ref="EY19:EY20"/>
    <mergeCell ref="EY22:EY23"/>
    <mergeCell ref="EY25:EY26"/>
    <mergeCell ref="EY28:EY29"/>
    <mergeCell ref="EY31:EY32"/>
    <mergeCell ref="EY34:EY35"/>
    <mergeCell ref="EZ3:EZ4"/>
    <mergeCell ref="EZ7:EZ8"/>
    <mergeCell ref="EZ10:EZ11"/>
    <mergeCell ref="EZ13:EZ14"/>
    <mergeCell ref="EZ16:EZ17"/>
    <mergeCell ref="EZ19:EZ20"/>
    <mergeCell ref="EZ22:EZ23"/>
    <mergeCell ref="EZ25:EZ26"/>
    <mergeCell ref="EZ28:EZ29"/>
    <mergeCell ref="EZ31:EZ32"/>
    <mergeCell ref="EZ34:EZ35"/>
    <mergeCell ref="FA3:FA4"/>
    <mergeCell ref="FA7:FA8"/>
    <mergeCell ref="FA10:FA11"/>
    <mergeCell ref="FA13:FA14"/>
    <mergeCell ref="FA16:FA17"/>
    <mergeCell ref="FA19:FA20"/>
    <mergeCell ref="FA22:FA23"/>
    <mergeCell ref="FA25:FA26"/>
    <mergeCell ref="FA28:FA29"/>
    <mergeCell ref="FA31:FA32"/>
    <mergeCell ref="FA34:FA35"/>
    <mergeCell ref="FB3:FB4"/>
    <mergeCell ref="FB7:FB8"/>
    <mergeCell ref="FB10:FB11"/>
    <mergeCell ref="FB13:FB14"/>
    <mergeCell ref="FB16:FB17"/>
    <mergeCell ref="FB19:FB20"/>
    <mergeCell ref="FB22:FB23"/>
    <mergeCell ref="FB25:FB26"/>
    <mergeCell ref="FB28:FB29"/>
    <mergeCell ref="FB31:FB32"/>
    <mergeCell ref="FB34:FB35"/>
    <mergeCell ref="FC3:FC4"/>
    <mergeCell ref="FC7:FC8"/>
    <mergeCell ref="FC10:FC11"/>
    <mergeCell ref="FC13:FC14"/>
    <mergeCell ref="FC16:FC17"/>
    <mergeCell ref="FC19:FC20"/>
    <mergeCell ref="FC22:FC23"/>
    <mergeCell ref="FC25:FC26"/>
    <mergeCell ref="FC28:FC29"/>
    <mergeCell ref="FC31:FC32"/>
    <mergeCell ref="FC34:FC35"/>
    <mergeCell ref="FD3:FD4"/>
    <mergeCell ref="FD7:FD8"/>
    <mergeCell ref="FD10:FD11"/>
    <mergeCell ref="FD13:FD14"/>
    <mergeCell ref="FD16:FD17"/>
    <mergeCell ref="FD19:FD20"/>
    <mergeCell ref="FD22:FD23"/>
    <mergeCell ref="FD25:FD26"/>
    <mergeCell ref="FD28:FD29"/>
    <mergeCell ref="FD31:FD32"/>
    <mergeCell ref="FD34:FD35"/>
    <mergeCell ref="FE3:FE4"/>
    <mergeCell ref="FE7:FE8"/>
    <mergeCell ref="FE10:FE11"/>
    <mergeCell ref="FE13:FE14"/>
    <mergeCell ref="FE16:FE17"/>
    <mergeCell ref="FE19:FE20"/>
    <mergeCell ref="FE22:FE23"/>
    <mergeCell ref="FE25:FE26"/>
    <mergeCell ref="FE28:FE29"/>
    <mergeCell ref="FE31:FE32"/>
    <mergeCell ref="FE34:FE35"/>
    <mergeCell ref="FF3:FF4"/>
    <mergeCell ref="FF7:FF8"/>
    <mergeCell ref="FF10:FF11"/>
    <mergeCell ref="FF13:FF14"/>
    <mergeCell ref="FF16:FF17"/>
    <mergeCell ref="FF19:FF20"/>
    <mergeCell ref="FF22:FF23"/>
    <mergeCell ref="FF25:FF26"/>
    <mergeCell ref="FF28:FF29"/>
    <mergeCell ref="FF31:FF32"/>
    <mergeCell ref="FF34:FF35"/>
    <mergeCell ref="FG3:FG4"/>
    <mergeCell ref="FG7:FG8"/>
    <mergeCell ref="FG10:FG11"/>
    <mergeCell ref="FG13:FG14"/>
    <mergeCell ref="FG16:FG17"/>
    <mergeCell ref="FG19:FG20"/>
    <mergeCell ref="FG22:FG23"/>
    <mergeCell ref="FG25:FG26"/>
    <mergeCell ref="FG28:FG29"/>
    <mergeCell ref="FG31:FG32"/>
    <mergeCell ref="FG34:FG35"/>
    <mergeCell ref="FH3:FH4"/>
    <mergeCell ref="FH7:FH8"/>
    <mergeCell ref="FH10:FH11"/>
    <mergeCell ref="FH13:FH14"/>
    <mergeCell ref="FH16:FH17"/>
    <mergeCell ref="FH19:FH20"/>
    <mergeCell ref="FH22:FH23"/>
    <mergeCell ref="FH25:FH26"/>
    <mergeCell ref="FH28:FH29"/>
    <mergeCell ref="FH31:FH32"/>
    <mergeCell ref="FH34:FH35"/>
    <mergeCell ref="FI3:FI4"/>
    <mergeCell ref="FI7:FI8"/>
    <mergeCell ref="FI10:FI11"/>
    <mergeCell ref="FI13:FI14"/>
    <mergeCell ref="FI16:FI17"/>
    <mergeCell ref="FI19:FI20"/>
    <mergeCell ref="FI22:FI23"/>
    <mergeCell ref="FI25:FI26"/>
    <mergeCell ref="FI28:FI29"/>
    <mergeCell ref="FI31:FI32"/>
    <mergeCell ref="FI34:FI35"/>
    <mergeCell ref="FJ3:FJ4"/>
    <mergeCell ref="FJ7:FJ8"/>
    <mergeCell ref="FJ10:FJ11"/>
    <mergeCell ref="FJ13:FJ14"/>
    <mergeCell ref="FJ16:FJ17"/>
    <mergeCell ref="FJ19:FJ20"/>
    <mergeCell ref="FJ22:FJ23"/>
    <mergeCell ref="FJ25:FJ26"/>
    <mergeCell ref="FJ28:FJ29"/>
    <mergeCell ref="FJ31:FJ32"/>
    <mergeCell ref="FJ34:FJ35"/>
    <mergeCell ref="FK3:FK4"/>
    <mergeCell ref="FK7:FK8"/>
    <mergeCell ref="FK10:FK11"/>
    <mergeCell ref="FK13:FK14"/>
    <mergeCell ref="FK16:FK17"/>
    <mergeCell ref="FK19:FK20"/>
    <mergeCell ref="FK22:FK23"/>
    <mergeCell ref="FK25:FK26"/>
    <mergeCell ref="FK28:FK29"/>
    <mergeCell ref="FK31:FK32"/>
    <mergeCell ref="FK34:FK35"/>
    <mergeCell ref="FL3:FL4"/>
    <mergeCell ref="FL7:FL8"/>
    <mergeCell ref="FL10:FL11"/>
    <mergeCell ref="FL13:FL14"/>
    <mergeCell ref="FL16:FL17"/>
    <mergeCell ref="FL19:FL20"/>
    <mergeCell ref="FL22:FL23"/>
    <mergeCell ref="FL25:FL26"/>
    <mergeCell ref="FL28:FL29"/>
    <mergeCell ref="FL31:FL32"/>
    <mergeCell ref="FL34:FL35"/>
    <mergeCell ref="FM3:FM4"/>
    <mergeCell ref="FM7:FM8"/>
    <mergeCell ref="FM10:FM11"/>
    <mergeCell ref="FM13:FM14"/>
    <mergeCell ref="FM16:FM17"/>
    <mergeCell ref="FM19:FM20"/>
    <mergeCell ref="FM22:FM23"/>
    <mergeCell ref="FM25:FM26"/>
    <mergeCell ref="FM28:FM29"/>
    <mergeCell ref="FM31:FM32"/>
    <mergeCell ref="FM34:FM35"/>
    <mergeCell ref="FN3:FN4"/>
    <mergeCell ref="FN7:FN8"/>
    <mergeCell ref="FN10:FN11"/>
    <mergeCell ref="FN13:FN14"/>
    <mergeCell ref="FN16:FN17"/>
    <mergeCell ref="FN19:FN20"/>
    <mergeCell ref="FN22:FN23"/>
    <mergeCell ref="FN25:FN26"/>
    <mergeCell ref="FN28:FN29"/>
    <mergeCell ref="FN31:FN32"/>
    <mergeCell ref="FN34:FN35"/>
    <mergeCell ref="FO3:FO4"/>
    <mergeCell ref="FO7:FO8"/>
    <mergeCell ref="FO10:FO11"/>
    <mergeCell ref="FO13:FO14"/>
    <mergeCell ref="FO16:FO17"/>
    <mergeCell ref="FO19:FO20"/>
    <mergeCell ref="FO22:FO23"/>
    <mergeCell ref="FO25:FO26"/>
    <mergeCell ref="FO28:FO29"/>
    <mergeCell ref="FO31:FO32"/>
    <mergeCell ref="FO34:FO35"/>
    <mergeCell ref="FP3:FP4"/>
    <mergeCell ref="FP7:FP8"/>
    <mergeCell ref="FP10:FP11"/>
    <mergeCell ref="FP13:FP14"/>
    <mergeCell ref="FP16:FP17"/>
    <mergeCell ref="FP19:FP20"/>
    <mergeCell ref="FP22:FP23"/>
    <mergeCell ref="FP25:FP26"/>
    <mergeCell ref="FP28:FP29"/>
    <mergeCell ref="FP31:FP32"/>
    <mergeCell ref="FP34:FP35"/>
    <mergeCell ref="FQ3:FQ4"/>
    <mergeCell ref="FQ7:FQ8"/>
    <mergeCell ref="FQ10:FQ11"/>
    <mergeCell ref="FQ13:FQ14"/>
    <mergeCell ref="FQ16:FQ17"/>
    <mergeCell ref="FQ19:FQ20"/>
    <mergeCell ref="FQ22:FQ23"/>
    <mergeCell ref="FQ25:FQ26"/>
    <mergeCell ref="FQ28:FQ29"/>
    <mergeCell ref="FQ31:FQ32"/>
    <mergeCell ref="FQ34:FQ35"/>
    <mergeCell ref="FR3:FR4"/>
    <mergeCell ref="FR7:FR8"/>
    <mergeCell ref="FR10:FR11"/>
    <mergeCell ref="FR13:FR14"/>
    <mergeCell ref="FR16:FR17"/>
    <mergeCell ref="FR19:FR20"/>
    <mergeCell ref="FR22:FR23"/>
    <mergeCell ref="FR25:FR26"/>
    <mergeCell ref="FR28:FR29"/>
    <mergeCell ref="FR31:FR32"/>
    <mergeCell ref="FR34:FR35"/>
    <mergeCell ref="FS3:FS4"/>
    <mergeCell ref="FS7:FS8"/>
    <mergeCell ref="FS10:FS11"/>
    <mergeCell ref="FS13:FS14"/>
    <mergeCell ref="FS16:FS17"/>
    <mergeCell ref="FS19:FS20"/>
    <mergeCell ref="FS22:FS23"/>
    <mergeCell ref="FS25:FS26"/>
    <mergeCell ref="FS28:FS29"/>
    <mergeCell ref="FS31:FS32"/>
    <mergeCell ref="FS34:FS35"/>
    <mergeCell ref="FT3:FT4"/>
    <mergeCell ref="FT7:FT8"/>
    <mergeCell ref="FT10:FT11"/>
    <mergeCell ref="FT13:FT14"/>
    <mergeCell ref="FT16:FT17"/>
    <mergeCell ref="FT19:FT20"/>
    <mergeCell ref="FT22:FT23"/>
    <mergeCell ref="FT25:FT26"/>
    <mergeCell ref="FT28:FT29"/>
    <mergeCell ref="FT31:FT32"/>
    <mergeCell ref="FT34:FT35"/>
    <mergeCell ref="FU3:FU4"/>
    <mergeCell ref="FU7:FU8"/>
    <mergeCell ref="FU10:FU11"/>
    <mergeCell ref="FU13:FU14"/>
    <mergeCell ref="FU16:FU17"/>
    <mergeCell ref="FU19:FU20"/>
    <mergeCell ref="FU22:FU23"/>
    <mergeCell ref="FU25:FU26"/>
    <mergeCell ref="FU28:FU29"/>
    <mergeCell ref="FU31:FU32"/>
    <mergeCell ref="FU34:FU35"/>
    <mergeCell ref="FV3:FV4"/>
    <mergeCell ref="FV7:FV8"/>
    <mergeCell ref="FV10:FV11"/>
    <mergeCell ref="FV13:FV14"/>
    <mergeCell ref="FV16:FV17"/>
    <mergeCell ref="FV19:FV20"/>
    <mergeCell ref="FV22:FV23"/>
    <mergeCell ref="FV25:FV26"/>
    <mergeCell ref="FV28:FV29"/>
    <mergeCell ref="FV31:FV32"/>
    <mergeCell ref="FV34:FV35"/>
    <mergeCell ref="FW3:FW4"/>
    <mergeCell ref="FW7:FW8"/>
    <mergeCell ref="FW10:FW11"/>
    <mergeCell ref="FW13:FW14"/>
    <mergeCell ref="FW16:FW17"/>
    <mergeCell ref="FW19:FW20"/>
    <mergeCell ref="FW22:FW23"/>
    <mergeCell ref="FW25:FW26"/>
    <mergeCell ref="FW28:FW29"/>
    <mergeCell ref="FW31:FW32"/>
    <mergeCell ref="FW34:FW35"/>
    <mergeCell ref="FX3:FX4"/>
    <mergeCell ref="FX7:FX8"/>
    <mergeCell ref="FX10:FX11"/>
    <mergeCell ref="FX13:FX14"/>
    <mergeCell ref="FX16:FX17"/>
    <mergeCell ref="FX19:FX20"/>
    <mergeCell ref="FX22:FX23"/>
    <mergeCell ref="FX25:FX26"/>
    <mergeCell ref="FX28:FX29"/>
    <mergeCell ref="FX31:FX32"/>
    <mergeCell ref="FX34:FX35"/>
    <mergeCell ref="FY3:FY4"/>
    <mergeCell ref="FY7:FY8"/>
    <mergeCell ref="FY10:FY11"/>
    <mergeCell ref="FY13:FY14"/>
    <mergeCell ref="FY16:FY17"/>
    <mergeCell ref="FY19:FY20"/>
    <mergeCell ref="FY22:FY23"/>
    <mergeCell ref="FY25:FY26"/>
    <mergeCell ref="FY28:FY29"/>
    <mergeCell ref="FY31:FY32"/>
    <mergeCell ref="FY34:FY35"/>
    <mergeCell ref="FZ3:FZ4"/>
    <mergeCell ref="FZ7:FZ8"/>
    <mergeCell ref="FZ10:FZ11"/>
    <mergeCell ref="FZ13:FZ14"/>
    <mergeCell ref="FZ16:FZ17"/>
    <mergeCell ref="FZ19:FZ20"/>
    <mergeCell ref="FZ22:FZ23"/>
    <mergeCell ref="FZ25:FZ26"/>
    <mergeCell ref="FZ28:FZ29"/>
    <mergeCell ref="FZ31:FZ32"/>
    <mergeCell ref="FZ34:FZ35"/>
    <mergeCell ref="GA3:GA4"/>
    <mergeCell ref="GA7:GA8"/>
    <mergeCell ref="GA10:GA11"/>
    <mergeCell ref="GA13:GA14"/>
    <mergeCell ref="GA16:GA17"/>
    <mergeCell ref="GA19:GA20"/>
    <mergeCell ref="GA22:GA23"/>
    <mergeCell ref="GA25:GA26"/>
    <mergeCell ref="GA28:GA29"/>
    <mergeCell ref="GA31:GA32"/>
    <mergeCell ref="GA34:GA35"/>
    <mergeCell ref="GB3:GB4"/>
    <mergeCell ref="GB7:GB8"/>
    <mergeCell ref="GB10:GB11"/>
    <mergeCell ref="GB13:GB14"/>
    <mergeCell ref="GB16:GB17"/>
    <mergeCell ref="GB19:GB20"/>
    <mergeCell ref="GB22:GB23"/>
    <mergeCell ref="GB25:GB26"/>
    <mergeCell ref="GB28:GB29"/>
    <mergeCell ref="GB31:GB32"/>
    <mergeCell ref="GB34:GB35"/>
    <mergeCell ref="GC3:GC4"/>
    <mergeCell ref="GC7:GC8"/>
    <mergeCell ref="GC10:GC11"/>
    <mergeCell ref="GC13:GC14"/>
    <mergeCell ref="GC16:GC17"/>
    <mergeCell ref="GC19:GC20"/>
    <mergeCell ref="GC22:GC23"/>
    <mergeCell ref="GC25:GC26"/>
    <mergeCell ref="GC28:GC29"/>
    <mergeCell ref="GC31:GC32"/>
    <mergeCell ref="GC34:GC35"/>
    <mergeCell ref="GD3:GD4"/>
    <mergeCell ref="GD7:GD8"/>
    <mergeCell ref="GD10:GD11"/>
    <mergeCell ref="GD13:GD14"/>
    <mergeCell ref="GD16:GD17"/>
    <mergeCell ref="GD19:GD20"/>
    <mergeCell ref="GD22:GD23"/>
    <mergeCell ref="GD25:GD26"/>
    <mergeCell ref="GD28:GD29"/>
    <mergeCell ref="GD31:GD32"/>
    <mergeCell ref="GD34:GD35"/>
    <mergeCell ref="GE3:GE4"/>
    <mergeCell ref="GE7:GE8"/>
    <mergeCell ref="GE10:GE11"/>
    <mergeCell ref="GE13:GE14"/>
    <mergeCell ref="GE16:GE17"/>
    <mergeCell ref="GE19:GE20"/>
    <mergeCell ref="GE22:GE23"/>
    <mergeCell ref="GE25:GE26"/>
    <mergeCell ref="GE28:GE29"/>
    <mergeCell ref="GE31:GE32"/>
    <mergeCell ref="GE34:GE35"/>
    <mergeCell ref="GF3:GF4"/>
    <mergeCell ref="GF7:GF8"/>
    <mergeCell ref="GF10:GF11"/>
    <mergeCell ref="GF13:GF14"/>
    <mergeCell ref="GF16:GF17"/>
    <mergeCell ref="GF19:GF20"/>
    <mergeCell ref="GF22:GF23"/>
    <mergeCell ref="GF25:GF26"/>
    <mergeCell ref="GF28:GF29"/>
    <mergeCell ref="GF31:GF32"/>
    <mergeCell ref="GF34:GF35"/>
    <mergeCell ref="GG3:GG4"/>
    <mergeCell ref="GG7:GG8"/>
    <mergeCell ref="GG10:GG11"/>
    <mergeCell ref="GG13:GG14"/>
    <mergeCell ref="GG16:GG17"/>
    <mergeCell ref="GG19:GG20"/>
    <mergeCell ref="GG22:GG23"/>
    <mergeCell ref="GG25:GG26"/>
    <mergeCell ref="GG28:GG29"/>
    <mergeCell ref="GG31:GG32"/>
    <mergeCell ref="GG34:GG35"/>
    <mergeCell ref="GH3:GH4"/>
    <mergeCell ref="GH7:GH8"/>
    <mergeCell ref="GH10:GH11"/>
    <mergeCell ref="GH13:GH14"/>
    <mergeCell ref="GH16:GH17"/>
    <mergeCell ref="GH19:GH20"/>
    <mergeCell ref="GH22:GH23"/>
    <mergeCell ref="GH25:GH26"/>
    <mergeCell ref="GH28:GH29"/>
    <mergeCell ref="GH31:GH32"/>
    <mergeCell ref="GH34:GH35"/>
    <mergeCell ref="GI3:GI4"/>
    <mergeCell ref="GI7:GI8"/>
    <mergeCell ref="GI10:GI11"/>
    <mergeCell ref="GI13:GI14"/>
    <mergeCell ref="GI16:GI17"/>
    <mergeCell ref="GI19:GI20"/>
    <mergeCell ref="GI22:GI23"/>
    <mergeCell ref="GI25:GI26"/>
    <mergeCell ref="GI28:GI29"/>
    <mergeCell ref="GI31:GI32"/>
    <mergeCell ref="GI34:GI35"/>
    <mergeCell ref="GJ3:GJ4"/>
    <mergeCell ref="GJ7:GJ8"/>
    <mergeCell ref="GJ10:GJ11"/>
    <mergeCell ref="GJ13:GJ14"/>
    <mergeCell ref="GJ16:GJ17"/>
    <mergeCell ref="GJ19:GJ20"/>
    <mergeCell ref="GJ22:GJ23"/>
    <mergeCell ref="GJ25:GJ26"/>
    <mergeCell ref="GJ28:GJ29"/>
    <mergeCell ref="GJ31:GJ32"/>
    <mergeCell ref="GJ34:GJ35"/>
    <mergeCell ref="GK3:GK4"/>
    <mergeCell ref="GK7:GK8"/>
    <mergeCell ref="GK10:GK11"/>
    <mergeCell ref="GK13:GK14"/>
    <mergeCell ref="GK16:GK17"/>
    <mergeCell ref="GK19:GK20"/>
    <mergeCell ref="GK22:GK23"/>
    <mergeCell ref="GK25:GK26"/>
    <mergeCell ref="GK28:GK29"/>
    <mergeCell ref="GK31:GK32"/>
    <mergeCell ref="GK34:GK35"/>
    <mergeCell ref="GL3:GL4"/>
    <mergeCell ref="GL7:GL8"/>
    <mergeCell ref="GL10:GL11"/>
    <mergeCell ref="GL13:GL14"/>
    <mergeCell ref="GL16:GL17"/>
    <mergeCell ref="GL19:GL20"/>
    <mergeCell ref="GL22:GL23"/>
    <mergeCell ref="GL25:GL26"/>
    <mergeCell ref="GL28:GL29"/>
    <mergeCell ref="GL31:GL32"/>
    <mergeCell ref="GL34:GL35"/>
    <mergeCell ref="GM3:GM4"/>
    <mergeCell ref="GM7:GM8"/>
    <mergeCell ref="GM10:GM11"/>
    <mergeCell ref="GM13:GM14"/>
    <mergeCell ref="GM16:GM17"/>
    <mergeCell ref="GM19:GM20"/>
    <mergeCell ref="GM22:GM23"/>
    <mergeCell ref="GM25:GM26"/>
    <mergeCell ref="GM28:GM29"/>
    <mergeCell ref="GM31:GM32"/>
    <mergeCell ref="GM34:GM35"/>
    <mergeCell ref="GN3:GN4"/>
    <mergeCell ref="GN7:GN8"/>
    <mergeCell ref="GN10:GN11"/>
    <mergeCell ref="GN13:GN14"/>
    <mergeCell ref="GN16:GN17"/>
    <mergeCell ref="GN19:GN20"/>
    <mergeCell ref="GN22:GN23"/>
    <mergeCell ref="GN25:GN26"/>
    <mergeCell ref="GN28:GN29"/>
    <mergeCell ref="GN31:GN32"/>
    <mergeCell ref="GN34:GN35"/>
    <mergeCell ref="GO3:GO4"/>
    <mergeCell ref="GO7:GO8"/>
    <mergeCell ref="GO10:GO11"/>
    <mergeCell ref="GO13:GO14"/>
    <mergeCell ref="GO16:GO17"/>
    <mergeCell ref="GO19:GO20"/>
    <mergeCell ref="GO22:GO23"/>
    <mergeCell ref="GO25:GO26"/>
    <mergeCell ref="GO28:GO29"/>
    <mergeCell ref="GO31:GO32"/>
    <mergeCell ref="GO34:GO35"/>
    <mergeCell ref="GP3:GP4"/>
    <mergeCell ref="GP7:GP8"/>
    <mergeCell ref="GP10:GP11"/>
    <mergeCell ref="GP13:GP14"/>
    <mergeCell ref="GP16:GP17"/>
    <mergeCell ref="GP19:GP20"/>
    <mergeCell ref="GP22:GP23"/>
    <mergeCell ref="GP25:GP26"/>
    <mergeCell ref="GP28:GP29"/>
    <mergeCell ref="GP31:GP32"/>
    <mergeCell ref="GP34:GP35"/>
    <mergeCell ref="GQ3:GQ4"/>
    <mergeCell ref="GQ7:GQ8"/>
    <mergeCell ref="GQ10:GQ11"/>
    <mergeCell ref="GQ13:GQ14"/>
    <mergeCell ref="GQ16:GQ17"/>
    <mergeCell ref="GQ19:GQ20"/>
    <mergeCell ref="GQ22:GQ23"/>
    <mergeCell ref="GQ25:GQ26"/>
    <mergeCell ref="GQ28:GQ29"/>
    <mergeCell ref="GQ31:GQ32"/>
    <mergeCell ref="GQ34:GQ35"/>
    <mergeCell ref="GR3:GR4"/>
    <mergeCell ref="GR7:GR8"/>
    <mergeCell ref="GR10:GR11"/>
    <mergeCell ref="GR13:GR14"/>
    <mergeCell ref="GR16:GR17"/>
    <mergeCell ref="GR19:GR20"/>
    <mergeCell ref="GR22:GR23"/>
    <mergeCell ref="GR25:GR26"/>
    <mergeCell ref="GR28:GR29"/>
    <mergeCell ref="GR31:GR32"/>
    <mergeCell ref="GR34:GR35"/>
    <mergeCell ref="GS3:GS4"/>
    <mergeCell ref="GS7:GS8"/>
    <mergeCell ref="GS10:GS11"/>
    <mergeCell ref="GS13:GS14"/>
    <mergeCell ref="GS16:GS17"/>
    <mergeCell ref="GS19:GS20"/>
    <mergeCell ref="GS22:GS23"/>
    <mergeCell ref="GS25:GS26"/>
    <mergeCell ref="GS28:GS29"/>
    <mergeCell ref="GS31:GS32"/>
    <mergeCell ref="GS34:GS35"/>
    <mergeCell ref="GT3:GT4"/>
    <mergeCell ref="GT7:GT8"/>
    <mergeCell ref="GT10:GT11"/>
    <mergeCell ref="GT13:GT14"/>
    <mergeCell ref="GT16:GT17"/>
    <mergeCell ref="GT19:GT20"/>
    <mergeCell ref="GT22:GT23"/>
    <mergeCell ref="GT25:GT26"/>
    <mergeCell ref="GT28:GT29"/>
    <mergeCell ref="GT31:GT32"/>
    <mergeCell ref="GT34:GT35"/>
    <mergeCell ref="GU3:GU4"/>
    <mergeCell ref="GU7:GU8"/>
    <mergeCell ref="GU10:GU11"/>
    <mergeCell ref="GU13:GU14"/>
    <mergeCell ref="GU16:GU17"/>
    <mergeCell ref="GU19:GU20"/>
    <mergeCell ref="GU22:GU23"/>
    <mergeCell ref="GU25:GU26"/>
    <mergeCell ref="GU28:GU29"/>
    <mergeCell ref="GU31:GU32"/>
    <mergeCell ref="GU34:GU35"/>
    <mergeCell ref="GV3:GV4"/>
    <mergeCell ref="GV7:GV8"/>
    <mergeCell ref="GV10:GV11"/>
    <mergeCell ref="GV13:GV14"/>
    <mergeCell ref="GV16:GV17"/>
    <mergeCell ref="GV19:GV20"/>
    <mergeCell ref="GV22:GV23"/>
    <mergeCell ref="GV25:GV26"/>
    <mergeCell ref="GV28:GV29"/>
    <mergeCell ref="GV31:GV32"/>
    <mergeCell ref="GV34:GV35"/>
    <mergeCell ref="GW3:GW4"/>
    <mergeCell ref="GW7:GW8"/>
    <mergeCell ref="GW10:GW11"/>
    <mergeCell ref="GW13:GW14"/>
    <mergeCell ref="GW16:GW17"/>
    <mergeCell ref="GW19:GW20"/>
    <mergeCell ref="GW22:GW23"/>
    <mergeCell ref="GW25:GW26"/>
    <mergeCell ref="GW28:GW29"/>
    <mergeCell ref="GW31:GW32"/>
    <mergeCell ref="GW34:GW35"/>
    <mergeCell ref="GX3:GX4"/>
    <mergeCell ref="GX7:GX8"/>
    <mergeCell ref="GX10:GX11"/>
    <mergeCell ref="GX13:GX14"/>
    <mergeCell ref="GX16:GX17"/>
    <mergeCell ref="GX19:GX20"/>
    <mergeCell ref="GX22:GX23"/>
    <mergeCell ref="GX25:GX26"/>
    <mergeCell ref="GX28:GX29"/>
    <mergeCell ref="GX31:GX32"/>
    <mergeCell ref="GX34:GX35"/>
    <mergeCell ref="GY3:GY4"/>
    <mergeCell ref="GY7:GY8"/>
    <mergeCell ref="GY10:GY11"/>
    <mergeCell ref="GY13:GY14"/>
    <mergeCell ref="GY16:GY17"/>
    <mergeCell ref="GY19:GY20"/>
    <mergeCell ref="GY22:GY23"/>
    <mergeCell ref="GY25:GY26"/>
    <mergeCell ref="GY28:GY29"/>
    <mergeCell ref="GY31:GY32"/>
    <mergeCell ref="GY34:GY35"/>
    <mergeCell ref="GZ3:GZ4"/>
    <mergeCell ref="GZ7:GZ8"/>
    <mergeCell ref="GZ10:GZ11"/>
    <mergeCell ref="GZ13:GZ14"/>
    <mergeCell ref="GZ16:GZ17"/>
    <mergeCell ref="GZ19:GZ20"/>
    <mergeCell ref="GZ22:GZ23"/>
    <mergeCell ref="GZ25:GZ26"/>
    <mergeCell ref="GZ28:GZ29"/>
    <mergeCell ref="GZ31:GZ32"/>
    <mergeCell ref="GZ34:GZ35"/>
    <mergeCell ref="HA3:HA4"/>
    <mergeCell ref="HA7:HA8"/>
    <mergeCell ref="HA10:HA11"/>
    <mergeCell ref="HA13:HA14"/>
    <mergeCell ref="HA16:HA17"/>
    <mergeCell ref="HA19:HA20"/>
    <mergeCell ref="HA22:HA23"/>
    <mergeCell ref="HA25:HA26"/>
    <mergeCell ref="HA28:HA29"/>
    <mergeCell ref="HA31:HA32"/>
    <mergeCell ref="HA34:HA35"/>
    <mergeCell ref="HB3:HB4"/>
    <mergeCell ref="HB7:HB8"/>
    <mergeCell ref="HB10:HB11"/>
    <mergeCell ref="HB13:HB14"/>
    <mergeCell ref="HB16:HB17"/>
    <mergeCell ref="HB19:HB20"/>
    <mergeCell ref="HB22:HB23"/>
    <mergeCell ref="HB25:HB26"/>
    <mergeCell ref="HB28:HB29"/>
    <mergeCell ref="HB31:HB32"/>
    <mergeCell ref="HB34:HB35"/>
    <mergeCell ref="HC3:HC4"/>
    <mergeCell ref="HC7:HC8"/>
    <mergeCell ref="HC10:HC11"/>
    <mergeCell ref="HC13:HC14"/>
    <mergeCell ref="HC16:HC17"/>
    <mergeCell ref="HC19:HC20"/>
    <mergeCell ref="HC22:HC23"/>
    <mergeCell ref="HC25:HC26"/>
    <mergeCell ref="HC28:HC29"/>
    <mergeCell ref="HC31:HC32"/>
    <mergeCell ref="HC34:HC35"/>
    <mergeCell ref="HD3:HD4"/>
    <mergeCell ref="HD7:HD8"/>
    <mergeCell ref="HD10:HD11"/>
    <mergeCell ref="HD13:HD14"/>
    <mergeCell ref="HD16:HD17"/>
    <mergeCell ref="HD19:HD20"/>
    <mergeCell ref="HD22:HD23"/>
    <mergeCell ref="HD25:HD26"/>
    <mergeCell ref="HD28:HD29"/>
    <mergeCell ref="HD31:HD32"/>
    <mergeCell ref="HD34:HD35"/>
    <mergeCell ref="HE3:HE4"/>
    <mergeCell ref="HE7:HE8"/>
    <mergeCell ref="HE10:HE11"/>
    <mergeCell ref="HE13:HE14"/>
    <mergeCell ref="HE16:HE17"/>
    <mergeCell ref="HE19:HE20"/>
    <mergeCell ref="HE22:HE23"/>
    <mergeCell ref="HE25:HE26"/>
    <mergeCell ref="HE28:HE29"/>
    <mergeCell ref="HE31:HE32"/>
    <mergeCell ref="HE34:HE35"/>
    <mergeCell ref="HF3:HF4"/>
    <mergeCell ref="HF7:HF8"/>
    <mergeCell ref="HF10:HF11"/>
    <mergeCell ref="HF13:HF14"/>
    <mergeCell ref="HF16:HF17"/>
    <mergeCell ref="HF19:HF20"/>
    <mergeCell ref="HF22:HF23"/>
    <mergeCell ref="HF25:HF26"/>
    <mergeCell ref="HF28:HF29"/>
    <mergeCell ref="HF31:HF32"/>
    <mergeCell ref="HF34:HF35"/>
    <mergeCell ref="HG3:HG4"/>
    <mergeCell ref="HG7:HG8"/>
    <mergeCell ref="HG10:HG11"/>
    <mergeCell ref="HG13:HG14"/>
    <mergeCell ref="HG16:HG17"/>
    <mergeCell ref="HG19:HG20"/>
    <mergeCell ref="HG22:HG23"/>
    <mergeCell ref="HG25:HG26"/>
    <mergeCell ref="HG28:HG29"/>
    <mergeCell ref="HG31:HG32"/>
    <mergeCell ref="HG34:HG35"/>
    <mergeCell ref="HH3:HH4"/>
    <mergeCell ref="HH7:HH8"/>
    <mergeCell ref="HH10:HH11"/>
    <mergeCell ref="HH13:HH14"/>
    <mergeCell ref="HH16:HH17"/>
    <mergeCell ref="HH19:HH20"/>
    <mergeCell ref="HH22:HH23"/>
    <mergeCell ref="HH25:HH26"/>
    <mergeCell ref="HH28:HH29"/>
    <mergeCell ref="HH31:HH32"/>
    <mergeCell ref="HH34:HH35"/>
    <mergeCell ref="HI3:HI4"/>
    <mergeCell ref="HI7:HI8"/>
    <mergeCell ref="HI10:HI11"/>
    <mergeCell ref="HI13:HI14"/>
    <mergeCell ref="HI16:HI17"/>
    <mergeCell ref="HI19:HI20"/>
    <mergeCell ref="HI22:HI23"/>
    <mergeCell ref="HI25:HI26"/>
    <mergeCell ref="HI28:HI29"/>
    <mergeCell ref="HI31:HI32"/>
    <mergeCell ref="HI34:HI35"/>
    <mergeCell ref="HJ3:HJ4"/>
    <mergeCell ref="HJ7:HJ8"/>
    <mergeCell ref="HJ10:HJ11"/>
    <mergeCell ref="HJ13:HJ14"/>
    <mergeCell ref="HJ16:HJ17"/>
    <mergeCell ref="HJ19:HJ20"/>
    <mergeCell ref="HJ22:HJ23"/>
    <mergeCell ref="HJ25:HJ26"/>
    <mergeCell ref="HJ28:HJ29"/>
    <mergeCell ref="HJ31:HJ32"/>
    <mergeCell ref="HJ34:HJ35"/>
    <mergeCell ref="HK3:HK4"/>
    <mergeCell ref="HK7:HK8"/>
    <mergeCell ref="HK10:HK11"/>
    <mergeCell ref="HK13:HK14"/>
    <mergeCell ref="HK16:HK17"/>
    <mergeCell ref="HK19:HK20"/>
    <mergeCell ref="HK22:HK23"/>
    <mergeCell ref="HK25:HK26"/>
    <mergeCell ref="HK28:HK29"/>
    <mergeCell ref="HK31:HK32"/>
    <mergeCell ref="HK34:HK35"/>
    <mergeCell ref="HL3:HL4"/>
    <mergeCell ref="HL7:HL8"/>
    <mergeCell ref="HL10:HL11"/>
    <mergeCell ref="HL13:HL14"/>
    <mergeCell ref="HL16:HL17"/>
    <mergeCell ref="HL19:HL20"/>
    <mergeCell ref="HL22:HL23"/>
    <mergeCell ref="HL25:HL26"/>
    <mergeCell ref="HL28:HL29"/>
    <mergeCell ref="HL31:HL32"/>
    <mergeCell ref="HL34:HL35"/>
    <mergeCell ref="HM3:HM4"/>
    <mergeCell ref="HM7:HM8"/>
    <mergeCell ref="HM10:HM11"/>
    <mergeCell ref="HM13:HM14"/>
    <mergeCell ref="HM16:HM17"/>
    <mergeCell ref="HM19:HM20"/>
    <mergeCell ref="HM22:HM23"/>
    <mergeCell ref="HM25:HM26"/>
    <mergeCell ref="HM28:HM29"/>
    <mergeCell ref="HM31:HM32"/>
    <mergeCell ref="HM34:HM35"/>
    <mergeCell ref="HN3:HN4"/>
    <mergeCell ref="HN7:HN8"/>
    <mergeCell ref="HN10:HN11"/>
    <mergeCell ref="HN13:HN14"/>
    <mergeCell ref="HN16:HN17"/>
    <mergeCell ref="HN19:HN20"/>
    <mergeCell ref="HN22:HN23"/>
    <mergeCell ref="HN25:HN26"/>
    <mergeCell ref="HN28:HN29"/>
    <mergeCell ref="HN31:HN32"/>
    <mergeCell ref="HN34:HN35"/>
    <mergeCell ref="HO3:HO4"/>
    <mergeCell ref="HO7:HO8"/>
    <mergeCell ref="HO10:HO11"/>
    <mergeCell ref="HO13:HO14"/>
    <mergeCell ref="HO16:HO17"/>
    <mergeCell ref="HO19:HO20"/>
    <mergeCell ref="HO22:HO23"/>
    <mergeCell ref="HO25:HO26"/>
    <mergeCell ref="HO28:HO29"/>
    <mergeCell ref="HO31:HO32"/>
    <mergeCell ref="HO34:HO35"/>
    <mergeCell ref="HP3:HP4"/>
    <mergeCell ref="HP7:HP8"/>
    <mergeCell ref="HP10:HP11"/>
    <mergeCell ref="HP13:HP14"/>
    <mergeCell ref="HP16:HP17"/>
    <mergeCell ref="HP19:HP20"/>
    <mergeCell ref="HP22:HP23"/>
    <mergeCell ref="HP25:HP26"/>
    <mergeCell ref="HP28:HP29"/>
    <mergeCell ref="HP31:HP32"/>
    <mergeCell ref="HP34:HP35"/>
    <mergeCell ref="HQ3:HQ4"/>
    <mergeCell ref="HQ7:HQ8"/>
    <mergeCell ref="HQ10:HQ11"/>
    <mergeCell ref="HQ13:HQ14"/>
    <mergeCell ref="HQ16:HQ17"/>
    <mergeCell ref="HQ19:HQ20"/>
    <mergeCell ref="HQ22:HQ23"/>
    <mergeCell ref="HQ25:HQ26"/>
    <mergeCell ref="HQ28:HQ29"/>
    <mergeCell ref="HQ31:HQ32"/>
    <mergeCell ref="HQ34:HQ35"/>
    <mergeCell ref="HR3:HR4"/>
    <mergeCell ref="HR7:HR8"/>
    <mergeCell ref="HR10:HR11"/>
    <mergeCell ref="HR13:HR14"/>
    <mergeCell ref="HR16:HR17"/>
    <mergeCell ref="HR19:HR20"/>
    <mergeCell ref="HR22:HR23"/>
    <mergeCell ref="HR25:HR26"/>
    <mergeCell ref="HR28:HR29"/>
    <mergeCell ref="HR31:HR32"/>
    <mergeCell ref="HR34:HR35"/>
    <mergeCell ref="HS3:HS4"/>
    <mergeCell ref="HS7:HS8"/>
    <mergeCell ref="HS10:HS11"/>
    <mergeCell ref="HS13:HS14"/>
    <mergeCell ref="HS16:HS17"/>
    <mergeCell ref="HS19:HS20"/>
    <mergeCell ref="HS22:HS23"/>
    <mergeCell ref="HS25:HS26"/>
    <mergeCell ref="HS28:HS29"/>
    <mergeCell ref="HS31:HS32"/>
    <mergeCell ref="HS34:HS35"/>
    <mergeCell ref="HT3:HT4"/>
    <mergeCell ref="HT7:HT8"/>
    <mergeCell ref="HT10:HT11"/>
    <mergeCell ref="HT13:HT14"/>
    <mergeCell ref="HT16:HT17"/>
    <mergeCell ref="HT19:HT20"/>
    <mergeCell ref="HT22:HT23"/>
    <mergeCell ref="HT25:HT26"/>
    <mergeCell ref="HT28:HT29"/>
    <mergeCell ref="HT31:HT32"/>
    <mergeCell ref="HT34:HT35"/>
    <mergeCell ref="HU3:HU4"/>
    <mergeCell ref="HU7:HU8"/>
    <mergeCell ref="HU10:HU11"/>
    <mergeCell ref="HU13:HU14"/>
    <mergeCell ref="HU16:HU17"/>
    <mergeCell ref="HU19:HU20"/>
    <mergeCell ref="HU22:HU23"/>
    <mergeCell ref="HU25:HU26"/>
    <mergeCell ref="HU28:HU29"/>
    <mergeCell ref="HU31:HU32"/>
    <mergeCell ref="HU34:HU35"/>
    <mergeCell ref="HV3:HV4"/>
    <mergeCell ref="HV7:HV8"/>
    <mergeCell ref="HV10:HV11"/>
    <mergeCell ref="HV13:HV14"/>
    <mergeCell ref="HV16:HV17"/>
    <mergeCell ref="HV19:HV20"/>
    <mergeCell ref="HV22:HV23"/>
    <mergeCell ref="HV25:HV26"/>
    <mergeCell ref="HV28:HV29"/>
    <mergeCell ref="HV31:HV32"/>
    <mergeCell ref="HV34:HV35"/>
    <mergeCell ref="HW3:HW4"/>
    <mergeCell ref="HW7:HW8"/>
    <mergeCell ref="HW10:HW11"/>
    <mergeCell ref="HW13:HW14"/>
    <mergeCell ref="HW16:HW17"/>
    <mergeCell ref="HW19:HW20"/>
    <mergeCell ref="HW22:HW23"/>
    <mergeCell ref="HW25:HW26"/>
    <mergeCell ref="HW28:HW29"/>
    <mergeCell ref="HW31:HW32"/>
    <mergeCell ref="HW34:HW35"/>
    <mergeCell ref="HX3:HX4"/>
    <mergeCell ref="HX7:HX8"/>
    <mergeCell ref="HX10:HX11"/>
    <mergeCell ref="HX13:HX14"/>
    <mergeCell ref="HX16:HX17"/>
    <mergeCell ref="HX19:HX20"/>
    <mergeCell ref="HX22:HX23"/>
    <mergeCell ref="HX25:HX26"/>
    <mergeCell ref="HX28:HX29"/>
    <mergeCell ref="HX31:HX32"/>
    <mergeCell ref="HX34:HX35"/>
    <mergeCell ref="HY3:HY4"/>
    <mergeCell ref="HY7:HY8"/>
    <mergeCell ref="HY10:HY11"/>
    <mergeCell ref="HY13:HY14"/>
    <mergeCell ref="HY16:HY17"/>
    <mergeCell ref="HY19:HY20"/>
    <mergeCell ref="HY22:HY23"/>
    <mergeCell ref="HY25:HY26"/>
    <mergeCell ref="HY28:HY29"/>
    <mergeCell ref="HY31:HY32"/>
    <mergeCell ref="HY34:HY35"/>
    <mergeCell ref="HZ3:HZ4"/>
    <mergeCell ref="HZ7:HZ8"/>
    <mergeCell ref="HZ10:HZ11"/>
    <mergeCell ref="HZ13:HZ14"/>
    <mergeCell ref="HZ16:HZ17"/>
    <mergeCell ref="HZ19:HZ20"/>
    <mergeCell ref="HZ22:HZ23"/>
    <mergeCell ref="HZ25:HZ26"/>
    <mergeCell ref="HZ28:HZ29"/>
    <mergeCell ref="HZ31:HZ32"/>
    <mergeCell ref="HZ34:HZ35"/>
    <mergeCell ref="IA3:IA4"/>
    <mergeCell ref="IA7:IA8"/>
    <mergeCell ref="IA10:IA11"/>
    <mergeCell ref="IA13:IA14"/>
    <mergeCell ref="IA16:IA17"/>
    <mergeCell ref="IA19:IA20"/>
    <mergeCell ref="IA22:IA23"/>
    <mergeCell ref="IA25:IA26"/>
    <mergeCell ref="IA28:IA29"/>
    <mergeCell ref="IA31:IA32"/>
    <mergeCell ref="IA34:IA35"/>
    <mergeCell ref="IB3:IB4"/>
    <mergeCell ref="IB7:IB8"/>
    <mergeCell ref="IB10:IB11"/>
    <mergeCell ref="IB13:IB14"/>
    <mergeCell ref="IB16:IB17"/>
    <mergeCell ref="IB19:IB20"/>
    <mergeCell ref="IB22:IB23"/>
    <mergeCell ref="IB25:IB26"/>
    <mergeCell ref="IB28:IB29"/>
    <mergeCell ref="IB31:IB32"/>
    <mergeCell ref="IB34:IB35"/>
    <mergeCell ref="IC3:IC4"/>
    <mergeCell ref="IC7:IC8"/>
    <mergeCell ref="IC10:IC11"/>
    <mergeCell ref="IC13:IC14"/>
    <mergeCell ref="IC16:IC17"/>
    <mergeCell ref="IC19:IC20"/>
    <mergeCell ref="IC22:IC23"/>
    <mergeCell ref="IC25:IC26"/>
    <mergeCell ref="IC28:IC29"/>
    <mergeCell ref="IC31:IC32"/>
    <mergeCell ref="IC34:IC35"/>
    <mergeCell ref="ID3:ID4"/>
    <mergeCell ref="ID7:ID8"/>
    <mergeCell ref="ID10:ID11"/>
    <mergeCell ref="ID13:ID14"/>
    <mergeCell ref="ID16:ID17"/>
    <mergeCell ref="ID19:ID20"/>
    <mergeCell ref="ID22:ID23"/>
    <mergeCell ref="ID25:ID26"/>
    <mergeCell ref="ID28:ID29"/>
    <mergeCell ref="ID31:ID32"/>
    <mergeCell ref="ID34:ID35"/>
    <mergeCell ref="IE3:IE4"/>
    <mergeCell ref="IE7:IE8"/>
    <mergeCell ref="IE10:IE11"/>
    <mergeCell ref="IE13:IE14"/>
    <mergeCell ref="IE16:IE17"/>
    <mergeCell ref="IE19:IE20"/>
    <mergeCell ref="IE22:IE23"/>
    <mergeCell ref="IE25:IE26"/>
    <mergeCell ref="IE28:IE29"/>
    <mergeCell ref="IE31:IE32"/>
    <mergeCell ref="IE34:IE35"/>
    <mergeCell ref="IF3:IF4"/>
    <mergeCell ref="IF7:IF8"/>
    <mergeCell ref="IF10:IF11"/>
    <mergeCell ref="IF13:IF14"/>
    <mergeCell ref="IF16:IF17"/>
    <mergeCell ref="IF19:IF20"/>
    <mergeCell ref="IF22:IF23"/>
    <mergeCell ref="IF25:IF26"/>
    <mergeCell ref="IF28:IF29"/>
    <mergeCell ref="IF31:IF32"/>
    <mergeCell ref="IF34:IF35"/>
    <mergeCell ref="IG3:IG4"/>
    <mergeCell ref="IG7:IG8"/>
    <mergeCell ref="IG10:IG11"/>
    <mergeCell ref="IG13:IG14"/>
    <mergeCell ref="IG16:IG17"/>
    <mergeCell ref="IG19:IG20"/>
    <mergeCell ref="IG22:IG23"/>
    <mergeCell ref="IG25:IG26"/>
    <mergeCell ref="IG28:IG29"/>
    <mergeCell ref="IG31:IG32"/>
    <mergeCell ref="IG34:IG35"/>
    <mergeCell ref="IH3:IH4"/>
    <mergeCell ref="IH7:IH8"/>
    <mergeCell ref="IH10:IH11"/>
    <mergeCell ref="IH13:IH14"/>
    <mergeCell ref="IH16:IH17"/>
    <mergeCell ref="IH19:IH20"/>
    <mergeCell ref="IH22:IH23"/>
    <mergeCell ref="IH25:IH26"/>
    <mergeCell ref="IH28:IH29"/>
    <mergeCell ref="IH31:IH32"/>
    <mergeCell ref="IH34:IH35"/>
    <mergeCell ref="II3:II4"/>
    <mergeCell ref="II7:II8"/>
    <mergeCell ref="II10:II11"/>
    <mergeCell ref="II13:II14"/>
    <mergeCell ref="II16:II17"/>
    <mergeCell ref="II19:II20"/>
    <mergeCell ref="II22:II23"/>
    <mergeCell ref="II25:II26"/>
    <mergeCell ref="II28:II29"/>
    <mergeCell ref="II31:II32"/>
    <mergeCell ref="II34:II35"/>
    <mergeCell ref="IJ3:IJ4"/>
    <mergeCell ref="IJ7:IJ8"/>
    <mergeCell ref="IJ10:IJ11"/>
    <mergeCell ref="IJ13:IJ14"/>
    <mergeCell ref="IJ16:IJ17"/>
    <mergeCell ref="IJ19:IJ20"/>
    <mergeCell ref="IJ22:IJ23"/>
    <mergeCell ref="IJ25:IJ26"/>
    <mergeCell ref="IJ28:IJ29"/>
    <mergeCell ref="IJ31:IJ32"/>
    <mergeCell ref="IJ34:IJ35"/>
    <mergeCell ref="IK3:IK4"/>
    <mergeCell ref="IK7:IK8"/>
    <mergeCell ref="IK10:IK11"/>
    <mergeCell ref="IK13:IK14"/>
    <mergeCell ref="IK16:IK17"/>
    <mergeCell ref="IK19:IK20"/>
    <mergeCell ref="IK22:IK23"/>
    <mergeCell ref="IK25:IK26"/>
    <mergeCell ref="IK28:IK29"/>
    <mergeCell ref="IK31:IK32"/>
    <mergeCell ref="IK34:IK35"/>
    <mergeCell ref="IL3:IL4"/>
    <mergeCell ref="IL7:IL8"/>
    <mergeCell ref="IL10:IL11"/>
    <mergeCell ref="IL13:IL14"/>
    <mergeCell ref="IL16:IL17"/>
    <mergeCell ref="IL19:IL20"/>
    <mergeCell ref="IL22:IL23"/>
    <mergeCell ref="IL25:IL26"/>
    <mergeCell ref="IL28:IL29"/>
    <mergeCell ref="IL31:IL32"/>
    <mergeCell ref="IL34:IL35"/>
    <mergeCell ref="IM3:IM4"/>
    <mergeCell ref="IM7:IM8"/>
    <mergeCell ref="IM10:IM11"/>
    <mergeCell ref="IM13:IM14"/>
    <mergeCell ref="IM16:IM17"/>
    <mergeCell ref="IM19:IM20"/>
    <mergeCell ref="IM22:IM23"/>
    <mergeCell ref="IM25:IM26"/>
    <mergeCell ref="IM28:IM29"/>
    <mergeCell ref="IM31:IM32"/>
    <mergeCell ref="IM34:IM35"/>
    <mergeCell ref="IN3:IN4"/>
    <mergeCell ref="IN7:IN8"/>
    <mergeCell ref="IN10:IN11"/>
    <mergeCell ref="IN13:IN14"/>
    <mergeCell ref="IN16:IN17"/>
    <mergeCell ref="IN19:IN20"/>
    <mergeCell ref="IN22:IN23"/>
    <mergeCell ref="IN25:IN26"/>
    <mergeCell ref="IN28:IN29"/>
    <mergeCell ref="IN31:IN32"/>
    <mergeCell ref="IN34:IN35"/>
    <mergeCell ref="IO3:IO4"/>
    <mergeCell ref="IO7:IO8"/>
    <mergeCell ref="IO10:IO11"/>
    <mergeCell ref="IO13:IO14"/>
    <mergeCell ref="IO16:IO17"/>
    <mergeCell ref="IO19:IO20"/>
    <mergeCell ref="IO22:IO23"/>
    <mergeCell ref="IO25:IO26"/>
    <mergeCell ref="IO28:IO29"/>
    <mergeCell ref="IO31:IO32"/>
    <mergeCell ref="IO34:IO35"/>
    <mergeCell ref="IP3:IP4"/>
    <mergeCell ref="IP7:IP8"/>
    <mergeCell ref="IP10:IP11"/>
    <mergeCell ref="IP13:IP14"/>
    <mergeCell ref="IP16:IP17"/>
    <mergeCell ref="IP19:IP20"/>
    <mergeCell ref="IP22:IP23"/>
    <mergeCell ref="IP25:IP26"/>
    <mergeCell ref="IP28:IP29"/>
    <mergeCell ref="IP31:IP32"/>
    <mergeCell ref="IP34:IP35"/>
    <mergeCell ref="IQ3:IQ4"/>
    <mergeCell ref="IQ7:IQ8"/>
    <mergeCell ref="IQ10:IQ11"/>
    <mergeCell ref="IQ13:IQ14"/>
    <mergeCell ref="IQ16:IQ17"/>
    <mergeCell ref="IQ19:IQ20"/>
    <mergeCell ref="IQ22:IQ23"/>
    <mergeCell ref="IQ25:IQ26"/>
    <mergeCell ref="IQ28:IQ29"/>
    <mergeCell ref="IQ31:IQ32"/>
    <mergeCell ref="IQ34:IQ35"/>
    <mergeCell ref="IR3:IR4"/>
    <mergeCell ref="IR7:IR8"/>
    <mergeCell ref="IR10:IR11"/>
    <mergeCell ref="IR13:IR14"/>
    <mergeCell ref="IR16:IR17"/>
    <mergeCell ref="IR19:IR20"/>
    <mergeCell ref="IR22:IR23"/>
    <mergeCell ref="IR25:IR26"/>
    <mergeCell ref="IR28:IR29"/>
    <mergeCell ref="IR31:IR32"/>
    <mergeCell ref="IR34:IR35"/>
    <mergeCell ref="IS3:IS4"/>
    <mergeCell ref="IS7:IS8"/>
    <mergeCell ref="IS10:IS11"/>
    <mergeCell ref="IS13:IS14"/>
    <mergeCell ref="IS16:IS17"/>
    <mergeCell ref="IS19:IS20"/>
    <mergeCell ref="IS22:IS23"/>
    <mergeCell ref="IS25:IS26"/>
    <mergeCell ref="IS28:IS29"/>
    <mergeCell ref="IS31:IS32"/>
    <mergeCell ref="IS34:IS35"/>
    <mergeCell ref="IT3:IT4"/>
    <mergeCell ref="IT7:IT8"/>
    <mergeCell ref="IT10:IT11"/>
    <mergeCell ref="IT13:IT14"/>
    <mergeCell ref="IT16:IT17"/>
    <mergeCell ref="IT19:IT20"/>
    <mergeCell ref="IT22:IT23"/>
    <mergeCell ref="IT25:IT26"/>
    <mergeCell ref="IT28:IT29"/>
    <mergeCell ref="IT31:IT32"/>
    <mergeCell ref="IT34:IT35"/>
    <mergeCell ref="IU3:IU4"/>
    <mergeCell ref="IU7:IU8"/>
    <mergeCell ref="IU10:IU11"/>
    <mergeCell ref="IU13:IU14"/>
    <mergeCell ref="IU16:IU17"/>
    <mergeCell ref="IU19:IU20"/>
    <mergeCell ref="IU22:IU23"/>
    <mergeCell ref="IU25:IU26"/>
    <mergeCell ref="IU28:IU29"/>
    <mergeCell ref="IU31:IU32"/>
    <mergeCell ref="IU34:IU35"/>
    <mergeCell ref="IV3:IV4"/>
    <mergeCell ref="IV7:IV8"/>
    <mergeCell ref="IV10:IV11"/>
    <mergeCell ref="IV13:IV14"/>
    <mergeCell ref="IV16:IV17"/>
    <mergeCell ref="IV19:IV20"/>
    <mergeCell ref="IV22:IV23"/>
    <mergeCell ref="IV25:IV26"/>
    <mergeCell ref="IV28:IV29"/>
    <mergeCell ref="IV31:IV32"/>
    <mergeCell ref="IV34:IV35"/>
    <mergeCell ref="IW3:IW4"/>
    <mergeCell ref="IW7:IW8"/>
    <mergeCell ref="IW10:IW11"/>
    <mergeCell ref="IW13:IW14"/>
    <mergeCell ref="IW16:IW17"/>
    <mergeCell ref="IW19:IW20"/>
    <mergeCell ref="IW22:IW23"/>
    <mergeCell ref="IW25:IW26"/>
    <mergeCell ref="IW28:IW29"/>
    <mergeCell ref="IW31:IW32"/>
    <mergeCell ref="IW34:IW35"/>
    <mergeCell ref="IX3:IX4"/>
    <mergeCell ref="IX7:IX8"/>
    <mergeCell ref="IX10:IX11"/>
    <mergeCell ref="IX13:IX14"/>
    <mergeCell ref="IX16:IX17"/>
    <mergeCell ref="IX19:IX20"/>
    <mergeCell ref="IX22:IX23"/>
    <mergeCell ref="IX25:IX26"/>
    <mergeCell ref="IX28:IX29"/>
    <mergeCell ref="IX31:IX32"/>
    <mergeCell ref="IX34:IX35"/>
    <mergeCell ref="IY3:IY4"/>
    <mergeCell ref="IY7:IY8"/>
    <mergeCell ref="IY10:IY11"/>
    <mergeCell ref="IY13:IY14"/>
    <mergeCell ref="IY16:IY17"/>
    <mergeCell ref="IY19:IY20"/>
    <mergeCell ref="IY22:IY23"/>
    <mergeCell ref="IY25:IY26"/>
    <mergeCell ref="IY28:IY29"/>
    <mergeCell ref="IY31:IY32"/>
    <mergeCell ref="IY34:IY35"/>
    <mergeCell ref="IZ3:IZ4"/>
    <mergeCell ref="IZ7:IZ8"/>
    <mergeCell ref="IZ10:IZ11"/>
    <mergeCell ref="IZ13:IZ14"/>
    <mergeCell ref="IZ16:IZ17"/>
    <mergeCell ref="IZ19:IZ20"/>
    <mergeCell ref="IZ22:IZ23"/>
    <mergeCell ref="IZ25:IZ26"/>
    <mergeCell ref="IZ28:IZ29"/>
    <mergeCell ref="IZ31:IZ32"/>
    <mergeCell ref="IZ34:IZ35"/>
    <mergeCell ref="JA3:JA4"/>
    <mergeCell ref="JA7:JA8"/>
    <mergeCell ref="JA10:JA11"/>
    <mergeCell ref="JA13:JA14"/>
    <mergeCell ref="JA16:JA17"/>
    <mergeCell ref="JA19:JA20"/>
    <mergeCell ref="JA22:JA23"/>
    <mergeCell ref="JA25:JA26"/>
    <mergeCell ref="JA28:JA29"/>
    <mergeCell ref="JA31:JA32"/>
    <mergeCell ref="JA34:JA35"/>
    <mergeCell ref="JB3:JB4"/>
    <mergeCell ref="JB7:JB8"/>
    <mergeCell ref="JB10:JB11"/>
    <mergeCell ref="JB13:JB14"/>
    <mergeCell ref="JB16:JB17"/>
    <mergeCell ref="JB19:JB20"/>
    <mergeCell ref="JB22:JB23"/>
    <mergeCell ref="JB25:JB26"/>
    <mergeCell ref="JB28:JB29"/>
    <mergeCell ref="JB31:JB32"/>
    <mergeCell ref="JB34:JB35"/>
    <mergeCell ref="JC3:JC4"/>
    <mergeCell ref="JC7:JC8"/>
    <mergeCell ref="JC10:JC11"/>
    <mergeCell ref="JC13:JC14"/>
    <mergeCell ref="JC16:JC17"/>
    <mergeCell ref="JC19:JC20"/>
    <mergeCell ref="JC22:JC23"/>
    <mergeCell ref="JC25:JC26"/>
    <mergeCell ref="JC28:JC29"/>
    <mergeCell ref="JC31:JC32"/>
    <mergeCell ref="JC34:JC35"/>
    <mergeCell ref="JD3:JD4"/>
    <mergeCell ref="JD7:JD8"/>
    <mergeCell ref="JD10:JD11"/>
    <mergeCell ref="JD13:JD14"/>
    <mergeCell ref="JD16:JD17"/>
    <mergeCell ref="JD19:JD20"/>
    <mergeCell ref="JD22:JD23"/>
    <mergeCell ref="JD25:JD26"/>
    <mergeCell ref="JD28:JD29"/>
    <mergeCell ref="JD31:JD32"/>
    <mergeCell ref="JD34:JD35"/>
    <mergeCell ref="JE3:JE4"/>
    <mergeCell ref="JE7:JE8"/>
    <mergeCell ref="JE10:JE11"/>
    <mergeCell ref="JE13:JE14"/>
    <mergeCell ref="JE16:JE17"/>
    <mergeCell ref="JE19:JE20"/>
    <mergeCell ref="JE22:JE23"/>
    <mergeCell ref="JE25:JE26"/>
    <mergeCell ref="JE28:JE29"/>
    <mergeCell ref="JE31:JE32"/>
    <mergeCell ref="JE34:JE35"/>
    <mergeCell ref="JF3:JF4"/>
    <mergeCell ref="JF7:JF8"/>
    <mergeCell ref="JF10:JF11"/>
    <mergeCell ref="JF13:JF14"/>
    <mergeCell ref="JF16:JF17"/>
    <mergeCell ref="JF19:JF20"/>
    <mergeCell ref="JF22:JF23"/>
    <mergeCell ref="JF25:JF26"/>
    <mergeCell ref="JF28:JF29"/>
    <mergeCell ref="JF31:JF32"/>
    <mergeCell ref="JF34:JF35"/>
    <mergeCell ref="JG3:JG4"/>
    <mergeCell ref="JG7:JG8"/>
    <mergeCell ref="JG10:JG11"/>
    <mergeCell ref="JG13:JG14"/>
    <mergeCell ref="JG16:JG17"/>
    <mergeCell ref="JG19:JG20"/>
    <mergeCell ref="JG22:JG23"/>
    <mergeCell ref="JG25:JG26"/>
    <mergeCell ref="JG28:JG29"/>
    <mergeCell ref="JG31:JG32"/>
    <mergeCell ref="JG34:JG35"/>
    <mergeCell ref="JH3:JH4"/>
    <mergeCell ref="JH7:JH8"/>
    <mergeCell ref="JH10:JH11"/>
    <mergeCell ref="JH13:JH14"/>
    <mergeCell ref="JH16:JH17"/>
    <mergeCell ref="JH19:JH20"/>
    <mergeCell ref="JH22:JH23"/>
    <mergeCell ref="JH25:JH26"/>
    <mergeCell ref="JH28:JH29"/>
    <mergeCell ref="JH31:JH32"/>
    <mergeCell ref="JH34:JH35"/>
    <mergeCell ref="JI3:JI4"/>
    <mergeCell ref="JI7:JI8"/>
    <mergeCell ref="JI10:JI11"/>
    <mergeCell ref="JI13:JI14"/>
    <mergeCell ref="JI16:JI17"/>
    <mergeCell ref="JI19:JI20"/>
    <mergeCell ref="JI22:JI23"/>
    <mergeCell ref="JI25:JI26"/>
    <mergeCell ref="JI28:JI29"/>
    <mergeCell ref="JI31:JI32"/>
    <mergeCell ref="JI34:JI35"/>
    <mergeCell ref="JJ3:JJ4"/>
    <mergeCell ref="JJ7:JJ8"/>
    <mergeCell ref="JJ10:JJ11"/>
    <mergeCell ref="JJ13:JJ14"/>
    <mergeCell ref="JJ16:JJ17"/>
    <mergeCell ref="JJ19:JJ20"/>
    <mergeCell ref="JJ22:JJ23"/>
    <mergeCell ref="JJ25:JJ26"/>
    <mergeCell ref="JJ28:JJ29"/>
    <mergeCell ref="JJ31:JJ32"/>
    <mergeCell ref="JJ34:JJ35"/>
    <mergeCell ref="JK3:JK4"/>
    <mergeCell ref="JK7:JK8"/>
    <mergeCell ref="JK10:JK11"/>
    <mergeCell ref="JK13:JK14"/>
    <mergeCell ref="JK16:JK17"/>
    <mergeCell ref="JK19:JK20"/>
    <mergeCell ref="JK22:JK23"/>
    <mergeCell ref="JK25:JK26"/>
    <mergeCell ref="JK28:JK29"/>
    <mergeCell ref="JK31:JK32"/>
    <mergeCell ref="JK34:JK35"/>
    <mergeCell ref="JL3:JL4"/>
    <mergeCell ref="JL7:JL8"/>
    <mergeCell ref="JL10:JL11"/>
    <mergeCell ref="JL13:JL14"/>
    <mergeCell ref="JL16:JL17"/>
    <mergeCell ref="JL19:JL20"/>
    <mergeCell ref="JL22:JL23"/>
    <mergeCell ref="JL25:JL26"/>
    <mergeCell ref="JL28:JL29"/>
    <mergeCell ref="JL31:JL32"/>
    <mergeCell ref="JL34:JL35"/>
    <mergeCell ref="JM3:JM4"/>
    <mergeCell ref="JM7:JM8"/>
    <mergeCell ref="JM10:JM11"/>
    <mergeCell ref="JM13:JM14"/>
    <mergeCell ref="JM16:JM17"/>
    <mergeCell ref="JM19:JM20"/>
    <mergeCell ref="JM22:JM23"/>
    <mergeCell ref="JM25:JM26"/>
    <mergeCell ref="JM28:JM29"/>
    <mergeCell ref="JM31:JM32"/>
    <mergeCell ref="JM34:JM35"/>
    <mergeCell ref="JN3:JN4"/>
    <mergeCell ref="JN7:JN8"/>
    <mergeCell ref="JN10:JN11"/>
    <mergeCell ref="JN13:JN14"/>
    <mergeCell ref="JN16:JN17"/>
    <mergeCell ref="JN19:JN20"/>
    <mergeCell ref="JN22:JN23"/>
    <mergeCell ref="JN25:JN26"/>
    <mergeCell ref="JN28:JN29"/>
    <mergeCell ref="JN31:JN32"/>
    <mergeCell ref="JN34:JN35"/>
    <mergeCell ref="JO3:JO4"/>
    <mergeCell ref="JO7:JO8"/>
    <mergeCell ref="JO10:JO11"/>
    <mergeCell ref="JO13:JO14"/>
    <mergeCell ref="JO16:JO17"/>
    <mergeCell ref="JO19:JO20"/>
    <mergeCell ref="JO22:JO23"/>
    <mergeCell ref="JO25:JO26"/>
    <mergeCell ref="JO28:JO29"/>
    <mergeCell ref="JO31:JO32"/>
    <mergeCell ref="JO34:JO35"/>
    <mergeCell ref="JP3:JP4"/>
    <mergeCell ref="JP7:JP8"/>
    <mergeCell ref="JP10:JP11"/>
    <mergeCell ref="JP13:JP14"/>
    <mergeCell ref="JP16:JP17"/>
    <mergeCell ref="JP19:JP20"/>
    <mergeCell ref="JP22:JP23"/>
    <mergeCell ref="JP25:JP26"/>
    <mergeCell ref="JP28:JP29"/>
    <mergeCell ref="JP31:JP32"/>
    <mergeCell ref="JP34:JP35"/>
    <mergeCell ref="JQ3:JQ4"/>
    <mergeCell ref="JQ7:JQ8"/>
    <mergeCell ref="JQ10:JQ11"/>
    <mergeCell ref="JQ13:JQ14"/>
    <mergeCell ref="JQ16:JQ17"/>
    <mergeCell ref="JQ19:JQ20"/>
    <mergeCell ref="JQ22:JQ23"/>
    <mergeCell ref="JQ25:JQ26"/>
    <mergeCell ref="JQ28:JQ29"/>
    <mergeCell ref="JQ31:JQ32"/>
    <mergeCell ref="JQ34:JQ35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R36"/>
  <sheetViews>
    <sheetView workbookViewId="0">
      <selection activeCell="CK41" sqref="CK41"/>
    </sheetView>
  </sheetViews>
  <sheetFormatPr defaultColWidth="9" defaultRowHeight="15"/>
  <cols>
    <col min="1" max="1" width="4.26666666666667" customWidth="1"/>
    <col min="2" max="2" width="19.6285714285714" customWidth="1"/>
    <col min="3" max="3" width="21" hidden="1" customWidth="1"/>
    <col min="4" max="4" width="9.72380952380952" hidden="1" customWidth="1"/>
    <col min="5" max="5" width="5.26666666666667" customWidth="1"/>
    <col min="6" max="6" width="14.2666666666667" hidden="1" customWidth="1"/>
    <col min="7" max="7" width="0.904761904761905" hidden="1" customWidth="1"/>
    <col min="8" max="8" width="6.26666666666667" customWidth="1"/>
    <col min="9" max="9" width="14.2666666666667" hidden="1" customWidth="1"/>
    <col min="10" max="10" width="13.2666666666667" hidden="1" customWidth="1"/>
    <col min="11" max="11" width="9.90476190476191" hidden="1" customWidth="1"/>
    <col min="12" max="12" width="14.2666666666667" hidden="1" customWidth="1"/>
    <col min="13" max="13" width="13.2666666666667" hidden="1" customWidth="1"/>
    <col min="14" max="14" width="6.45714285714286" customWidth="1"/>
    <col min="15" max="15" width="14.2666666666667" hidden="1" customWidth="1"/>
    <col min="16" max="16" width="0.457142857142857" hidden="1" customWidth="1"/>
    <col min="17" max="17" width="6.81904761904762" customWidth="1"/>
    <col min="18" max="18" width="14.2666666666667" hidden="1" customWidth="1"/>
    <col min="19" max="19" width="0.723809523809524" hidden="1" customWidth="1"/>
    <col min="20" max="20" width="6.36190476190476" customWidth="1"/>
    <col min="21" max="21" width="16.8190476190476" hidden="1" customWidth="1"/>
    <col min="22" max="22" width="13.2666666666667" hidden="1" customWidth="1"/>
    <col min="23" max="23" width="6.26666666666667" customWidth="1"/>
    <col min="24" max="24" width="14.2666666666667" hidden="1" customWidth="1"/>
    <col min="25" max="25" width="13.2666666666667" hidden="1" customWidth="1"/>
    <col min="26" max="26" width="9.90476190476191" hidden="1" customWidth="1"/>
    <col min="27" max="27" width="14.2666666666667" hidden="1" customWidth="1"/>
    <col min="28" max="28" width="13.2666666666667" hidden="1" customWidth="1"/>
    <col min="29" max="29" width="9.45714285714286" hidden="1" customWidth="1"/>
    <col min="30" max="30" width="14.2666666666667" hidden="1" customWidth="1"/>
    <col min="31" max="31" width="13.2666666666667" hidden="1" customWidth="1"/>
    <col min="32" max="32" width="6.18095238095238" customWidth="1"/>
    <col min="33" max="33" width="14.2666666666667" hidden="1" customWidth="1"/>
    <col min="34" max="34" width="13.2666666666667" hidden="1" customWidth="1"/>
    <col min="35" max="35" width="6.36190476190476" customWidth="1"/>
    <col min="36" max="36" width="14.2666666666667" hidden="1" customWidth="1"/>
    <col min="37" max="37" width="13.2666666666667" hidden="1" customWidth="1"/>
    <col min="38" max="38" width="6.90476190476191" customWidth="1"/>
    <col min="39" max="39" width="14.2666666666667" hidden="1" customWidth="1"/>
    <col min="40" max="40" width="13.2666666666667" hidden="1" customWidth="1"/>
    <col min="41" max="41" width="9.90476190476191" hidden="1" customWidth="1"/>
    <col min="42" max="42" width="14.2666666666667" hidden="1" customWidth="1"/>
    <col min="43" max="43" width="13.2666666666667" hidden="1" customWidth="1"/>
    <col min="44" max="44" width="6.54285714285714" customWidth="1"/>
    <col min="45" max="45" width="14.2666666666667" hidden="1" customWidth="1"/>
    <col min="46" max="46" width="13.2666666666667" hidden="1" customWidth="1"/>
    <col min="47" max="47" width="6.90476190476191" customWidth="1"/>
    <col min="48" max="48" width="14.2666666666667" hidden="1" customWidth="1"/>
    <col min="49" max="49" width="13.2666666666667" hidden="1" customWidth="1"/>
    <col min="50" max="50" width="9.90476190476191" hidden="1" customWidth="1"/>
    <col min="51" max="51" width="14.2666666666667" hidden="1" customWidth="1"/>
    <col min="52" max="52" width="13.2666666666667" hidden="1" customWidth="1"/>
    <col min="53" max="53" width="6.62857142857143" customWidth="1"/>
    <col min="54" max="54" width="14.2666666666667" hidden="1" customWidth="1"/>
    <col min="55" max="55" width="13.2666666666667" hidden="1" customWidth="1"/>
    <col min="56" max="56" width="9.90476190476191" hidden="1" customWidth="1"/>
    <col min="57" max="57" width="14.2666666666667" hidden="1" customWidth="1"/>
    <col min="58" max="58" width="13.2666666666667" hidden="1" customWidth="1"/>
    <col min="59" max="59" width="9.90476190476191" hidden="1" customWidth="1"/>
    <col min="60" max="60" width="14.2666666666667" hidden="1" customWidth="1"/>
    <col min="61" max="61" width="13.2666666666667" hidden="1" customWidth="1"/>
    <col min="62" max="62" width="6.81904761904762" customWidth="1"/>
    <col min="63" max="63" width="14.2666666666667" hidden="1" customWidth="1"/>
    <col min="64" max="64" width="13.2666666666667" hidden="1" customWidth="1"/>
    <col min="65" max="65" width="9.90476190476191" hidden="1" customWidth="1"/>
    <col min="66" max="66" width="14.2666666666667" hidden="1" customWidth="1"/>
    <col min="67" max="67" width="13.2666666666667" hidden="1" customWidth="1"/>
    <col min="68" max="68" width="6.36190476190476" customWidth="1"/>
    <col min="69" max="69" width="14.2666666666667" hidden="1" customWidth="1"/>
    <col min="70" max="70" width="13.2666666666667" hidden="1" customWidth="1"/>
    <col min="71" max="71" width="9.90476190476191" hidden="1" customWidth="1"/>
    <col min="72" max="72" width="14.2666666666667" hidden="1" customWidth="1"/>
    <col min="73" max="73" width="13.2666666666667" hidden="1" customWidth="1"/>
    <col min="74" max="74" width="9.90476190476191" hidden="1" customWidth="1"/>
    <col min="75" max="75" width="14.2666666666667" hidden="1" customWidth="1"/>
    <col min="76" max="76" width="13.2666666666667" hidden="1" customWidth="1"/>
    <col min="77" max="77" width="6.36190476190476" customWidth="1"/>
    <col min="78" max="78" width="14.2666666666667" hidden="1" customWidth="1"/>
    <col min="79" max="79" width="13.2666666666667" hidden="1" customWidth="1"/>
    <col min="80" max="80" width="9.90476190476191" hidden="1" customWidth="1"/>
    <col min="81" max="81" width="14.2666666666667" hidden="1" customWidth="1"/>
    <col min="82" max="82" width="13.2666666666667" hidden="1" customWidth="1"/>
    <col min="83" max="83" width="6.62857142857143" customWidth="1"/>
    <col min="84" max="84" width="14.2666666666667" hidden="1" customWidth="1"/>
    <col min="85" max="85" width="13.2666666666667" hidden="1" customWidth="1"/>
    <col min="86" max="86" width="9.90476190476191" hidden="1" customWidth="1"/>
    <col min="87" max="87" width="14.2666666666667" hidden="1" customWidth="1"/>
    <col min="88" max="88" width="13.2666666666667" hidden="1" customWidth="1"/>
    <col min="89" max="89" width="6.54285714285714" customWidth="1"/>
    <col min="90" max="90" width="14.2666666666667" hidden="1" customWidth="1"/>
    <col min="91" max="91" width="0.904761904761905" hidden="1" customWidth="1"/>
    <col min="92" max="92" width="6.26666666666667" customWidth="1"/>
    <col min="93" max="93" width="14.2666666666667" hidden="1" customWidth="1"/>
    <col min="94" max="94" width="13.2666666666667" hidden="1" customWidth="1"/>
    <col min="95" max="95" width="9.90476190476191" hidden="1" customWidth="1"/>
    <col min="96" max="96" width="14.2666666666667" hidden="1" customWidth="1"/>
    <col min="97" max="97" width="13.2666666666667" hidden="1" customWidth="1"/>
    <col min="98" max="98" width="9.90476190476191" hidden="1" customWidth="1"/>
    <col min="99" max="99" width="14.2666666666667" hidden="1" customWidth="1"/>
    <col min="100" max="100" width="13.2666666666667" hidden="1" customWidth="1"/>
    <col min="101" max="101" width="6.54285714285714" customWidth="1"/>
    <col min="102" max="102" width="14.2666666666667" hidden="1" customWidth="1"/>
    <col min="103" max="103" width="13.2666666666667" hidden="1" customWidth="1"/>
    <col min="104" max="104" width="9.90476190476191" hidden="1" customWidth="1"/>
    <col min="105" max="105" width="14.2666666666667" hidden="1" customWidth="1"/>
    <col min="106" max="106" width="13.2666666666667" hidden="1" customWidth="1"/>
    <col min="107" max="107" width="9.90476190476191" hidden="1" customWidth="1"/>
    <col min="108" max="108" width="14.2666666666667" hidden="1" customWidth="1"/>
    <col min="109" max="109" width="13.2666666666667" hidden="1" customWidth="1"/>
    <col min="110" max="110" width="9.90476190476191" hidden="1" customWidth="1"/>
    <col min="111" max="111" width="14.2666666666667" hidden="1" customWidth="1"/>
    <col min="112" max="112" width="13.2666666666667" hidden="1" customWidth="1"/>
    <col min="113" max="113" width="6.81904761904762" customWidth="1"/>
    <col min="114" max="114" width="14.2666666666667" hidden="1" customWidth="1"/>
    <col min="115" max="115" width="13.2666666666667" hidden="1" customWidth="1"/>
    <col min="116" max="116" width="9.90476190476191" hidden="1" customWidth="1"/>
    <col min="117" max="117" width="14.2666666666667" hidden="1" customWidth="1"/>
    <col min="118" max="118" width="0.361904761904762" hidden="1" customWidth="1"/>
    <col min="119" max="119" width="6.54285714285714" customWidth="1"/>
    <col min="120" max="120" width="14.2666666666667" hidden="1" customWidth="1"/>
    <col min="121" max="121" width="13.2666666666667" hidden="1" customWidth="1"/>
    <col min="122" max="122" width="7.08571428571429" customWidth="1"/>
    <col min="123" max="123" width="14.2666666666667" hidden="1" customWidth="1"/>
    <col min="124" max="124" width="13.2666666666667" hidden="1" customWidth="1"/>
    <col min="125" max="125" width="10.7238095238095" hidden="1" customWidth="1"/>
    <col min="126" max="126" width="14.2666666666667" hidden="1" customWidth="1"/>
    <col min="127" max="127" width="13.2666666666667" hidden="1" customWidth="1"/>
    <col min="128" max="128" width="6.81904761904762" customWidth="1"/>
    <col min="129" max="129" width="14.2666666666667" hidden="1" customWidth="1"/>
    <col min="130" max="130" width="13.2666666666667" hidden="1" customWidth="1"/>
    <col min="131" max="131" width="10.7238095238095" hidden="1" customWidth="1"/>
    <col min="132" max="132" width="14.2666666666667" hidden="1" customWidth="1"/>
    <col min="133" max="133" width="13.2666666666667" hidden="1" customWidth="1"/>
    <col min="134" max="134" width="6.54285714285714" customWidth="1"/>
    <col min="135" max="135" width="14.2666666666667" hidden="1" customWidth="1"/>
    <col min="136" max="136" width="13.2666666666667" hidden="1" customWidth="1"/>
    <col min="137" max="137" width="10.7238095238095" hidden="1" customWidth="1"/>
    <col min="138" max="138" width="14.2666666666667" hidden="1" customWidth="1"/>
    <col min="139" max="139" width="13.2666666666667" hidden="1" customWidth="1"/>
    <col min="140" max="140" width="10.7238095238095" hidden="1" customWidth="1"/>
    <col min="141" max="141" width="14.2666666666667" hidden="1" customWidth="1"/>
    <col min="142" max="142" width="13.2666666666667" hidden="1" customWidth="1"/>
    <col min="143" max="143" width="10.7238095238095" hidden="1" customWidth="1"/>
    <col min="144" max="144" width="14.2666666666667" hidden="1" customWidth="1"/>
    <col min="145" max="145" width="13.2666666666667" hidden="1" customWidth="1"/>
    <col min="146" max="146" width="6.81904761904762" customWidth="1"/>
    <col min="147" max="147" width="14.2666666666667" hidden="1" customWidth="1"/>
    <col min="148" max="148" width="13.2666666666667" hidden="1" customWidth="1"/>
    <col min="149" max="149" width="6.26666666666667" customWidth="1"/>
    <col min="150" max="150" width="14.2666666666667" hidden="1" customWidth="1"/>
    <col min="151" max="151" width="13.2666666666667" hidden="1" customWidth="1"/>
    <col min="152" max="152" width="10.7238095238095" hidden="1" customWidth="1"/>
    <col min="153" max="153" width="14.2666666666667" hidden="1" customWidth="1"/>
    <col min="154" max="154" width="0.628571428571429" hidden="1" customWidth="1"/>
    <col min="155" max="155" width="5.62857142857143" customWidth="1"/>
    <col min="156" max="156" width="14.2666666666667" hidden="1" customWidth="1"/>
    <col min="157" max="157" width="13.2666666666667" hidden="1" customWidth="1"/>
    <col min="158" max="158" width="7.18095238095238" customWidth="1"/>
    <col min="159" max="159" width="14.2666666666667" hidden="1" customWidth="1"/>
    <col min="160" max="160" width="13.2666666666667" hidden="1" customWidth="1"/>
    <col min="161" max="161" width="10.7238095238095" hidden="1" customWidth="1"/>
    <col min="162" max="162" width="14.2666666666667" hidden="1" customWidth="1"/>
    <col min="163" max="163" width="13.2666666666667" hidden="1" customWidth="1"/>
    <col min="164" max="164" width="10.7238095238095" hidden="1" customWidth="1"/>
    <col min="165" max="165" width="14.2666666666667" hidden="1" customWidth="1"/>
    <col min="166" max="166" width="13.2666666666667" hidden="1" customWidth="1"/>
    <col min="167" max="167" width="10.7238095238095" hidden="1" customWidth="1"/>
    <col min="168" max="168" width="14.2666666666667" hidden="1" customWidth="1"/>
    <col min="169" max="169" width="13.2666666666667" hidden="1" customWidth="1"/>
    <col min="170" max="170" width="10.7238095238095" hidden="1" customWidth="1"/>
    <col min="171" max="171" width="14.2666666666667" hidden="1" customWidth="1"/>
    <col min="172" max="172" width="13.2666666666667" hidden="1" customWidth="1"/>
    <col min="173" max="173" width="6.36190476190476" customWidth="1"/>
    <col min="174" max="174" width="14.2666666666667" hidden="1" customWidth="1"/>
    <col min="175" max="175" width="13.2666666666667" hidden="1" customWidth="1"/>
    <col min="176" max="176" width="7.54285714285714" customWidth="1"/>
    <col min="177" max="177" width="14.2666666666667" hidden="1" customWidth="1"/>
    <col min="178" max="178" width="13.2666666666667" hidden="1" customWidth="1"/>
    <col min="179" max="179" width="10.7238095238095" hidden="1" customWidth="1"/>
    <col min="180" max="180" width="14.2666666666667" hidden="1" customWidth="1"/>
    <col min="181" max="181" width="13.2666666666667" hidden="1" customWidth="1"/>
    <col min="182" max="182" width="10.7238095238095" hidden="1" customWidth="1"/>
    <col min="183" max="183" width="14.2666666666667" hidden="1" customWidth="1"/>
    <col min="184" max="184" width="13.2666666666667" hidden="1" customWidth="1"/>
    <col min="185" max="185" width="10.7238095238095" hidden="1" customWidth="1"/>
    <col min="186" max="186" width="14.2666666666667" hidden="1" customWidth="1"/>
    <col min="187" max="187" width="13.2666666666667" hidden="1" customWidth="1"/>
    <col min="188" max="188" width="6.62857142857143" customWidth="1"/>
    <col min="189" max="189" width="14.2666666666667" hidden="1" customWidth="1"/>
    <col min="190" max="190" width="13.2666666666667" hidden="1" customWidth="1"/>
    <col min="191" max="191" width="10.7238095238095" hidden="1" customWidth="1"/>
    <col min="192" max="192" width="14.2666666666667" hidden="1" customWidth="1"/>
    <col min="193" max="193" width="13.2666666666667" hidden="1" customWidth="1"/>
    <col min="194" max="194" width="10.7238095238095" hidden="1" customWidth="1"/>
    <col min="195" max="195" width="14.2666666666667" hidden="1" customWidth="1"/>
    <col min="196" max="196" width="13.2666666666667" hidden="1" customWidth="1"/>
    <col min="197" max="197" width="10.7238095238095" hidden="1" customWidth="1"/>
    <col min="198" max="198" width="14.2666666666667" hidden="1" customWidth="1"/>
    <col min="199" max="199" width="13.2666666666667" hidden="1" customWidth="1"/>
    <col min="200" max="200" width="10.7238095238095" hidden="1" customWidth="1"/>
    <col min="201" max="201" width="14.2666666666667" hidden="1" customWidth="1"/>
    <col min="202" max="202" width="13.2666666666667" hidden="1" customWidth="1"/>
    <col min="203" max="203" width="10.7238095238095" hidden="1" customWidth="1"/>
    <col min="204" max="204" width="14.2666666666667" hidden="1" customWidth="1"/>
    <col min="205" max="205" width="13.2666666666667" hidden="1" customWidth="1"/>
    <col min="206" max="206" width="10.7238095238095" hidden="1" customWidth="1"/>
    <col min="207" max="207" width="14.2666666666667" hidden="1" customWidth="1"/>
    <col min="208" max="208" width="13.2666666666667" hidden="1" customWidth="1"/>
    <col min="209" max="209" width="10.7238095238095" hidden="1" customWidth="1"/>
    <col min="210" max="210" width="14.2666666666667" hidden="1" customWidth="1"/>
    <col min="211" max="211" width="13.2666666666667" hidden="1" customWidth="1"/>
    <col min="212" max="212" width="7.18095238095238" customWidth="1"/>
    <col min="213" max="213" width="14.2666666666667" hidden="1" customWidth="1"/>
    <col min="214" max="214" width="13.2666666666667" hidden="1" customWidth="1"/>
    <col min="215" max="215" width="10.7238095238095" hidden="1" customWidth="1"/>
    <col min="216" max="216" width="14.2666666666667" hidden="1" customWidth="1"/>
    <col min="217" max="217" width="13.2666666666667" hidden="1" customWidth="1"/>
    <col min="218" max="218" width="6.45714285714286" customWidth="1"/>
    <col min="219" max="219" width="14.2666666666667" hidden="1" customWidth="1"/>
    <col min="220" max="220" width="13.2666666666667" hidden="1" customWidth="1"/>
    <col min="221" max="221" width="10.7238095238095" hidden="1" customWidth="1"/>
    <col min="222" max="222" width="14.2666666666667" hidden="1" customWidth="1"/>
    <col min="223" max="223" width="13.2666666666667" hidden="1" customWidth="1"/>
    <col min="224" max="224" width="6.54285714285714" customWidth="1"/>
    <col min="225" max="225" width="14.2666666666667" hidden="1" customWidth="1"/>
    <col min="226" max="226" width="13.2666666666667" hidden="1" customWidth="1"/>
    <col min="227" max="227" width="6.54285714285714" customWidth="1"/>
    <col min="228" max="228" width="14.2666666666667" hidden="1" customWidth="1"/>
    <col min="229" max="229" width="13.2666666666667" hidden="1" customWidth="1"/>
    <col min="230" max="230" width="10.7238095238095" hidden="1" customWidth="1"/>
    <col min="231" max="231" width="14.2666666666667" hidden="1" customWidth="1"/>
    <col min="232" max="232" width="13.2666666666667" hidden="1" customWidth="1"/>
    <col min="233" max="233" width="10.7238095238095" hidden="1" customWidth="1"/>
    <col min="234" max="234" width="14.2666666666667" hidden="1" customWidth="1"/>
    <col min="235" max="235" width="13.2666666666667" hidden="1" customWidth="1"/>
    <col min="236" max="236" width="6.54285714285714" customWidth="1"/>
    <col min="237" max="237" width="14.2666666666667" hidden="1" customWidth="1"/>
    <col min="238" max="238" width="13.2666666666667" hidden="1" customWidth="1"/>
    <col min="239" max="239" width="6.81904761904762" customWidth="1"/>
    <col min="240" max="240" width="14.2666666666667" hidden="1" customWidth="1"/>
    <col min="241" max="241" width="13.2666666666667" hidden="1" customWidth="1"/>
    <col min="242" max="242" width="10.7238095238095" hidden="1" customWidth="1"/>
    <col min="243" max="243" width="14.2666666666667" hidden="1" customWidth="1"/>
    <col min="244" max="244" width="13.2666666666667" hidden="1" customWidth="1"/>
    <col min="245" max="245" width="10.7238095238095" hidden="1" customWidth="1"/>
    <col min="246" max="246" width="14.2666666666667" hidden="1" customWidth="1"/>
    <col min="247" max="247" width="13.2666666666667" hidden="1" customWidth="1"/>
    <col min="248" max="248" width="10.7238095238095" hidden="1" customWidth="1"/>
    <col min="249" max="249" width="14.2666666666667" hidden="1" customWidth="1"/>
    <col min="250" max="250" width="13.2666666666667" hidden="1" customWidth="1"/>
    <col min="251" max="251" width="6.36190476190476" customWidth="1"/>
    <col min="252" max="252" width="14.2666666666667" hidden="1" customWidth="1"/>
    <col min="253" max="253" width="13.2666666666667" hidden="1" customWidth="1"/>
    <col min="254" max="254" width="10.7238095238095" hidden="1" customWidth="1"/>
    <col min="255" max="255" width="14.2666666666667" hidden="1" customWidth="1"/>
    <col min="256" max="256" width="13.2666666666667" hidden="1" customWidth="1"/>
    <col min="257" max="257" width="10.7238095238095" hidden="1" customWidth="1"/>
    <col min="258" max="258" width="14.2666666666667" hidden="1" customWidth="1"/>
    <col min="259" max="259" width="13.2666666666667" hidden="1" customWidth="1"/>
    <col min="260" max="260" width="10.7238095238095" hidden="1" customWidth="1"/>
    <col min="261" max="261" width="14.2666666666667" hidden="1" customWidth="1"/>
    <col min="262" max="262" width="13.2666666666667" hidden="1" customWidth="1"/>
    <col min="263" max="263" width="6.36190476190476" customWidth="1"/>
    <col min="264" max="264" width="14.2666666666667" hidden="1" customWidth="1"/>
    <col min="265" max="265" width="13.2666666666667" hidden="1" customWidth="1"/>
    <col min="266" max="266" width="6.72380952380952" customWidth="1"/>
    <col min="267" max="267" width="14.2666666666667" hidden="1" customWidth="1"/>
    <col min="268" max="268" width="13.2666666666667" hidden="1" customWidth="1"/>
    <col min="269" max="269" width="10.7238095238095" hidden="1" customWidth="1"/>
    <col min="270" max="270" width="14.2666666666667" hidden="1" customWidth="1"/>
    <col min="271" max="271" width="13.2666666666667" hidden="1" customWidth="1"/>
    <col min="272" max="272" width="10.7238095238095" hidden="1" customWidth="1"/>
    <col min="273" max="273" width="14.2666666666667" hidden="1" customWidth="1"/>
    <col min="274" max="274" width="13.2666666666667" hidden="1" customWidth="1"/>
    <col min="275" max="275" width="10.7238095238095" hidden="1" customWidth="1"/>
    <col min="276" max="276" width="14.2666666666667" hidden="1" customWidth="1"/>
    <col min="277" max="277" width="13.2666666666667" hidden="1" customWidth="1"/>
    <col min="278" max="278" width="10.7238095238095" hidden="1" customWidth="1"/>
  </cols>
  <sheetData>
    <row r="1" s="283" customFormat="1" ht="108" customHeight="1" spans="1:278">
      <c r="A1" s="284" t="s">
        <v>305</v>
      </c>
      <c r="B1" s="284"/>
      <c r="C1" s="284"/>
      <c r="D1" s="284"/>
      <c r="E1" s="285"/>
      <c r="F1" s="286" t="s">
        <v>306</v>
      </c>
      <c r="G1" s="286"/>
      <c r="H1" s="286"/>
      <c r="I1" s="286" t="s">
        <v>307</v>
      </c>
      <c r="J1" s="286"/>
      <c r="K1" s="286"/>
      <c r="L1" s="286" t="s">
        <v>308</v>
      </c>
      <c r="M1" s="286"/>
      <c r="N1" s="286"/>
      <c r="O1" s="286" t="s">
        <v>309</v>
      </c>
      <c r="P1" s="286"/>
      <c r="Q1" s="286"/>
      <c r="R1" s="286" t="s">
        <v>310</v>
      </c>
      <c r="S1" s="286"/>
      <c r="T1" s="286"/>
      <c r="U1" s="286" t="s">
        <v>311</v>
      </c>
      <c r="V1" s="286"/>
      <c r="W1" s="286"/>
      <c r="X1" s="286" t="s">
        <v>312</v>
      </c>
      <c r="Y1" s="286"/>
      <c r="Z1" s="286"/>
      <c r="AA1" s="286" t="s">
        <v>313</v>
      </c>
      <c r="AB1" s="286"/>
      <c r="AC1" s="286"/>
      <c r="AD1" s="286" t="s">
        <v>314</v>
      </c>
      <c r="AE1" s="286"/>
      <c r="AF1" s="286"/>
      <c r="AG1" s="286" t="s">
        <v>315</v>
      </c>
      <c r="AH1" s="286"/>
      <c r="AI1" s="286"/>
      <c r="AJ1" s="286" t="s">
        <v>316</v>
      </c>
      <c r="AK1" s="286"/>
      <c r="AL1" s="286"/>
      <c r="AM1" s="286" t="s">
        <v>317</v>
      </c>
      <c r="AN1" s="286"/>
      <c r="AO1" s="286"/>
      <c r="AP1" s="286" t="s">
        <v>318</v>
      </c>
      <c r="AQ1" s="286"/>
      <c r="AR1" s="286"/>
      <c r="AS1" s="286" t="s">
        <v>319</v>
      </c>
      <c r="AT1" s="286"/>
      <c r="AU1" s="286"/>
      <c r="AV1" s="286" t="s">
        <v>320</v>
      </c>
      <c r="AW1" s="286"/>
      <c r="AX1" s="286"/>
      <c r="AY1" s="286" t="s">
        <v>321</v>
      </c>
      <c r="AZ1" s="286"/>
      <c r="BA1" s="286"/>
      <c r="BB1" s="286" t="s">
        <v>322</v>
      </c>
      <c r="BC1" s="286"/>
      <c r="BD1" s="286"/>
      <c r="BE1" s="286" t="s">
        <v>323</v>
      </c>
      <c r="BF1" s="286"/>
      <c r="BG1" s="286"/>
      <c r="BH1" s="286" t="s">
        <v>324</v>
      </c>
      <c r="BI1" s="286"/>
      <c r="BJ1" s="286"/>
      <c r="BK1" s="286" t="s">
        <v>325</v>
      </c>
      <c r="BL1" s="286"/>
      <c r="BM1" s="286"/>
      <c r="BN1" s="286" t="s">
        <v>326</v>
      </c>
      <c r="BO1" s="286"/>
      <c r="BP1" s="286"/>
      <c r="BQ1" s="286" t="s">
        <v>327</v>
      </c>
      <c r="BR1" s="286"/>
      <c r="BS1" s="286"/>
      <c r="BT1" s="286" t="s">
        <v>328</v>
      </c>
      <c r="BU1" s="286"/>
      <c r="BV1" s="286"/>
      <c r="BW1" s="286" t="s">
        <v>329</v>
      </c>
      <c r="BX1" s="286"/>
      <c r="BY1" s="286"/>
      <c r="BZ1" s="286" t="s">
        <v>330</v>
      </c>
      <c r="CA1" s="286"/>
      <c r="CB1" s="286"/>
      <c r="CC1" s="286" t="s">
        <v>331</v>
      </c>
      <c r="CD1" s="286"/>
      <c r="CE1" s="286"/>
      <c r="CF1" s="286" t="s">
        <v>332</v>
      </c>
      <c r="CG1" s="286"/>
      <c r="CH1" s="286"/>
      <c r="CI1" s="286" t="s">
        <v>333</v>
      </c>
      <c r="CJ1" s="286"/>
      <c r="CK1" s="286"/>
      <c r="CL1" s="286" t="s">
        <v>334</v>
      </c>
      <c r="CM1" s="286"/>
      <c r="CN1" s="286"/>
      <c r="CO1" s="286" t="s">
        <v>335</v>
      </c>
      <c r="CP1" s="286"/>
      <c r="CQ1" s="286"/>
      <c r="CR1" s="286" t="s">
        <v>336</v>
      </c>
      <c r="CS1" s="286"/>
      <c r="CT1" s="286"/>
      <c r="CU1" s="286" t="s">
        <v>337</v>
      </c>
      <c r="CV1" s="286"/>
      <c r="CW1" s="286"/>
      <c r="CX1" s="286" t="s">
        <v>338</v>
      </c>
      <c r="CY1" s="286"/>
      <c r="CZ1" s="286"/>
      <c r="DA1" s="286" t="s">
        <v>339</v>
      </c>
      <c r="DB1" s="286"/>
      <c r="DC1" s="286"/>
      <c r="DD1" s="286" t="s">
        <v>340</v>
      </c>
      <c r="DE1" s="286"/>
      <c r="DF1" s="286"/>
      <c r="DG1" s="286" t="s">
        <v>341</v>
      </c>
      <c r="DH1" s="286"/>
      <c r="DI1" s="286"/>
      <c r="DJ1" s="286" t="s">
        <v>342</v>
      </c>
      <c r="DK1" s="286"/>
      <c r="DL1" s="286"/>
      <c r="DM1" s="286" t="s">
        <v>343</v>
      </c>
      <c r="DN1" s="286"/>
      <c r="DO1" s="286"/>
      <c r="DP1" s="286" t="s">
        <v>344</v>
      </c>
      <c r="DQ1" s="286"/>
      <c r="DR1" s="286"/>
      <c r="DS1" s="286" t="s">
        <v>345</v>
      </c>
      <c r="DT1" s="286"/>
      <c r="DU1" s="286"/>
      <c r="DV1" s="286" t="s">
        <v>346</v>
      </c>
      <c r="DW1" s="286"/>
      <c r="DX1" s="286"/>
      <c r="DY1" s="286" t="s">
        <v>347</v>
      </c>
      <c r="DZ1" s="286"/>
      <c r="EA1" s="286"/>
      <c r="EB1" s="286" t="s">
        <v>348</v>
      </c>
      <c r="EC1" s="286"/>
      <c r="ED1" s="286"/>
      <c r="EE1" s="286" t="s">
        <v>349</v>
      </c>
      <c r="EF1" s="286"/>
      <c r="EG1" s="286"/>
      <c r="EH1" s="286" t="s">
        <v>350</v>
      </c>
      <c r="EI1" s="286"/>
      <c r="EJ1" s="286"/>
      <c r="EK1" s="286" t="s">
        <v>351</v>
      </c>
      <c r="EL1" s="286"/>
      <c r="EM1" s="286"/>
      <c r="EN1" s="286" t="s">
        <v>352</v>
      </c>
      <c r="EO1" s="286"/>
      <c r="EP1" s="286"/>
      <c r="EQ1" s="286" t="s">
        <v>353</v>
      </c>
      <c r="ER1" s="286"/>
      <c r="ES1" s="286"/>
      <c r="ET1" s="286" t="s">
        <v>354</v>
      </c>
      <c r="EU1" s="286"/>
      <c r="EV1" s="286"/>
      <c r="EW1" s="286" t="s">
        <v>355</v>
      </c>
      <c r="EX1" s="286"/>
      <c r="EY1" s="286"/>
      <c r="EZ1" s="286" t="s">
        <v>356</v>
      </c>
      <c r="FA1" s="286"/>
      <c r="FB1" s="286"/>
      <c r="FC1" s="286" t="s">
        <v>357</v>
      </c>
      <c r="FD1" s="286"/>
      <c r="FE1" s="286"/>
      <c r="FF1" s="286" t="s">
        <v>358</v>
      </c>
      <c r="FG1" s="286"/>
      <c r="FH1" s="286"/>
      <c r="FI1" s="286" t="s">
        <v>359</v>
      </c>
      <c r="FJ1" s="286"/>
      <c r="FK1" s="286"/>
      <c r="FL1" s="213" t="s">
        <v>360</v>
      </c>
      <c r="FM1" s="214"/>
      <c r="FN1" s="215"/>
      <c r="FO1" s="286" t="s">
        <v>361</v>
      </c>
      <c r="FP1" s="286"/>
      <c r="FQ1" s="286"/>
      <c r="FR1" s="286" t="s">
        <v>362</v>
      </c>
      <c r="FS1" s="286"/>
      <c r="FT1" s="286"/>
      <c r="FU1" s="286" t="s">
        <v>363</v>
      </c>
      <c r="FV1" s="286"/>
      <c r="FW1" s="286"/>
      <c r="FX1" s="286" t="s">
        <v>364</v>
      </c>
      <c r="FY1" s="286"/>
      <c r="FZ1" s="286"/>
      <c r="GA1" s="286" t="s">
        <v>365</v>
      </c>
      <c r="GB1" s="286"/>
      <c r="GC1" s="286"/>
      <c r="GD1" s="286" t="s">
        <v>366</v>
      </c>
      <c r="GE1" s="286"/>
      <c r="GF1" s="286"/>
      <c r="GG1" s="286" t="s">
        <v>367</v>
      </c>
      <c r="GH1" s="286"/>
      <c r="GI1" s="286"/>
      <c r="GJ1" s="286" t="s">
        <v>368</v>
      </c>
      <c r="GK1" s="286"/>
      <c r="GL1" s="286"/>
      <c r="GM1" s="286" t="s">
        <v>369</v>
      </c>
      <c r="GN1" s="286"/>
      <c r="GO1" s="286"/>
      <c r="GP1" s="286" t="s">
        <v>370</v>
      </c>
      <c r="GQ1" s="286"/>
      <c r="GR1" s="286"/>
      <c r="GS1" s="286" t="s">
        <v>371</v>
      </c>
      <c r="GT1" s="286"/>
      <c r="GU1" s="286"/>
      <c r="GV1" s="286" t="s">
        <v>372</v>
      </c>
      <c r="GW1" s="286"/>
      <c r="GX1" s="286"/>
      <c r="GY1" s="286" t="s">
        <v>373</v>
      </c>
      <c r="GZ1" s="286"/>
      <c r="HA1" s="286"/>
      <c r="HB1" s="286" t="s">
        <v>374</v>
      </c>
      <c r="HC1" s="286"/>
      <c r="HD1" s="286"/>
      <c r="HE1" s="286" t="s">
        <v>375</v>
      </c>
      <c r="HF1" s="286"/>
      <c r="HG1" s="286"/>
      <c r="HH1" s="286" t="s">
        <v>376</v>
      </c>
      <c r="HI1" s="286"/>
      <c r="HJ1" s="286"/>
      <c r="HK1" s="286" t="s">
        <v>377</v>
      </c>
      <c r="HL1" s="286"/>
      <c r="HM1" s="286"/>
      <c r="HN1" s="286" t="s">
        <v>378</v>
      </c>
      <c r="HO1" s="286"/>
      <c r="HP1" s="286"/>
      <c r="HQ1" s="286" t="s">
        <v>379</v>
      </c>
      <c r="HR1" s="286"/>
      <c r="HS1" s="286"/>
      <c r="HT1" s="286" t="s">
        <v>380</v>
      </c>
      <c r="HU1" s="286"/>
      <c r="HV1" s="286"/>
      <c r="HW1" s="286" t="s">
        <v>381</v>
      </c>
      <c r="HX1" s="286"/>
      <c r="HY1" s="286"/>
      <c r="HZ1" s="286" t="s">
        <v>382</v>
      </c>
      <c r="IA1" s="286"/>
      <c r="IB1" s="286"/>
      <c r="IC1" s="286" t="s">
        <v>383</v>
      </c>
      <c r="ID1" s="286"/>
      <c r="IE1" s="286"/>
      <c r="IF1" s="286" t="s">
        <v>384</v>
      </c>
      <c r="IG1" s="286"/>
      <c r="IH1" s="286"/>
      <c r="II1" s="286" t="s">
        <v>385</v>
      </c>
      <c r="IJ1" s="286"/>
      <c r="IK1" s="286"/>
      <c r="IL1" s="286" t="s">
        <v>386</v>
      </c>
      <c r="IM1" s="286"/>
      <c r="IN1" s="286"/>
      <c r="IO1" s="286" t="s">
        <v>387</v>
      </c>
      <c r="IP1" s="286"/>
      <c r="IQ1" s="286"/>
      <c r="IR1" s="286" t="s">
        <v>388</v>
      </c>
      <c r="IS1" s="286"/>
      <c r="IT1" s="286"/>
      <c r="IU1" s="286" t="s">
        <v>389</v>
      </c>
      <c r="IV1" s="286"/>
      <c r="IW1" s="286"/>
      <c r="IX1" s="286" t="s">
        <v>390</v>
      </c>
      <c r="IY1" s="286"/>
      <c r="IZ1" s="286"/>
      <c r="JA1" s="286" t="s">
        <v>391</v>
      </c>
      <c r="JB1" s="286"/>
      <c r="JC1" s="286"/>
      <c r="JD1" s="286" t="s">
        <v>392</v>
      </c>
      <c r="JE1" s="286"/>
      <c r="JF1" s="286"/>
      <c r="JG1" s="286" t="s">
        <v>393</v>
      </c>
      <c r="JH1" s="286"/>
      <c r="JI1" s="286"/>
      <c r="JJ1" s="286" t="s">
        <v>394</v>
      </c>
      <c r="JK1" s="286"/>
      <c r="JL1" s="286"/>
      <c r="JM1" s="286" t="s">
        <v>395</v>
      </c>
      <c r="JN1" s="286"/>
      <c r="JO1" s="286"/>
      <c r="JP1" s="286" t="s">
        <v>396</v>
      </c>
      <c r="JQ1" s="286"/>
      <c r="JR1" s="286"/>
    </row>
    <row r="2" ht="15.75" spans="1:278">
      <c r="A2" s="77"/>
      <c r="B2" s="77" t="s">
        <v>463</v>
      </c>
      <c r="C2" s="34"/>
      <c r="D2" s="34"/>
      <c r="E2" s="287"/>
      <c r="F2" s="35"/>
      <c r="G2" s="35"/>
      <c r="H2" s="77"/>
      <c r="I2" s="77"/>
      <c r="J2" s="77"/>
      <c r="K2" s="77"/>
      <c r="L2" s="77"/>
      <c r="M2" s="77"/>
      <c r="N2" s="77"/>
      <c r="O2" s="77"/>
      <c r="P2" s="77"/>
      <c r="Q2" s="77">
        <v>1</v>
      </c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131">
        <v>6</v>
      </c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>
        <v>2</v>
      </c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>
        <v>3</v>
      </c>
      <c r="BK2" s="77"/>
      <c r="BL2" s="77"/>
      <c r="BM2" s="77"/>
      <c r="BN2" s="77"/>
      <c r="BO2" s="77"/>
      <c r="BP2" s="77"/>
      <c r="BQ2" s="77"/>
      <c r="BR2" s="77"/>
      <c r="BS2" s="77"/>
      <c r="BT2" s="77"/>
      <c r="BU2" s="77"/>
      <c r="BV2" s="77"/>
      <c r="BW2" s="77"/>
      <c r="BX2" s="77"/>
      <c r="BY2" s="77"/>
      <c r="BZ2" s="77"/>
      <c r="CA2" s="77"/>
      <c r="CB2" s="77"/>
      <c r="CC2" s="77"/>
      <c r="CD2" s="77"/>
      <c r="CE2" s="77"/>
      <c r="CF2" s="77"/>
      <c r="CG2" s="77"/>
      <c r="CH2" s="77"/>
      <c r="CI2" s="77"/>
      <c r="CJ2" s="77"/>
      <c r="CK2" s="77"/>
      <c r="CL2" s="77"/>
      <c r="CM2" s="77"/>
      <c r="CN2" s="77"/>
      <c r="CO2" s="77"/>
      <c r="CP2" s="77"/>
      <c r="CQ2" s="77"/>
      <c r="CR2" s="77"/>
      <c r="CS2" s="77"/>
      <c r="CT2" s="77"/>
      <c r="CU2" s="77"/>
      <c r="CV2" s="77"/>
      <c r="CW2" s="77"/>
      <c r="CX2" s="77"/>
      <c r="CY2" s="77"/>
      <c r="CZ2" s="77"/>
      <c r="DA2" s="77"/>
      <c r="DB2" s="77"/>
      <c r="DC2" s="77"/>
      <c r="DD2" s="77"/>
      <c r="DE2" s="77"/>
      <c r="DF2" s="77"/>
      <c r="DG2" s="77"/>
      <c r="DH2" s="77"/>
      <c r="DI2" s="129"/>
      <c r="DJ2" s="77"/>
      <c r="DK2" s="77"/>
      <c r="DL2" s="77"/>
      <c r="DM2" s="77"/>
      <c r="DN2" s="77"/>
      <c r="DO2" s="77"/>
      <c r="DP2" s="77"/>
      <c r="DQ2" s="77"/>
      <c r="DR2" s="77"/>
      <c r="DS2" s="77"/>
      <c r="DT2" s="77"/>
      <c r="DU2" s="77"/>
      <c r="DV2" s="77"/>
      <c r="DW2" s="77"/>
      <c r="DX2" s="77"/>
      <c r="DY2" s="77"/>
      <c r="DZ2" s="77"/>
      <c r="EA2" s="77"/>
      <c r="EB2" s="77"/>
      <c r="EC2" s="77"/>
      <c r="ED2" s="77"/>
      <c r="EE2" s="77"/>
      <c r="EF2" s="77"/>
      <c r="EG2" s="77"/>
      <c r="EH2" s="77"/>
      <c r="EI2" s="77"/>
      <c r="EJ2" s="77"/>
      <c r="EK2" s="77"/>
      <c r="EL2" s="77"/>
      <c r="EM2" s="77"/>
      <c r="EN2" s="77"/>
      <c r="EO2" s="77"/>
      <c r="EP2" s="77"/>
      <c r="EQ2" s="77"/>
      <c r="ER2" s="77"/>
      <c r="ES2" s="77"/>
      <c r="ET2" s="77"/>
      <c r="EU2" s="77"/>
      <c r="EV2" s="77"/>
      <c r="EW2" s="77"/>
      <c r="EX2" s="77"/>
      <c r="EY2" s="77"/>
      <c r="EZ2" s="77"/>
      <c r="FA2" s="77"/>
      <c r="FB2" s="77"/>
      <c r="FC2" s="77"/>
      <c r="FD2" s="77"/>
      <c r="FE2" s="77"/>
      <c r="FF2" s="77"/>
      <c r="FG2" s="77"/>
      <c r="FH2" s="77"/>
      <c r="FI2" s="77"/>
      <c r="FJ2" s="77"/>
      <c r="FK2" s="77"/>
      <c r="FL2" s="77"/>
      <c r="FM2" s="77"/>
      <c r="FN2" s="77"/>
      <c r="FO2" s="77"/>
      <c r="FP2" s="77"/>
      <c r="FQ2" s="77">
        <v>4</v>
      </c>
      <c r="FR2" s="77"/>
      <c r="FS2" s="77"/>
      <c r="FT2" s="77"/>
      <c r="FU2" s="77"/>
      <c r="FV2" s="77"/>
      <c r="FW2" s="77"/>
      <c r="FX2" s="77"/>
      <c r="FY2" s="77"/>
      <c r="FZ2" s="77"/>
      <c r="GA2" s="77"/>
      <c r="GB2" s="77"/>
      <c r="GC2" s="77"/>
      <c r="GD2" s="77"/>
      <c r="GE2" s="77"/>
      <c r="GF2" s="77"/>
      <c r="GG2" s="77"/>
      <c r="GH2" s="77"/>
      <c r="GI2" s="77"/>
      <c r="GJ2" s="77"/>
      <c r="GK2" s="77"/>
      <c r="GL2" s="77"/>
      <c r="GM2" s="77"/>
      <c r="GN2" s="77"/>
      <c r="GO2" s="77"/>
      <c r="GP2" s="77"/>
      <c r="GQ2" s="77"/>
      <c r="GR2" s="77"/>
      <c r="GS2" s="77"/>
      <c r="GT2" s="77"/>
      <c r="GU2" s="77"/>
      <c r="GV2" s="77"/>
      <c r="GW2" s="77"/>
      <c r="GX2" s="77"/>
      <c r="GY2" s="77"/>
      <c r="GZ2" s="77"/>
      <c r="HA2" s="77"/>
      <c r="HB2" s="77"/>
      <c r="HC2" s="77"/>
      <c r="HD2" s="77"/>
      <c r="HE2" s="77"/>
      <c r="HF2" s="77"/>
      <c r="HG2" s="77"/>
      <c r="HH2" s="77"/>
      <c r="HI2" s="77"/>
      <c r="HJ2" s="77"/>
      <c r="HK2" s="77"/>
      <c r="HL2" s="77"/>
      <c r="HM2" s="77"/>
      <c r="HN2" s="77"/>
      <c r="HO2" s="77"/>
      <c r="HP2" s="77"/>
      <c r="HQ2" s="77"/>
      <c r="HR2" s="77"/>
      <c r="HS2" s="77"/>
      <c r="HT2" s="77"/>
      <c r="HU2" s="77"/>
      <c r="HV2" s="77"/>
      <c r="HW2" s="77"/>
      <c r="HX2" s="77"/>
      <c r="HY2" s="77"/>
      <c r="HZ2" s="77"/>
      <c r="IA2" s="77"/>
      <c r="IB2" s="77">
        <v>5</v>
      </c>
      <c r="IC2" s="77"/>
      <c r="ID2" s="77"/>
      <c r="IE2" s="77"/>
      <c r="IF2" s="77"/>
      <c r="IG2" s="77"/>
      <c r="IH2" s="77"/>
      <c r="II2" s="77"/>
      <c r="IJ2" s="77"/>
      <c r="IK2" s="77"/>
      <c r="IL2" s="77"/>
      <c r="IM2" s="77"/>
      <c r="IN2" s="77"/>
      <c r="IO2" s="77"/>
      <c r="IP2" s="77"/>
      <c r="IQ2" s="77"/>
      <c r="IR2" s="77"/>
      <c r="IS2" s="77"/>
      <c r="IT2" s="77"/>
      <c r="IU2" s="77"/>
      <c r="IV2" s="77"/>
      <c r="IW2" s="77"/>
      <c r="IX2" s="77"/>
      <c r="IY2" s="77"/>
      <c r="IZ2" s="77"/>
      <c r="JA2" s="77"/>
      <c r="JB2" s="77"/>
      <c r="JC2" s="77"/>
      <c r="JD2" s="77"/>
      <c r="JE2" s="77"/>
      <c r="JF2" s="77"/>
      <c r="JG2" s="35"/>
      <c r="JH2" s="35"/>
      <c r="JI2" s="35"/>
      <c r="JJ2" s="35"/>
      <c r="JK2" s="35"/>
      <c r="JL2" s="35"/>
      <c r="JM2" s="35"/>
      <c r="JN2" s="35"/>
      <c r="JO2" s="35"/>
      <c r="JP2" s="35"/>
      <c r="JQ2" s="35"/>
      <c r="JR2" s="35"/>
    </row>
    <row r="3" spans="1:278">
      <c r="A3" s="2">
        <v>1</v>
      </c>
      <c r="B3" s="2" t="s">
        <v>65</v>
      </c>
      <c r="C3" s="37" t="s">
        <v>161</v>
      </c>
      <c r="D3" s="2" t="s">
        <v>162</v>
      </c>
      <c r="E3" s="2" t="s">
        <v>302</v>
      </c>
      <c r="F3" s="20">
        <f>F5*1.333</f>
        <v>677026247.78</v>
      </c>
      <c r="G3" s="20">
        <v>87823960</v>
      </c>
      <c r="H3" s="38">
        <f>F3/G3</f>
        <v>7.70890139524567</v>
      </c>
      <c r="I3" s="20">
        <f>I5*1.333</f>
        <v>-2755953717.947</v>
      </c>
      <c r="J3" s="20">
        <v>211800000</v>
      </c>
      <c r="K3" s="288">
        <f>I3/J3</f>
        <v>-13.0120572141029</v>
      </c>
      <c r="L3" s="20">
        <f>L5*1.333</f>
        <v>287449453</v>
      </c>
      <c r="M3" s="20">
        <v>34090650</v>
      </c>
      <c r="N3" s="38">
        <f>L3/M3</f>
        <v>8.43191470388508</v>
      </c>
      <c r="O3" s="20">
        <f>O5*1.333</f>
        <v>1111971920.171</v>
      </c>
      <c r="P3" s="20">
        <v>37800000</v>
      </c>
      <c r="Q3" s="96">
        <f>O3/P3</f>
        <v>29.4172465653704</v>
      </c>
      <c r="R3" s="20">
        <f>R5*1.333</f>
        <v>369122458.976</v>
      </c>
      <c r="S3" s="20">
        <v>37379937</v>
      </c>
      <c r="T3" s="38">
        <f>R3/S3</f>
        <v>9.87488178420418</v>
      </c>
      <c r="U3" s="20">
        <f>U5*1.333</f>
        <v>116954967.28</v>
      </c>
      <c r="V3" s="20">
        <v>22050000</v>
      </c>
      <c r="W3" s="38">
        <f>U3/V3</f>
        <v>5.30408014875283</v>
      </c>
      <c r="X3" s="20">
        <f>X5*1.333</f>
        <v>-194660656</v>
      </c>
      <c r="Y3" s="20">
        <v>68421000</v>
      </c>
      <c r="Z3" s="219">
        <f>X3/Y3</f>
        <v>-2.84504254541734</v>
      </c>
      <c r="AA3" s="20">
        <f>AA5*1.333</f>
        <v>-36645836.25</v>
      </c>
      <c r="AB3" s="20">
        <v>60000000</v>
      </c>
      <c r="AC3" s="219">
        <f>AA3/AB3</f>
        <v>-0.6107639375</v>
      </c>
      <c r="AD3" s="20">
        <f>AD5*1.333</f>
        <v>471212255.478</v>
      </c>
      <c r="AE3" s="20">
        <v>60759278</v>
      </c>
      <c r="AF3" s="38">
        <f>AD3/AE3</f>
        <v>7.75539589983278</v>
      </c>
      <c r="AG3" s="20">
        <f>AG5*1.333</f>
        <v>281857056.782</v>
      </c>
      <c r="AH3" s="20">
        <v>33325000</v>
      </c>
      <c r="AI3" s="38">
        <f>AG3/AH3</f>
        <v>8.45782616</v>
      </c>
      <c r="AJ3" s="20">
        <f>AJ5*1.333</f>
        <v>497911315.044</v>
      </c>
      <c r="AK3" s="20">
        <v>34375000</v>
      </c>
      <c r="AL3" s="38">
        <f>AJ3/AK3</f>
        <v>14.48469280128</v>
      </c>
      <c r="AM3" s="20">
        <f>AM5*1.333</f>
        <v>-180228193.018</v>
      </c>
      <c r="AN3" s="20">
        <v>32000000</v>
      </c>
      <c r="AO3" s="219">
        <f>AM3/AN3</f>
        <v>-5.6321310318125</v>
      </c>
      <c r="AP3" s="20">
        <f>AP5*1.333</f>
        <v>619930857.197</v>
      </c>
      <c r="AQ3" s="20">
        <v>26027157</v>
      </c>
      <c r="AR3" s="96">
        <f>AP3/AQ3</f>
        <v>23.8186159632034</v>
      </c>
      <c r="AS3" s="20">
        <f>AS5*1.333</f>
        <v>108107322.411</v>
      </c>
      <c r="AT3" s="20">
        <v>18389793</v>
      </c>
      <c r="AU3" s="38">
        <f>AS3/AT3</f>
        <v>5.87865901541143</v>
      </c>
      <c r="AV3" s="20">
        <f>AV5*1.333</f>
        <v>30651460.552</v>
      </c>
      <c r="AW3" s="20">
        <v>37025584</v>
      </c>
      <c r="AX3" s="219">
        <f>AV3/AW3</f>
        <v>0.827845431202382</v>
      </c>
      <c r="AY3" s="20">
        <f>AY5*1.333</f>
        <v>200300301.736</v>
      </c>
      <c r="AZ3" s="20">
        <v>13636370</v>
      </c>
      <c r="BA3" s="38">
        <f>AY3/AZ3</f>
        <v>14.6886819392551</v>
      </c>
      <c r="BB3" s="20">
        <f>BB5*1.333</f>
        <v>-323743270.61</v>
      </c>
      <c r="BC3" s="20">
        <v>36500000</v>
      </c>
      <c r="BD3" s="219">
        <f>BB3/BC3</f>
        <v>-8.86967864684932</v>
      </c>
      <c r="BE3" s="20">
        <f>BE5*1.333</f>
        <v>20093027.487</v>
      </c>
      <c r="BF3" s="20">
        <v>19125000</v>
      </c>
      <c r="BG3" s="38">
        <f>BE3/BF3</f>
        <v>1.05061581631373</v>
      </c>
      <c r="BH3" s="20">
        <f>BH5*1.333</f>
        <v>455750727.16</v>
      </c>
      <c r="BI3" s="20">
        <v>38480030</v>
      </c>
      <c r="BJ3" s="38">
        <f>BH3/BI3</f>
        <v>11.8438246321534</v>
      </c>
      <c r="BK3" s="20">
        <f>BK5*1.333</f>
        <v>42921690.894</v>
      </c>
      <c r="BL3" s="20">
        <v>38959421</v>
      </c>
      <c r="BM3" s="38">
        <f>BK3/BL3</f>
        <v>1.10170248407952</v>
      </c>
      <c r="BN3" s="20">
        <f>BN5*1.333</f>
        <v>141846886.744</v>
      </c>
      <c r="BO3" s="20">
        <v>22799299</v>
      </c>
      <c r="BP3" s="38">
        <f>BN3/BO3</f>
        <v>6.22154596700539</v>
      </c>
      <c r="BQ3" s="20">
        <f>BQ5*1.333</f>
        <v>-99331.161</v>
      </c>
      <c r="BR3" s="20">
        <v>29000</v>
      </c>
      <c r="BS3" s="260">
        <f>BQ3/BR3</f>
        <v>-3.42521244827586</v>
      </c>
      <c r="BT3" s="20">
        <f>BT5*1.333</f>
        <v>-23524384.1</v>
      </c>
      <c r="BU3" s="20">
        <v>17891627</v>
      </c>
      <c r="BV3" s="219">
        <f>BT3/BU3</f>
        <v>-1.31482643249829</v>
      </c>
      <c r="BW3" s="20">
        <f>BW5*1.333</f>
        <v>179063770.863</v>
      </c>
      <c r="BX3" s="20">
        <v>29000000</v>
      </c>
      <c r="BY3" s="38">
        <f>BW3/BX3</f>
        <v>6.17461278837931</v>
      </c>
      <c r="BZ3" s="20">
        <f>BZ5*1.333</f>
        <v>-435451689.855</v>
      </c>
      <c r="CA3" s="20">
        <v>36559400</v>
      </c>
      <c r="CB3" s="260">
        <f>BZ3/CA3</f>
        <v>-11.9107996809302</v>
      </c>
      <c r="CC3" s="20">
        <f>CC5*1.333</f>
        <v>115204848.919</v>
      </c>
      <c r="CD3" s="20">
        <v>8500000</v>
      </c>
      <c r="CE3" s="38">
        <f>CC3/CD3</f>
        <v>13.5535116375294</v>
      </c>
      <c r="CF3" s="20">
        <f>CF5*1.333</f>
        <v>-57189699</v>
      </c>
      <c r="CG3" s="20">
        <v>15000000</v>
      </c>
      <c r="CH3" s="260">
        <f>CF3/CG3</f>
        <v>-3.8126466</v>
      </c>
      <c r="CI3" s="20">
        <f>CI5*1.333</f>
        <v>40928.432</v>
      </c>
      <c r="CJ3" s="20">
        <v>12305</v>
      </c>
      <c r="CK3" s="38">
        <f>CI3/CJ3</f>
        <v>3.32616269809021</v>
      </c>
      <c r="CL3" s="20">
        <f>CL5*1.333</f>
        <v>116146472.121</v>
      </c>
      <c r="CM3" s="20">
        <v>7484000</v>
      </c>
      <c r="CN3" s="96">
        <f>CL3/CM3</f>
        <v>15.5193041316141</v>
      </c>
      <c r="CO3" s="20">
        <f>CO5*1.333</f>
        <v>56293692.391</v>
      </c>
      <c r="CP3" s="20">
        <v>5949473</v>
      </c>
      <c r="CQ3" s="38">
        <f>CO3/CP3</f>
        <v>9.46196283116168</v>
      </c>
      <c r="CR3" s="20">
        <f>CR5*1.333</f>
        <v>-51871219.619</v>
      </c>
      <c r="CS3" s="20">
        <v>10542604</v>
      </c>
      <c r="CT3" s="260">
        <f>CR3/CS3</f>
        <v>-4.92015251820138</v>
      </c>
      <c r="CU3" s="20">
        <f>CU5*1.333</f>
        <v>90735418.473</v>
      </c>
      <c r="CV3" s="20">
        <v>15930000</v>
      </c>
      <c r="CW3" s="38">
        <f>CU3/CV3</f>
        <v>5.6958831433145</v>
      </c>
      <c r="CX3" s="20">
        <f>CX5*1.333</f>
        <v>42085507.992</v>
      </c>
      <c r="CY3" s="20">
        <v>11732000</v>
      </c>
      <c r="CZ3" s="38">
        <f>CX3/CY3</f>
        <v>3.5872407084896</v>
      </c>
      <c r="DA3" s="20">
        <f>DA5*1.333</f>
        <v>25337222.777</v>
      </c>
      <c r="DB3" s="20">
        <v>10000000</v>
      </c>
      <c r="DC3" s="38">
        <f>DA3/DB3</f>
        <v>2.5337222777</v>
      </c>
      <c r="DD3" s="20">
        <f>DD5*1.333</f>
        <v>7458284.296</v>
      </c>
      <c r="DE3" s="20">
        <v>23233518</v>
      </c>
      <c r="DF3" s="219">
        <f>DD3/DE3</f>
        <v>0.321013989185796</v>
      </c>
      <c r="DG3" s="20">
        <f>DG5*1.333</f>
        <v>163713134.815</v>
      </c>
      <c r="DH3" s="20">
        <v>13500000</v>
      </c>
      <c r="DI3" s="38">
        <f>DG3/DH3</f>
        <v>12.1268988751852</v>
      </c>
      <c r="DJ3" s="20">
        <f>DJ5*1.333</f>
        <v>-62083264.636</v>
      </c>
      <c r="DK3" s="20">
        <v>28000000</v>
      </c>
      <c r="DL3" s="219">
        <f>DJ3/DK3</f>
        <v>-2.21725945128571</v>
      </c>
      <c r="DM3" s="20">
        <f>DM5*1.333</f>
        <v>88445487.099</v>
      </c>
      <c r="DN3" s="20">
        <v>11298000</v>
      </c>
      <c r="DO3" s="38">
        <f>DM3/DN3</f>
        <v>7.82841981757833</v>
      </c>
      <c r="DP3" s="20">
        <f>DP5*1.333</f>
        <v>77065370.173</v>
      </c>
      <c r="DQ3" s="20">
        <v>10654170</v>
      </c>
      <c r="DR3" s="38">
        <f>DP3/DQ3</f>
        <v>7.23335277858341</v>
      </c>
      <c r="DS3" s="20">
        <f>DS5*1.333</f>
        <v>-10852496.864</v>
      </c>
      <c r="DT3" s="20">
        <v>24671629</v>
      </c>
      <c r="DU3" s="219">
        <f>DS3/DT3</f>
        <v>-0.439877596408409</v>
      </c>
      <c r="DV3" s="20">
        <f>DV5*1.333</f>
        <v>117555333.151</v>
      </c>
      <c r="DW3" s="20">
        <v>9339495</v>
      </c>
      <c r="DX3" s="38">
        <f>DV3/DW3</f>
        <v>12.5869046614405</v>
      </c>
      <c r="DY3" s="20">
        <f>DY5*1.333</f>
        <v>46561094.149</v>
      </c>
      <c r="DZ3" s="20">
        <v>19800000</v>
      </c>
      <c r="EA3" s="288">
        <f>DY3/DZ3</f>
        <v>2.35157041156566</v>
      </c>
      <c r="EB3" s="20">
        <f>EB5*1.333</f>
        <v>58200230.304</v>
      </c>
      <c r="EC3" s="20">
        <v>12098625</v>
      </c>
      <c r="ED3" s="38">
        <f>EB3/EC3</f>
        <v>4.81048303455971</v>
      </c>
      <c r="EE3" s="20">
        <f>EE5*1.333</f>
        <v>-32753338.951</v>
      </c>
      <c r="EF3" s="20">
        <v>22500000</v>
      </c>
      <c r="EG3" s="219">
        <f>EE3/EF3</f>
        <v>-1.45570395337778</v>
      </c>
      <c r="EH3" s="20">
        <f>EH5*1.333</f>
        <v>4769665.952</v>
      </c>
      <c r="EI3" s="20">
        <v>5358150</v>
      </c>
      <c r="EJ3" s="219">
        <f>EH3/EI3</f>
        <v>0.89017029235837</v>
      </c>
      <c r="EK3" s="20">
        <f>EK5*1.333</f>
        <v>34318567.546</v>
      </c>
      <c r="EL3" s="20">
        <v>18000000</v>
      </c>
      <c r="EM3" s="219">
        <f>EK3/EL3</f>
        <v>1.90658708588889</v>
      </c>
      <c r="EN3" s="20">
        <f>EN5*1.333</f>
        <v>74238143.823</v>
      </c>
      <c r="EO3" s="20">
        <v>7600000</v>
      </c>
      <c r="EP3" s="38">
        <f>EN3/EO3</f>
        <v>9.76817681881579</v>
      </c>
      <c r="EQ3" s="20">
        <f>EQ5*1.333</f>
        <v>60894345.94</v>
      </c>
      <c r="ER3" s="20">
        <v>5350000</v>
      </c>
      <c r="ES3" s="38">
        <f>EQ3/ER3</f>
        <v>11.3821207364486</v>
      </c>
      <c r="ET3" s="20">
        <f>ET5*1.333</f>
        <v>1927597.98</v>
      </c>
      <c r="EU3" s="20">
        <v>7000000</v>
      </c>
      <c r="EV3" s="219">
        <f>ET3/EU3</f>
        <v>0.27537114</v>
      </c>
      <c r="EW3" s="20">
        <f>EW5*1.333</f>
        <v>85576355.228</v>
      </c>
      <c r="EX3" s="20">
        <v>10950000</v>
      </c>
      <c r="EY3" s="38">
        <f>EW3/EX3</f>
        <v>7.81519225826484</v>
      </c>
      <c r="EZ3" s="20">
        <f>EZ5*1.333</f>
        <v>44897700.768</v>
      </c>
      <c r="FA3" s="20">
        <v>20000000</v>
      </c>
      <c r="FB3" s="38">
        <f>EZ3/FA3</f>
        <v>2.2448850384</v>
      </c>
      <c r="FC3" s="20">
        <f>FC5*1.333</f>
        <v>-32848363.189</v>
      </c>
      <c r="FD3" s="20">
        <v>16500000</v>
      </c>
      <c r="FE3" s="219">
        <f>FC3/FD3</f>
        <v>-1.99080989024242</v>
      </c>
      <c r="FF3" s="20">
        <f>FF5*1.333</f>
        <v>-65642.252</v>
      </c>
      <c r="FG3" s="20">
        <v>10000</v>
      </c>
      <c r="FH3" s="219">
        <f>FF3/FG3</f>
        <v>-6.5642252</v>
      </c>
      <c r="FI3" s="20">
        <f>FI5*1.333</f>
        <v>-49527483.033</v>
      </c>
      <c r="FJ3" s="20">
        <v>6127938</v>
      </c>
      <c r="FK3" s="219">
        <f>FI3/FJ3</f>
        <v>-8.08224284139298</v>
      </c>
      <c r="FL3" s="20">
        <f>FL5*1.333</f>
        <v>5751740.372</v>
      </c>
      <c r="FM3" s="20">
        <v>11000000</v>
      </c>
      <c r="FN3" s="219">
        <f>FL3/FM3</f>
        <v>0.522885488363636</v>
      </c>
      <c r="FO3" s="20">
        <f>FO5*1.333</f>
        <v>93594427.542</v>
      </c>
      <c r="FP3" s="20">
        <v>5673222</v>
      </c>
      <c r="FQ3" s="96">
        <f>FO3/FP3</f>
        <v>16.4975788964366</v>
      </c>
      <c r="FR3" s="20">
        <f>FR5*1.333</f>
        <v>48894289.371</v>
      </c>
      <c r="FS3" s="20">
        <v>6467671</v>
      </c>
      <c r="FT3" s="38">
        <f>FR3/FS3</f>
        <v>7.5597984762985</v>
      </c>
      <c r="FU3" s="20">
        <f>FU5*1.333</f>
        <v>10400066</v>
      </c>
      <c r="FV3" s="20">
        <v>6326000</v>
      </c>
      <c r="FW3" s="219">
        <f>FU3/FV3</f>
        <v>1.64401928548846</v>
      </c>
      <c r="FX3" s="20">
        <f>FX5*1.333</f>
        <v>-26059054.274</v>
      </c>
      <c r="FY3" s="20">
        <v>5440534</v>
      </c>
      <c r="FZ3" s="260">
        <f>FX3/FY3</f>
        <v>-4.78979715483811</v>
      </c>
      <c r="GA3" s="20">
        <f>GA5*2</f>
        <v>-123090850</v>
      </c>
      <c r="GB3" s="20">
        <v>14764000</v>
      </c>
      <c r="GC3" s="219">
        <f>GA3/GB3</f>
        <v>-8.33722907071254</v>
      </c>
      <c r="GD3" s="20">
        <f>GD5*1.333</f>
        <v>40252066.467</v>
      </c>
      <c r="GE3" s="20">
        <v>8025000</v>
      </c>
      <c r="GF3" s="38">
        <f>GD3/GE3</f>
        <v>5.01583382766355</v>
      </c>
      <c r="GG3" s="20">
        <f>GG5*1.333</f>
        <v>3298623.138</v>
      </c>
      <c r="GH3" s="20">
        <v>3921568</v>
      </c>
      <c r="GI3" s="219">
        <f>GG3/GH3</f>
        <v>0.841149034773846</v>
      </c>
      <c r="GJ3" s="20">
        <f>GJ5*1.333</f>
        <v>16492261.237</v>
      </c>
      <c r="GK3" s="20">
        <v>6200000</v>
      </c>
      <c r="GL3" s="219">
        <f>GJ3/GK3</f>
        <v>2.660042135</v>
      </c>
      <c r="GM3" s="20">
        <f>GM5*1.333</f>
        <v>-68797129.75</v>
      </c>
      <c r="GN3" s="20">
        <v>9625000</v>
      </c>
      <c r="GO3" s="219">
        <f>GM3/GN3</f>
        <v>-7.14775374025974</v>
      </c>
      <c r="GP3" s="20">
        <f>GP5*1.333</f>
        <v>-68797129.75</v>
      </c>
      <c r="GQ3" s="20">
        <v>9625000</v>
      </c>
      <c r="GR3" s="219">
        <f>GP3/GQ3</f>
        <v>-7.14775374025974</v>
      </c>
      <c r="GS3" s="20">
        <f>GS5*1.333</f>
        <v>-39423216.398</v>
      </c>
      <c r="GT3" s="20">
        <v>6000000</v>
      </c>
      <c r="GU3" s="219">
        <f>GS3/GT3</f>
        <v>-6.57053606633333</v>
      </c>
      <c r="GV3" s="20">
        <f>GV5*1.333</f>
        <v>-4360676.225</v>
      </c>
      <c r="GW3" s="20">
        <v>4925000</v>
      </c>
      <c r="GX3" s="219">
        <f>GV3/GW3</f>
        <v>-0.885416492385787</v>
      </c>
      <c r="GY3" s="20">
        <f>GY5*1.333</f>
        <v>-523491939.622</v>
      </c>
      <c r="GZ3" s="20">
        <v>12500000</v>
      </c>
      <c r="HA3" s="219">
        <f>GY3/GZ3</f>
        <v>-41.87935516976</v>
      </c>
      <c r="HB3" s="20">
        <f>HB5*1.333</f>
        <v>29414829.787</v>
      </c>
      <c r="HC3" s="20">
        <v>4000000</v>
      </c>
      <c r="HD3" s="38">
        <f>HB3/HC3</f>
        <v>7.35370744675</v>
      </c>
      <c r="HE3" s="20">
        <f>HE5*1.333</f>
        <v>-17835441.358</v>
      </c>
      <c r="HF3" s="20">
        <v>5364860</v>
      </c>
      <c r="HG3" s="219">
        <f>HE3/HF3</f>
        <v>-3.32449334334913</v>
      </c>
      <c r="HH3" s="20">
        <f>HH5*1.333</f>
        <v>29245573.445</v>
      </c>
      <c r="HI3" s="20">
        <v>7500000</v>
      </c>
      <c r="HJ3" s="38">
        <f>HH3/HI3</f>
        <v>3.89940979266667</v>
      </c>
      <c r="HK3" s="20">
        <f>HK5*1.333</f>
        <v>-244266420.791</v>
      </c>
      <c r="HL3" s="20">
        <v>5425833</v>
      </c>
      <c r="HM3" s="219">
        <f>HK3/HL3</f>
        <v>-45.0191557298207</v>
      </c>
      <c r="HN3" s="20">
        <f>HN5*1.333</f>
        <v>62586829.38</v>
      </c>
      <c r="HO3" s="20">
        <v>4431000</v>
      </c>
      <c r="HP3" s="38">
        <f>HN3/HO3</f>
        <v>14.1247640216655</v>
      </c>
      <c r="HQ3" s="20">
        <f>HQ5*1.333</f>
        <v>59466646.954</v>
      </c>
      <c r="HR3" s="20">
        <v>5000000</v>
      </c>
      <c r="HS3" s="38">
        <f>HQ3/HR3</f>
        <v>11.8933293908</v>
      </c>
      <c r="HT3" s="20">
        <f>HT5*1.333</f>
        <v>6502524.629</v>
      </c>
      <c r="HU3" s="20">
        <v>4000000</v>
      </c>
      <c r="HV3" s="219">
        <f>HT3/HU3</f>
        <v>1.62563115725</v>
      </c>
      <c r="HW3" s="20">
        <f>HW5*1.333</f>
        <v>-65601504.856</v>
      </c>
      <c r="HX3" s="20">
        <v>4657143</v>
      </c>
      <c r="HY3" s="219">
        <f>HW3/HX3</f>
        <v>-14.0862122670487</v>
      </c>
      <c r="HZ3" s="20">
        <f>HZ5*1.333</f>
        <v>66416725</v>
      </c>
      <c r="IA3" s="20">
        <v>3881970</v>
      </c>
      <c r="IB3" s="96">
        <f>HZ3/IA3</f>
        <v>17.109025829669</v>
      </c>
      <c r="IC3" s="20">
        <f>IC5*1.333</f>
        <v>13464589.011</v>
      </c>
      <c r="ID3" s="20">
        <v>1340542</v>
      </c>
      <c r="IE3" s="38">
        <f>IC3/ID3</f>
        <v>10.0441381254746</v>
      </c>
      <c r="IF3" s="20">
        <f>IF5*1.333</f>
        <v>-3023409.292</v>
      </c>
      <c r="IG3" s="20">
        <v>5000000</v>
      </c>
      <c r="IH3" s="219">
        <f>IF3/IG3</f>
        <v>-0.6046818584</v>
      </c>
      <c r="II3" s="20">
        <f>II5*1.333</f>
        <v>-53590945.58</v>
      </c>
      <c r="IJ3" s="20">
        <v>3869775</v>
      </c>
      <c r="IK3" s="219">
        <f>II3/IJ3</f>
        <v>-13.8485947064106</v>
      </c>
      <c r="IL3" s="20">
        <f>IL5*1.333</f>
        <v>-836997.365</v>
      </c>
      <c r="IM3" s="20">
        <v>5098040</v>
      </c>
      <c r="IN3" s="219">
        <f>IL3/IM3</f>
        <v>-0.164180227106888</v>
      </c>
      <c r="IO3" s="20">
        <f>IO5*1.333</f>
        <v>18640069.484</v>
      </c>
      <c r="IP3" s="20">
        <v>2800000</v>
      </c>
      <c r="IQ3" s="38">
        <f>IO3/IP3</f>
        <v>6.65716767285714</v>
      </c>
      <c r="IR3" s="20">
        <f>IR5*1.333</f>
        <v>-40857805.661</v>
      </c>
      <c r="IS3" s="20">
        <v>3400000</v>
      </c>
      <c r="IT3" s="219">
        <f>IR3/IS3</f>
        <v>-12.017001665</v>
      </c>
      <c r="IU3" s="20">
        <f>IU5*1.333</f>
        <v>-23775097.406</v>
      </c>
      <c r="IV3" s="20">
        <v>3714000</v>
      </c>
      <c r="IW3" s="219">
        <f>IU3/IV3</f>
        <v>-6.40148018470652</v>
      </c>
      <c r="IX3" s="20">
        <f>IX5*1.333</f>
        <v>749176.659</v>
      </c>
      <c r="IY3" s="20">
        <v>4000000</v>
      </c>
      <c r="IZ3" s="219">
        <f>IX3/IY3</f>
        <v>0.18729416475</v>
      </c>
      <c r="JA3" s="20">
        <f>JA5*1.333</f>
        <v>19542767.753</v>
      </c>
      <c r="JB3" s="20">
        <v>3763198</v>
      </c>
      <c r="JC3" s="38">
        <f>JA3/JB3</f>
        <v>5.19312769431744</v>
      </c>
      <c r="JD3" s="20">
        <f>JD5*1.333</f>
        <v>14751740.476</v>
      </c>
      <c r="JE3" s="20">
        <v>3000000</v>
      </c>
      <c r="JF3" s="38">
        <f>JD3/JE3</f>
        <v>4.91724682533333</v>
      </c>
      <c r="JG3" s="20">
        <f>JG5*1.333</f>
        <v>3953792.638</v>
      </c>
      <c r="JH3" s="20">
        <v>2500000</v>
      </c>
      <c r="JI3" s="219">
        <f>JG3/JH3</f>
        <v>1.5815170552</v>
      </c>
      <c r="JJ3" s="20">
        <f>JJ5*1.333</f>
        <v>5729721.878</v>
      </c>
      <c r="JK3" s="20">
        <v>2000000</v>
      </c>
      <c r="JL3" s="219">
        <f>JJ3/JK3</f>
        <v>2.864860939</v>
      </c>
      <c r="JM3" s="20">
        <f>JM5*1.333</f>
        <v>-21725329.976</v>
      </c>
      <c r="JN3" s="20">
        <v>2200000</v>
      </c>
      <c r="JO3" s="219">
        <f>JM3/JN3</f>
        <v>-9.87514998909091</v>
      </c>
      <c r="JP3" s="20">
        <f>JP5*1.333</f>
        <v>-2095476</v>
      </c>
      <c r="JQ3" s="20">
        <v>2640000</v>
      </c>
      <c r="JR3" s="219">
        <f>JP3/JQ3</f>
        <v>-0.793740909090909</v>
      </c>
    </row>
    <row r="4" ht="8" customHeight="1" spans="1:278">
      <c r="A4" s="2"/>
      <c r="B4" s="2"/>
      <c r="C4" s="2" t="s">
        <v>163</v>
      </c>
      <c r="D4" s="2"/>
      <c r="E4" s="2"/>
      <c r="F4" s="20"/>
      <c r="G4" s="20"/>
      <c r="H4" s="38"/>
      <c r="I4" s="20"/>
      <c r="J4" s="20"/>
      <c r="K4" s="288"/>
      <c r="L4" s="20"/>
      <c r="M4" s="20"/>
      <c r="N4" s="38"/>
      <c r="O4" s="20"/>
      <c r="P4" s="20"/>
      <c r="Q4" s="96"/>
      <c r="R4" s="20"/>
      <c r="S4" s="20"/>
      <c r="T4" s="38"/>
      <c r="U4" s="20"/>
      <c r="V4" s="20"/>
      <c r="W4" s="38"/>
      <c r="X4" s="20"/>
      <c r="Y4" s="20"/>
      <c r="Z4" s="219"/>
      <c r="AA4" s="20"/>
      <c r="AB4" s="20"/>
      <c r="AC4" s="219"/>
      <c r="AD4" s="20"/>
      <c r="AE4" s="20"/>
      <c r="AF4" s="38"/>
      <c r="AG4" s="20"/>
      <c r="AH4" s="20"/>
      <c r="AI4" s="38"/>
      <c r="AJ4" s="20"/>
      <c r="AK4" s="20"/>
      <c r="AL4" s="38"/>
      <c r="AM4" s="20"/>
      <c r="AN4" s="20"/>
      <c r="AO4" s="219"/>
      <c r="AP4" s="20"/>
      <c r="AQ4" s="20"/>
      <c r="AR4" s="96"/>
      <c r="AS4" s="20"/>
      <c r="AT4" s="20"/>
      <c r="AU4" s="38"/>
      <c r="AV4" s="20"/>
      <c r="AW4" s="20"/>
      <c r="AX4" s="219"/>
      <c r="AY4" s="20"/>
      <c r="AZ4" s="20"/>
      <c r="BA4" s="38"/>
      <c r="BB4" s="20"/>
      <c r="BC4" s="20"/>
      <c r="BD4" s="219"/>
      <c r="BE4" s="20"/>
      <c r="BF4" s="20"/>
      <c r="BG4" s="38"/>
      <c r="BH4" s="20"/>
      <c r="BI4" s="20"/>
      <c r="BJ4" s="38"/>
      <c r="BK4" s="20"/>
      <c r="BL4" s="20"/>
      <c r="BM4" s="38"/>
      <c r="BN4" s="20"/>
      <c r="BO4" s="20"/>
      <c r="BP4" s="38"/>
      <c r="BQ4" s="20"/>
      <c r="BR4" s="20"/>
      <c r="BS4" s="260"/>
      <c r="BT4" s="20"/>
      <c r="BU4" s="20"/>
      <c r="BV4" s="219"/>
      <c r="BW4" s="20"/>
      <c r="BX4" s="20"/>
      <c r="BY4" s="38"/>
      <c r="BZ4" s="20"/>
      <c r="CA4" s="20"/>
      <c r="CB4" s="260"/>
      <c r="CC4" s="20"/>
      <c r="CD4" s="20"/>
      <c r="CE4" s="38"/>
      <c r="CF4" s="20"/>
      <c r="CG4" s="20"/>
      <c r="CH4" s="260"/>
      <c r="CI4" s="20"/>
      <c r="CJ4" s="20"/>
      <c r="CK4" s="38"/>
      <c r="CL4" s="20"/>
      <c r="CM4" s="20"/>
      <c r="CN4" s="96"/>
      <c r="CO4" s="20"/>
      <c r="CP4" s="20"/>
      <c r="CQ4" s="38"/>
      <c r="CR4" s="20"/>
      <c r="CS4" s="20"/>
      <c r="CT4" s="260"/>
      <c r="CU4" s="20"/>
      <c r="CV4" s="20"/>
      <c r="CW4" s="38"/>
      <c r="CX4" s="20"/>
      <c r="CY4" s="20"/>
      <c r="CZ4" s="38"/>
      <c r="DA4" s="20"/>
      <c r="DB4" s="20"/>
      <c r="DC4" s="38"/>
      <c r="DD4" s="20"/>
      <c r="DE4" s="20"/>
      <c r="DF4" s="219"/>
      <c r="DG4" s="20"/>
      <c r="DH4" s="20"/>
      <c r="DI4" s="38"/>
      <c r="DJ4" s="20"/>
      <c r="DK4" s="20"/>
      <c r="DL4" s="219"/>
      <c r="DM4" s="20"/>
      <c r="DN4" s="20"/>
      <c r="DO4" s="38"/>
      <c r="DP4" s="20"/>
      <c r="DQ4" s="20"/>
      <c r="DR4" s="38"/>
      <c r="DS4" s="20"/>
      <c r="DT4" s="20"/>
      <c r="DU4" s="219"/>
      <c r="DV4" s="20"/>
      <c r="DW4" s="20"/>
      <c r="DX4" s="38"/>
      <c r="DY4" s="20"/>
      <c r="DZ4" s="20"/>
      <c r="EA4" s="288"/>
      <c r="EB4" s="20"/>
      <c r="EC4" s="20"/>
      <c r="ED4" s="38"/>
      <c r="EE4" s="20"/>
      <c r="EF4" s="20"/>
      <c r="EG4" s="219"/>
      <c r="EH4" s="20"/>
      <c r="EI4" s="20"/>
      <c r="EJ4" s="219"/>
      <c r="EK4" s="20"/>
      <c r="EL4" s="20"/>
      <c r="EM4" s="219"/>
      <c r="EN4" s="20"/>
      <c r="EO4" s="20"/>
      <c r="EP4" s="38"/>
      <c r="EQ4" s="20"/>
      <c r="ER4" s="20"/>
      <c r="ES4" s="38"/>
      <c r="ET4" s="20"/>
      <c r="EU4" s="20"/>
      <c r="EV4" s="219"/>
      <c r="EW4" s="20"/>
      <c r="EX4" s="20"/>
      <c r="EY4" s="38"/>
      <c r="EZ4" s="20"/>
      <c r="FA4" s="20"/>
      <c r="FB4" s="38"/>
      <c r="FC4" s="20"/>
      <c r="FD4" s="20"/>
      <c r="FE4" s="219"/>
      <c r="FF4" s="20"/>
      <c r="FG4" s="20"/>
      <c r="FH4" s="219"/>
      <c r="FI4" s="20"/>
      <c r="FJ4" s="20"/>
      <c r="FK4" s="219"/>
      <c r="FL4" s="20"/>
      <c r="FM4" s="20"/>
      <c r="FN4" s="219"/>
      <c r="FO4" s="20"/>
      <c r="FP4" s="20"/>
      <c r="FQ4" s="96"/>
      <c r="FR4" s="20"/>
      <c r="FS4" s="20"/>
      <c r="FT4" s="38"/>
      <c r="FU4" s="20"/>
      <c r="FV4" s="20"/>
      <c r="FW4" s="219"/>
      <c r="FX4" s="20"/>
      <c r="FY4" s="20"/>
      <c r="FZ4" s="260"/>
      <c r="GA4" s="20"/>
      <c r="GB4" s="20"/>
      <c r="GC4" s="219"/>
      <c r="GD4" s="20"/>
      <c r="GE4" s="20"/>
      <c r="GF4" s="38"/>
      <c r="GG4" s="20"/>
      <c r="GH4" s="20"/>
      <c r="GI4" s="219"/>
      <c r="GJ4" s="20"/>
      <c r="GK4" s="20"/>
      <c r="GL4" s="219"/>
      <c r="GM4" s="20"/>
      <c r="GN4" s="20"/>
      <c r="GO4" s="219"/>
      <c r="GP4" s="20"/>
      <c r="GQ4" s="20"/>
      <c r="GR4" s="219"/>
      <c r="GS4" s="20"/>
      <c r="GT4" s="20"/>
      <c r="GU4" s="219"/>
      <c r="GV4" s="20"/>
      <c r="GW4" s="20"/>
      <c r="GX4" s="219"/>
      <c r="GY4" s="20"/>
      <c r="GZ4" s="20"/>
      <c r="HA4" s="219"/>
      <c r="HB4" s="20"/>
      <c r="HC4" s="20"/>
      <c r="HD4" s="38"/>
      <c r="HE4" s="20"/>
      <c r="HF4" s="20"/>
      <c r="HG4" s="219"/>
      <c r="HH4" s="20"/>
      <c r="HI4" s="20"/>
      <c r="HJ4" s="38"/>
      <c r="HK4" s="20"/>
      <c r="HL4" s="20"/>
      <c r="HM4" s="219"/>
      <c r="HN4" s="20"/>
      <c r="HO4" s="20"/>
      <c r="HP4" s="38"/>
      <c r="HQ4" s="20"/>
      <c r="HR4" s="20"/>
      <c r="HS4" s="38"/>
      <c r="HT4" s="20"/>
      <c r="HU4" s="20"/>
      <c r="HV4" s="219"/>
      <c r="HW4" s="20"/>
      <c r="HX4" s="20"/>
      <c r="HY4" s="219"/>
      <c r="HZ4" s="20"/>
      <c r="IA4" s="20"/>
      <c r="IB4" s="96"/>
      <c r="IC4" s="20"/>
      <c r="ID4" s="20"/>
      <c r="IE4" s="38"/>
      <c r="IF4" s="20"/>
      <c r="IG4" s="20"/>
      <c r="IH4" s="219"/>
      <c r="II4" s="20"/>
      <c r="IJ4" s="20"/>
      <c r="IK4" s="219"/>
      <c r="IL4" s="20"/>
      <c r="IM4" s="20"/>
      <c r="IN4" s="219"/>
      <c r="IO4" s="20"/>
      <c r="IP4" s="20"/>
      <c r="IQ4" s="38"/>
      <c r="IR4" s="20"/>
      <c r="IS4" s="20"/>
      <c r="IT4" s="219"/>
      <c r="IU4" s="20"/>
      <c r="IV4" s="20"/>
      <c r="IW4" s="219"/>
      <c r="IX4" s="20"/>
      <c r="IY4" s="20"/>
      <c r="IZ4" s="219"/>
      <c r="JA4" s="20"/>
      <c r="JB4" s="20"/>
      <c r="JC4" s="38"/>
      <c r="JD4" s="20"/>
      <c r="JE4" s="20"/>
      <c r="JF4" s="38"/>
      <c r="JG4" s="20"/>
      <c r="JH4" s="20"/>
      <c r="JI4" s="219"/>
      <c r="JJ4" s="20"/>
      <c r="JK4" s="20"/>
      <c r="JL4" s="219"/>
      <c r="JM4" s="20"/>
      <c r="JN4" s="20"/>
      <c r="JO4" s="219"/>
      <c r="JP4" s="20"/>
      <c r="JQ4" s="20"/>
      <c r="JR4" s="219"/>
    </row>
    <row r="5" hidden="1" spans="1:278">
      <c r="A5" s="2"/>
      <c r="B5" s="2"/>
      <c r="C5" s="2"/>
      <c r="D5" s="2"/>
      <c r="E5" s="2"/>
      <c r="F5" s="78">
        <v>507896660</v>
      </c>
      <c r="G5" s="20"/>
      <c r="H5" s="38"/>
      <c r="I5" s="78">
        <v>-2067482159</v>
      </c>
      <c r="J5" s="42"/>
      <c r="K5" s="38"/>
      <c r="L5" s="78">
        <v>215641000</v>
      </c>
      <c r="M5" s="20"/>
      <c r="N5" s="38"/>
      <c r="O5" s="78">
        <v>834187487</v>
      </c>
      <c r="P5" s="20"/>
      <c r="Q5" s="38"/>
      <c r="R5" s="78">
        <v>276911072</v>
      </c>
      <c r="S5" s="20"/>
      <c r="T5" s="38"/>
      <c r="U5" s="78">
        <v>87738160</v>
      </c>
      <c r="V5" s="20"/>
      <c r="W5" s="38"/>
      <c r="X5" s="78">
        <v>-146032000</v>
      </c>
      <c r="Y5" s="20"/>
      <c r="Z5" s="38"/>
      <c r="AA5" s="78">
        <v>-27491250</v>
      </c>
      <c r="AB5" s="20"/>
      <c r="AC5" s="38"/>
      <c r="AD5" s="78">
        <v>353497566</v>
      </c>
      <c r="AE5" s="20"/>
      <c r="AF5" s="38"/>
      <c r="AG5" s="78">
        <v>211445654</v>
      </c>
      <c r="AH5" s="20"/>
      <c r="AI5" s="38"/>
      <c r="AJ5" s="78">
        <v>373526868</v>
      </c>
      <c r="AK5" s="20"/>
      <c r="AL5" s="38"/>
      <c r="AM5" s="78">
        <v>-135204946</v>
      </c>
      <c r="AN5" s="20"/>
      <c r="AO5" s="38"/>
      <c r="AP5" s="78">
        <v>465064409</v>
      </c>
      <c r="AQ5" s="20"/>
      <c r="AR5" s="38"/>
      <c r="AS5" s="78">
        <v>81100767</v>
      </c>
      <c r="AT5" s="42"/>
      <c r="AU5" s="38"/>
      <c r="AV5" s="78">
        <v>22994344</v>
      </c>
      <c r="AW5" s="42"/>
      <c r="AX5" s="38"/>
      <c r="AY5" s="78">
        <v>150262792</v>
      </c>
      <c r="AZ5" s="42"/>
      <c r="BA5" s="38"/>
      <c r="BB5" s="78">
        <v>-242868170</v>
      </c>
      <c r="BC5" s="42"/>
      <c r="BD5" s="38"/>
      <c r="BE5" s="78">
        <v>15073539</v>
      </c>
      <c r="BF5" s="42"/>
      <c r="BG5" s="38"/>
      <c r="BH5" s="78">
        <v>341898520</v>
      </c>
      <c r="BI5" s="42"/>
      <c r="BJ5" s="38"/>
      <c r="BK5" s="78">
        <v>32199318</v>
      </c>
      <c r="BL5" s="86" t="s">
        <v>397</v>
      </c>
      <c r="BM5" s="38"/>
      <c r="BN5" s="78">
        <v>106411768</v>
      </c>
      <c r="BO5" s="86"/>
      <c r="BP5" s="38"/>
      <c r="BQ5" s="78">
        <v>-74517</v>
      </c>
      <c r="BR5" s="86" t="s">
        <v>398</v>
      </c>
      <c r="BS5" s="38"/>
      <c r="BT5" s="78">
        <v>-17647700</v>
      </c>
      <c r="BU5" s="86" t="s">
        <v>399</v>
      </c>
      <c r="BV5" s="38"/>
      <c r="BW5" s="78">
        <v>134331411</v>
      </c>
      <c r="BX5" s="86"/>
      <c r="BY5" s="38"/>
      <c r="BZ5" s="78">
        <v>-326670435</v>
      </c>
      <c r="CA5" s="86" t="s">
        <v>398</v>
      </c>
      <c r="CB5" s="38"/>
      <c r="CC5" s="78">
        <v>86425243</v>
      </c>
      <c r="CE5" s="38"/>
      <c r="CF5" s="78">
        <v>-42903000</v>
      </c>
      <c r="CH5" s="38"/>
      <c r="CI5" s="78">
        <v>30704</v>
      </c>
      <c r="CJ5" t="s">
        <v>400</v>
      </c>
      <c r="CK5" s="38"/>
      <c r="CL5" s="78">
        <v>87131637</v>
      </c>
      <c r="CN5" s="38"/>
      <c r="CO5" s="78">
        <v>42230827</v>
      </c>
      <c r="CQ5" s="38"/>
      <c r="CR5" s="78">
        <v>-38913143</v>
      </c>
      <c r="CT5" s="38"/>
      <c r="CU5" s="78">
        <v>68068581</v>
      </c>
      <c r="CW5" s="38"/>
      <c r="CX5" s="78">
        <v>31572024</v>
      </c>
      <c r="CZ5" s="38"/>
      <c r="DA5" s="78">
        <v>19007669</v>
      </c>
      <c r="DC5" s="38"/>
      <c r="DD5" s="78">
        <v>5595112</v>
      </c>
      <c r="DE5" s="289" t="s">
        <v>401</v>
      </c>
      <c r="DF5" s="38"/>
      <c r="DG5" s="78">
        <v>122815555</v>
      </c>
      <c r="DH5" s="289"/>
      <c r="DI5" s="38"/>
      <c r="DJ5" s="78">
        <v>-46574092</v>
      </c>
      <c r="DK5" s="289"/>
      <c r="DL5" s="38"/>
      <c r="DM5" s="78">
        <v>66350703</v>
      </c>
      <c r="DN5" s="289"/>
      <c r="DO5" s="38"/>
      <c r="DP5" s="78">
        <v>57813481</v>
      </c>
      <c r="DQ5" s="289"/>
      <c r="DR5" s="38"/>
      <c r="DS5" s="78">
        <v>-8141408</v>
      </c>
      <c r="DT5" s="289"/>
      <c r="DU5" s="38"/>
      <c r="DV5" s="78">
        <v>88188547</v>
      </c>
      <c r="DW5" s="289"/>
      <c r="DX5" s="38"/>
      <c r="DY5" s="78">
        <v>34929553</v>
      </c>
      <c r="DZ5" s="289" t="s">
        <v>402</v>
      </c>
      <c r="EA5" s="38"/>
      <c r="EB5" s="78">
        <v>43661088</v>
      </c>
      <c r="EC5" s="289"/>
      <c r="ED5" s="38"/>
      <c r="EE5" s="78">
        <v>-24571147</v>
      </c>
      <c r="EF5" s="289"/>
      <c r="EG5" s="38"/>
      <c r="EH5" s="78">
        <v>3578144</v>
      </c>
      <c r="EI5" s="289"/>
      <c r="EJ5" s="38"/>
      <c r="EK5" s="78">
        <v>25745362</v>
      </c>
      <c r="EL5" s="289" t="s">
        <v>285</v>
      </c>
      <c r="EM5" s="38"/>
      <c r="EN5" s="78">
        <v>55692531</v>
      </c>
      <c r="EO5" s="289"/>
      <c r="EP5" s="38"/>
      <c r="EQ5" s="78">
        <v>45682180</v>
      </c>
      <c r="ER5" s="289"/>
      <c r="ES5" s="38"/>
      <c r="ET5" s="78">
        <v>1446060</v>
      </c>
      <c r="EU5" s="289"/>
      <c r="EV5" s="38"/>
      <c r="EW5" s="78">
        <v>64198316</v>
      </c>
      <c r="EX5" s="289"/>
      <c r="EY5" s="38"/>
      <c r="EZ5" s="78">
        <v>33681696</v>
      </c>
      <c r="FA5" s="289"/>
      <c r="FB5" s="38"/>
      <c r="FC5" s="78">
        <v>-24642433</v>
      </c>
      <c r="FD5" s="289"/>
      <c r="FE5" s="38"/>
      <c r="FF5" s="78">
        <v>-49244</v>
      </c>
      <c r="FG5" s="83" t="s">
        <v>400</v>
      </c>
      <c r="FH5" s="83"/>
      <c r="FI5" s="78">
        <v>-37154901</v>
      </c>
      <c r="FJ5" s="289"/>
      <c r="FK5" s="71"/>
      <c r="FL5" s="78">
        <v>4314884</v>
      </c>
      <c r="FM5" s="289"/>
      <c r="FN5" s="71"/>
      <c r="FO5" s="78">
        <v>70213374</v>
      </c>
      <c r="FP5" s="289"/>
      <c r="FQ5" s="71"/>
      <c r="FR5" s="78">
        <v>36679887</v>
      </c>
      <c r="FS5" s="289"/>
      <c r="FT5" s="71"/>
      <c r="FU5" s="78">
        <v>7802000</v>
      </c>
      <c r="FV5" s="289"/>
      <c r="FW5" s="71"/>
      <c r="FX5" s="78">
        <v>-19549178</v>
      </c>
      <c r="FY5" s="289"/>
      <c r="FZ5" s="71"/>
      <c r="GA5" s="78">
        <v>-61545425</v>
      </c>
      <c r="GB5" s="289"/>
      <c r="GC5" s="71"/>
      <c r="GD5" s="78">
        <v>30196599</v>
      </c>
      <c r="GE5" s="289"/>
      <c r="GF5" s="71"/>
      <c r="GG5" s="78">
        <v>2474586</v>
      </c>
      <c r="GH5" s="289"/>
      <c r="GI5" s="71"/>
      <c r="GJ5" s="78">
        <v>12372289</v>
      </c>
      <c r="GK5" s="289"/>
      <c r="GL5" s="71"/>
      <c r="GM5" s="78">
        <v>-51610750</v>
      </c>
      <c r="GN5" s="289"/>
      <c r="GO5" s="71"/>
      <c r="GP5" s="78">
        <v>-51610750</v>
      </c>
      <c r="GQ5" s="289"/>
      <c r="GR5" s="71"/>
      <c r="GS5" s="78">
        <v>-29574806</v>
      </c>
      <c r="GT5" s="289"/>
      <c r="GU5" s="71"/>
      <c r="GV5" s="78">
        <v>-3271325</v>
      </c>
      <c r="GW5" s="289"/>
      <c r="GX5" s="71"/>
      <c r="GY5" s="78">
        <v>-392717134</v>
      </c>
      <c r="GZ5" s="289" t="s">
        <v>403</v>
      </c>
      <c r="HA5" s="71"/>
      <c r="HB5" s="78">
        <v>22066639</v>
      </c>
      <c r="HC5" s="289"/>
      <c r="HD5" s="71"/>
      <c r="HE5" s="78">
        <v>-13379926</v>
      </c>
      <c r="HF5" s="289"/>
      <c r="HG5" s="71"/>
      <c r="HH5" s="78">
        <v>21939665</v>
      </c>
      <c r="HI5" s="2"/>
      <c r="HJ5" s="71"/>
      <c r="HK5" s="78">
        <v>-183245627</v>
      </c>
      <c r="HL5" s="51" t="s">
        <v>403</v>
      </c>
      <c r="HM5" s="71"/>
      <c r="HN5" s="78">
        <v>46951860</v>
      </c>
      <c r="HO5" s="51"/>
      <c r="HP5" s="71"/>
      <c r="HQ5" s="78">
        <v>44611138</v>
      </c>
      <c r="HR5" s="51"/>
      <c r="HS5" s="71"/>
      <c r="HT5" s="78">
        <v>4878113</v>
      </c>
      <c r="HU5" s="51"/>
      <c r="HV5" s="71"/>
      <c r="HW5" s="78">
        <v>-49213432</v>
      </c>
      <c r="HX5" s="51"/>
      <c r="HY5" s="71"/>
      <c r="HZ5" s="78">
        <v>49825000</v>
      </c>
      <c r="IA5" s="51"/>
      <c r="IB5" s="71"/>
      <c r="IC5" s="78">
        <v>10100967</v>
      </c>
      <c r="ID5" s="51"/>
      <c r="IE5" s="71"/>
      <c r="IF5" s="78">
        <v>-2268124</v>
      </c>
      <c r="IG5" s="51"/>
      <c r="IH5" s="71"/>
      <c r="II5" s="78">
        <v>-40203260</v>
      </c>
      <c r="IJ5" s="51"/>
      <c r="IK5" s="71"/>
      <c r="IL5" s="78">
        <v>-627905</v>
      </c>
      <c r="IM5" s="51"/>
      <c r="IN5" s="71"/>
      <c r="IO5" s="78">
        <v>13983548</v>
      </c>
      <c r="IP5" s="51"/>
      <c r="IQ5" s="71"/>
      <c r="IR5" s="78">
        <v>-30651017</v>
      </c>
      <c r="IS5" s="51" t="s">
        <v>403</v>
      </c>
      <c r="IT5" s="71"/>
      <c r="IU5" s="78">
        <v>-17835782</v>
      </c>
      <c r="IV5" s="51" t="s">
        <v>404</v>
      </c>
      <c r="IW5" s="71"/>
      <c r="IX5" s="78">
        <v>562023</v>
      </c>
      <c r="IY5" s="51" t="s">
        <v>405</v>
      </c>
      <c r="IZ5" s="71"/>
      <c r="JA5" s="78">
        <v>14660741</v>
      </c>
      <c r="JB5" s="51"/>
      <c r="JC5" s="71"/>
      <c r="JD5" s="78">
        <v>11066572</v>
      </c>
      <c r="JE5" s="51"/>
      <c r="JF5" s="71"/>
      <c r="JG5" s="78">
        <v>2966086</v>
      </c>
      <c r="JH5" s="51"/>
      <c r="JI5" s="71"/>
      <c r="JJ5" s="78">
        <v>4298366</v>
      </c>
      <c r="JK5" s="51"/>
      <c r="JL5" s="71"/>
      <c r="JM5" s="78">
        <v>-16298072</v>
      </c>
      <c r="JN5" s="51"/>
      <c r="JO5" s="71"/>
      <c r="JP5" s="78">
        <v>-1572000</v>
      </c>
      <c r="JQ5" s="51" t="s">
        <v>403</v>
      </c>
      <c r="JR5" s="71"/>
    </row>
    <row r="6" hidden="1" spans="1:278">
      <c r="F6" s="51"/>
      <c r="G6" s="6"/>
      <c r="H6" s="40"/>
      <c r="I6" s="51"/>
      <c r="J6" s="6"/>
      <c r="K6" s="40"/>
      <c r="L6" s="51"/>
      <c r="M6" s="6"/>
      <c r="N6" s="40"/>
      <c r="O6" s="51"/>
      <c r="P6" s="6"/>
      <c r="Q6" s="40"/>
      <c r="R6" s="51"/>
      <c r="S6" s="6"/>
      <c r="T6" s="40"/>
      <c r="U6" s="51"/>
      <c r="V6" s="6"/>
      <c r="W6" s="40"/>
      <c r="X6" s="51"/>
      <c r="Y6" s="6"/>
      <c r="Z6" s="40"/>
      <c r="AA6" s="51"/>
      <c r="AB6" s="6"/>
      <c r="AC6" s="40"/>
      <c r="AD6" s="51"/>
      <c r="AE6" s="6"/>
      <c r="AF6" s="40"/>
      <c r="AG6" s="51"/>
      <c r="AH6" s="6"/>
      <c r="AI6" s="40"/>
      <c r="AJ6" s="51"/>
      <c r="AK6" s="6"/>
      <c r="AL6" s="40"/>
      <c r="AM6" s="51"/>
      <c r="AN6" s="6"/>
      <c r="AO6" s="40"/>
      <c r="AP6" s="51"/>
      <c r="AQ6" s="6"/>
      <c r="AR6" s="40"/>
      <c r="AS6" s="51"/>
      <c r="AT6" s="6"/>
      <c r="AU6" s="40"/>
      <c r="AV6" s="51"/>
      <c r="AW6" s="6"/>
      <c r="AX6" s="40"/>
      <c r="AY6" s="51"/>
      <c r="AZ6" s="6"/>
      <c r="BA6" s="40"/>
      <c r="BB6" s="52" t="s">
        <v>406</v>
      </c>
      <c r="BC6" s="52"/>
      <c r="BD6" s="40"/>
      <c r="BE6" s="51"/>
      <c r="BF6" s="6"/>
      <c r="BG6" s="40"/>
      <c r="BH6" s="51"/>
      <c r="BI6" s="6"/>
      <c r="BJ6" s="40"/>
      <c r="BK6" s="83" t="s">
        <v>407</v>
      </c>
      <c r="BL6" s="83"/>
      <c r="BM6" s="40"/>
      <c r="BN6" s="6"/>
      <c r="BO6" s="6"/>
      <c r="BP6" s="40"/>
      <c r="BQ6" s="6"/>
      <c r="BR6" s="6"/>
      <c r="BS6" s="38"/>
      <c r="BT6" s="290" t="s">
        <v>403</v>
      </c>
      <c r="BU6" s="290"/>
      <c r="BV6" s="38"/>
      <c r="BW6" s="291"/>
      <c r="BX6" s="291"/>
      <c r="BY6" s="38"/>
      <c r="BZ6" s="291"/>
      <c r="CA6" s="291"/>
      <c r="CB6" s="38"/>
      <c r="CC6" s="86"/>
      <c r="CD6" s="86"/>
      <c r="CE6" s="38"/>
      <c r="CF6" s="86" t="s">
        <v>408</v>
      </c>
      <c r="CG6" s="86"/>
      <c r="CH6" s="38"/>
      <c r="CI6" s="86"/>
      <c r="CJ6" s="86"/>
      <c r="CK6" s="38"/>
      <c r="CL6" s="86"/>
      <c r="CM6" s="86"/>
      <c r="CN6" s="38"/>
      <c r="CO6" s="20"/>
      <c r="CP6" s="20"/>
      <c r="CQ6" s="38"/>
      <c r="CR6" s="86" t="s">
        <v>409</v>
      </c>
      <c r="CS6" s="86"/>
      <c r="CT6" s="38"/>
      <c r="CU6" s="86"/>
      <c r="CV6" s="86"/>
      <c r="CW6" s="38"/>
      <c r="CX6" s="86"/>
      <c r="CY6" s="86"/>
      <c r="CZ6" s="38"/>
      <c r="DA6" s="86"/>
      <c r="DB6" s="86"/>
      <c r="DC6" s="38"/>
      <c r="DD6" s="86"/>
      <c r="DE6" s="86"/>
      <c r="DF6" s="38"/>
      <c r="DG6" s="86"/>
      <c r="DH6" s="86"/>
      <c r="DI6" s="38"/>
      <c r="DJ6" s="86"/>
      <c r="DK6" s="86"/>
      <c r="DL6" s="38"/>
      <c r="DM6" s="86"/>
      <c r="DN6" s="86"/>
      <c r="DO6" s="38"/>
      <c r="DP6" s="86"/>
      <c r="DQ6" s="86"/>
      <c r="DR6" s="38"/>
      <c r="DS6" s="233" t="s">
        <v>410</v>
      </c>
      <c r="DT6" s="233"/>
      <c r="DU6" s="38"/>
      <c r="DV6" s="86"/>
      <c r="DW6" s="86"/>
      <c r="DX6" s="38"/>
      <c r="DY6" s="86"/>
      <c r="DZ6" s="86"/>
      <c r="EA6" s="38"/>
      <c r="EB6" s="86"/>
      <c r="EC6" s="86"/>
      <c r="ED6" s="38"/>
      <c r="EE6" s="86" t="s">
        <v>411</v>
      </c>
      <c r="EF6" s="86"/>
      <c r="EG6" s="38"/>
      <c r="EH6" s="86"/>
      <c r="EI6" s="86"/>
      <c r="EJ6" s="38"/>
      <c r="EK6" s="233" t="s">
        <v>412</v>
      </c>
      <c r="EL6" s="233"/>
      <c r="EM6" s="38"/>
      <c r="EN6" s="233"/>
      <c r="EO6" s="233"/>
      <c r="EP6" s="38"/>
      <c r="EQ6" s="233"/>
      <c r="ER6" s="233"/>
      <c r="ES6" s="38"/>
      <c r="ET6" s="233"/>
      <c r="EU6" s="233"/>
      <c r="EV6" s="38"/>
      <c r="EW6" s="233"/>
      <c r="EX6" s="233"/>
      <c r="EY6" s="38"/>
      <c r="EZ6" s="233"/>
      <c r="FA6" s="233"/>
      <c r="FB6" s="38"/>
      <c r="FC6" s="233"/>
      <c r="FD6" s="233"/>
      <c r="FE6" s="38"/>
      <c r="FF6" s="233"/>
      <c r="FG6" s="233"/>
      <c r="FH6" s="38"/>
      <c r="FI6" s="233" t="s">
        <v>404</v>
      </c>
      <c r="FJ6" s="233"/>
      <c r="FK6" s="38"/>
      <c r="FL6" s="233" t="s">
        <v>404</v>
      </c>
      <c r="FM6" s="233"/>
      <c r="FN6" s="38"/>
      <c r="FO6" s="233"/>
      <c r="FP6" s="233"/>
      <c r="FQ6" s="38"/>
      <c r="FR6" s="233"/>
      <c r="FS6" s="233"/>
      <c r="FT6" s="38"/>
      <c r="FU6" s="233"/>
      <c r="FV6" s="233"/>
      <c r="FW6" s="38"/>
      <c r="FX6" s="233"/>
      <c r="FY6" s="233"/>
      <c r="FZ6" s="38"/>
      <c r="GA6" s="233"/>
      <c r="GB6" s="233"/>
      <c r="GC6" s="38"/>
      <c r="GD6" s="233"/>
      <c r="GE6" s="233"/>
      <c r="GF6" s="38"/>
      <c r="GG6" s="233"/>
      <c r="GH6" s="233"/>
      <c r="GI6" s="38"/>
      <c r="GJ6" s="233" t="s">
        <v>413</v>
      </c>
      <c r="GK6" s="233"/>
      <c r="GL6" s="38"/>
      <c r="GM6" s="233" t="s">
        <v>414</v>
      </c>
      <c r="GN6" s="233"/>
      <c r="GO6" s="38"/>
      <c r="GP6" s="233" t="s">
        <v>414</v>
      </c>
      <c r="GQ6" s="233"/>
      <c r="GR6" s="38"/>
      <c r="GS6" s="233" t="s">
        <v>415</v>
      </c>
      <c r="GT6" s="233"/>
      <c r="GU6" s="38"/>
      <c r="GV6" s="233" t="s">
        <v>416</v>
      </c>
      <c r="GW6" s="233"/>
      <c r="GX6" s="38"/>
      <c r="GY6" s="233" t="s">
        <v>402</v>
      </c>
      <c r="GZ6" s="233"/>
      <c r="HA6" s="38"/>
      <c r="HB6" s="233"/>
      <c r="HC6" s="233"/>
      <c r="HD6" s="38"/>
      <c r="HE6" s="233" t="s">
        <v>417</v>
      </c>
      <c r="HF6" s="233"/>
      <c r="HG6" s="38"/>
      <c r="HH6" s="233"/>
      <c r="HI6" s="233"/>
      <c r="HJ6" s="38"/>
      <c r="HK6" s="233" t="s">
        <v>418</v>
      </c>
      <c r="HL6" s="233"/>
      <c r="HM6" s="38"/>
      <c r="HN6" s="233"/>
      <c r="HO6" s="233"/>
      <c r="HP6" s="38"/>
      <c r="HQ6" s="233"/>
      <c r="HR6" s="233"/>
      <c r="HS6" s="38"/>
      <c r="HT6" s="233"/>
      <c r="HU6" s="233"/>
      <c r="HV6" s="38"/>
      <c r="HW6" s="233"/>
      <c r="HX6" s="233"/>
      <c r="HY6" s="38"/>
      <c r="HZ6" s="233"/>
      <c r="IA6" s="233"/>
      <c r="IB6" s="38"/>
      <c r="IC6" s="86" t="s">
        <v>419</v>
      </c>
      <c r="ID6" s="86"/>
      <c r="IE6" s="38"/>
      <c r="IF6" s="233"/>
      <c r="IG6" s="233"/>
      <c r="IH6" s="38"/>
      <c r="II6" s="233"/>
      <c r="IJ6" s="233"/>
      <c r="IK6" s="38"/>
      <c r="IL6" s="233"/>
      <c r="IM6" s="233"/>
      <c r="IN6" s="38"/>
      <c r="IO6" s="233"/>
      <c r="IP6" s="233"/>
      <c r="IQ6" s="38"/>
      <c r="IR6" s="233" t="s">
        <v>402</v>
      </c>
      <c r="IS6" s="233"/>
      <c r="IT6" s="38"/>
      <c r="IU6" s="233" t="s">
        <v>402</v>
      </c>
      <c r="IV6" s="233"/>
      <c r="IW6" s="38"/>
      <c r="IX6" s="233" t="s">
        <v>420</v>
      </c>
      <c r="IY6" s="233"/>
      <c r="IZ6" s="38"/>
      <c r="JA6" s="233" t="s">
        <v>421</v>
      </c>
      <c r="JB6" s="233"/>
      <c r="JC6" s="38"/>
      <c r="JD6" s="233" t="s">
        <v>422</v>
      </c>
      <c r="JE6" s="233"/>
      <c r="JF6" s="38"/>
      <c r="JG6" s="233" t="s">
        <v>423</v>
      </c>
      <c r="JH6" s="233"/>
      <c r="JI6" s="38"/>
      <c r="JJ6" s="233"/>
      <c r="JK6" s="233"/>
      <c r="JL6" s="38"/>
      <c r="JM6" s="233" t="s">
        <v>424</v>
      </c>
      <c r="JN6" s="233"/>
      <c r="JO6" s="38"/>
      <c r="JP6" s="233" t="s">
        <v>425</v>
      </c>
      <c r="JQ6" s="233"/>
      <c r="JR6" s="38"/>
    </row>
    <row r="7" spans="1:278">
      <c r="A7" s="2">
        <v>2</v>
      </c>
      <c r="B7" s="41" t="s">
        <v>166</v>
      </c>
      <c r="C7" s="37" t="s">
        <v>167</v>
      </c>
      <c r="D7" s="2" t="s">
        <v>168</v>
      </c>
      <c r="E7" s="2" t="s">
        <v>464</v>
      </c>
      <c r="F7" s="20">
        <v>520</v>
      </c>
      <c r="G7" s="42">
        <f>H3</f>
        <v>7.70890139524567</v>
      </c>
      <c r="H7" s="38">
        <f>F7/G7</f>
        <v>67.4544884334233</v>
      </c>
      <c r="I7" s="20">
        <v>197</v>
      </c>
      <c r="J7" s="42">
        <f>K3</f>
        <v>-13.0120572141029</v>
      </c>
      <c r="K7" s="288">
        <f>I7/J7</f>
        <v>-15.1398043182968</v>
      </c>
      <c r="L7" s="20">
        <v>860</v>
      </c>
      <c r="M7" s="42">
        <f>N3</f>
        <v>8.43191470388508</v>
      </c>
      <c r="N7" s="38">
        <f>L7/M7</f>
        <v>101.993441608671</v>
      </c>
      <c r="O7" s="20">
        <v>603</v>
      </c>
      <c r="P7" s="42">
        <f>Q3</f>
        <v>29.4172465653704</v>
      </c>
      <c r="Q7" s="96">
        <f>O7/P7</f>
        <v>20.4981794832506</v>
      </c>
      <c r="R7" s="20">
        <v>587</v>
      </c>
      <c r="S7" s="42">
        <f>T3</f>
        <v>9.87488178420418</v>
      </c>
      <c r="T7" s="38">
        <f>R7/S7</f>
        <v>59.4437495888774</v>
      </c>
      <c r="U7" s="20">
        <v>985</v>
      </c>
      <c r="V7" s="42">
        <f>W3</f>
        <v>5.30408014875283</v>
      </c>
      <c r="W7" s="38">
        <f>U7/V7</f>
        <v>185.706092739116</v>
      </c>
      <c r="X7" s="20">
        <v>333</v>
      </c>
      <c r="Y7" s="42">
        <f>Z3</f>
        <v>-2.84504254541734</v>
      </c>
      <c r="Z7" s="219">
        <f>X7/Y7</f>
        <v>-117.045701315216</v>
      </c>
      <c r="AA7" s="20">
        <v>313</v>
      </c>
      <c r="AB7" s="42">
        <f>AC3</f>
        <v>-0.6107639375</v>
      </c>
      <c r="AC7" s="219">
        <f>AA7/AB7</f>
        <v>-512.472955232397</v>
      </c>
      <c r="AD7" s="20">
        <v>297</v>
      </c>
      <c r="AE7" s="42">
        <f>AF3</f>
        <v>7.75539589983278</v>
      </c>
      <c r="AF7" s="96">
        <f>AD7/AE7</f>
        <v>38.2959172988711</v>
      </c>
      <c r="AG7" s="20">
        <v>506</v>
      </c>
      <c r="AH7" s="42">
        <f>AI3</f>
        <v>8.45782616</v>
      </c>
      <c r="AI7" s="38">
        <f>AG7/AH7</f>
        <v>59.826247362833</v>
      </c>
      <c r="AJ7" s="20">
        <v>462</v>
      </c>
      <c r="AK7" s="42">
        <f>AL3</f>
        <v>14.48469280128</v>
      </c>
      <c r="AL7" s="96">
        <f>AJ7/AK7</f>
        <v>31.8957403058747</v>
      </c>
      <c r="AM7" s="20">
        <v>492</v>
      </c>
      <c r="AN7" s="42">
        <f>AO3</f>
        <v>-5.6321310318125</v>
      </c>
      <c r="AO7" s="219">
        <f>AM7/AN7</f>
        <v>-87.3559221582363</v>
      </c>
      <c r="AP7" s="20">
        <v>608</v>
      </c>
      <c r="AQ7" s="42">
        <f>AR3</f>
        <v>23.8186159632034</v>
      </c>
      <c r="AR7" s="96">
        <f>AP7/AQ7</f>
        <v>25.5262522784397</v>
      </c>
      <c r="AS7" s="20">
        <v>763</v>
      </c>
      <c r="AT7" s="42">
        <f>AU3</f>
        <v>5.87865901541143</v>
      </c>
      <c r="AU7" s="38">
        <f>AS7/AT7</f>
        <v>129.791504831243</v>
      </c>
      <c r="AV7" s="20">
        <v>379</v>
      </c>
      <c r="AW7" s="42">
        <f>AX3</f>
        <v>0.827845431202382</v>
      </c>
      <c r="AX7" s="219">
        <f>AV7/AW7</f>
        <v>457.814932250736</v>
      </c>
      <c r="AY7" s="20">
        <v>895</v>
      </c>
      <c r="AZ7" s="42">
        <f>BA3</f>
        <v>14.6886819392551</v>
      </c>
      <c r="BA7" s="38">
        <f>AY7/AZ7</f>
        <v>60.9312669238305</v>
      </c>
      <c r="BB7" s="20">
        <v>318</v>
      </c>
      <c r="BC7" s="42">
        <f>BD3</f>
        <v>-8.86967864684932</v>
      </c>
      <c r="BD7" s="219">
        <f>BB7/BC7</f>
        <v>-35.8524826728598</v>
      </c>
      <c r="BE7" s="20">
        <v>597</v>
      </c>
      <c r="BF7" s="42">
        <f>BG3</f>
        <v>1.05061581631373</v>
      </c>
      <c r="BG7" s="219">
        <f>BE7/BF7</f>
        <v>568.238161590487</v>
      </c>
      <c r="BH7" s="20">
        <v>284</v>
      </c>
      <c r="BI7" s="42">
        <f>BJ3</f>
        <v>11.8438246321534</v>
      </c>
      <c r="BJ7" s="96">
        <f>BH7/BI7</f>
        <v>23.9787407210508</v>
      </c>
      <c r="BK7" s="20">
        <v>253</v>
      </c>
      <c r="BL7" s="42">
        <f>BM3</f>
        <v>1.10170248407952</v>
      </c>
      <c r="BM7" s="219">
        <f>BK7/BL7</f>
        <v>229.644576150141</v>
      </c>
      <c r="BN7" s="20">
        <v>253</v>
      </c>
      <c r="BO7" s="42">
        <f>BP3</f>
        <v>6.22154596700539</v>
      </c>
      <c r="BP7" s="38">
        <f>BN7/BO7</f>
        <v>40.665133930012</v>
      </c>
      <c r="BQ7" s="20">
        <v>311</v>
      </c>
      <c r="BR7" s="42">
        <f>BS3</f>
        <v>-3.42521244827586</v>
      </c>
      <c r="BS7" s="260">
        <f>BQ7/BR7</f>
        <v>-90.7972876708851</v>
      </c>
      <c r="BT7" s="20">
        <v>477</v>
      </c>
      <c r="BU7" s="42">
        <f>BV3</f>
        <v>-1.31482643249829</v>
      </c>
      <c r="BV7" s="219">
        <f>BT7/BU7</f>
        <v>-362.785526827034</v>
      </c>
      <c r="BW7" s="20">
        <v>284</v>
      </c>
      <c r="BX7" s="42">
        <f>BY3</f>
        <v>6.17461278837931</v>
      </c>
      <c r="BY7" s="38">
        <f>BW7/BX7</f>
        <v>45.9947869985453</v>
      </c>
      <c r="BZ7" s="20">
        <v>210</v>
      </c>
      <c r="CA7" s="42">
        <f>CB3</f>
        <v>-11.9107996809302</v>
      </c>
      <c r="CB7" s="260">
        <f>BZ7/CA7</f>
        <v>-17.6310579999276</v>
      </c>
      <c r="CC7" s="20">
        <v>878</v>
      </c>
      <c r="CD7" s="42">
        <f>CE3</f>
        <v>13.5535116375294</v>
      </c>
      <c r="CE7" s="38">
        <f>CC7/CD7</f>
        <v>64.7802594250803</v>
      </c>
      <c r="CF7" s="20">
        <v>456</v>
      </c>
      <c r="CG7" s="42">
        <f>CH3</f>
        <v>-3.8126466</v>
      </c>
      <c r="CH7" s="260">
        <f>CF7/CG7</f>
        <v>-119.601958387646</v>
      </c>
      <c r="CI7" s="20">
        <v>551</v>
      </c>
      <c r="CJ7" s="42">
        <f>CK3</f>
        <v>3.32616269809021</v>
      </c>
      <c r="CK7" s="38">
        <f>CI7/CJ7</f>
        <v>165.65635839653</v>
      </c>
      <c r="CL7" s="20">
        <v>882</v>
      </c>
      <c r="CM7" s="42">
        <f>CN3</f>
        <v>15.5193041316141</v>
      </c>
      <c r="CN7" s="38">
        <f>CL7/CM7</f>
        <v>56.8324450967678</v>
      </c>
      <c r="CO7" s="20">
        <v>1001</v>
      </c>
      <c r="CP7" s="42">
        <f>CQ3</f>
        <v>9.46196283116168</v>
      </c>
      <c r="CQ7" s="43">
        <f>CO7/CP7</f>
        <v>105.792002976734</v>
      </c>
      <c r="CR7" s="20">
        <v>305</v>
      </c>
      <c r="CS7" s="42">
        <f>CT3</f>
        <v>-4.92015251820138</v>
      </c>
      <c r="CT7" s="260">
        <f>CR7/CS7</f>
        <v>-61.9899482529651</v>
      </c>
      <c r="CU7" s="20">
        <v>391</v>
      </c>
      <c r="CV7" s="42">
        <f>CW3</f>
        <v>5.6958831433145</v>
      </c>
      <c r="CW7" s="38">
        <f>CU7/CV7</f>
        <v>68.6460712346132</v>
      </c>
      <c r="CX7" s="20">
        <v>521</v>
      </c>
      <c r="CY7" s="42">
        <f>CZ3</f>
        <v>3.5872407084896</v>
      </c>
      <c r="CZ7" s="288">
        <f>CX7/CY7</f>
        <v>145.236978039136</v>
      </c>
      <c r="DA7" s="20">
        <v>597</v>
      </c>
      <c r="DB7" s="42">
        <f>DC3</f>
        <v>2.5337222777</v>
      </c>
      <c r="DC7" s="288">
        <f>DA7/DB7</f>
        <v>235.621719576121</v>
      </c>
      <c r="DD7" s="20">
        <v>254</v>
      </c>
      <c r="DE7" s="42">
        <f>DF3</f>
        <v>0.321013989185796</v>
      </c>
      <c r="DF7" s="219">
        <f>DD7/DE7</f>
        <v>791.242776192505</v>
      </c>
      <c r="DG7" s="20">
        <v>254</v>
      </c>
      <c r="DH7" s="42">
        <f>DI3</f>
        <v>12.1268988751852</v>
      </c>
      <c r="DI7" s="96">
        <f>DG7/DH7</f>
        <v>20.9451734210261</v>
      </c>
      <c r="DJ7" s="20">
        <v>197</v>
      </c>
      <c r="DK7" s="42">
        <f>DL3</f>
        <v>-2.21725945128571</v>
      </c>
      <c r="DL7" s="219">
        <f>DJ7/DK7</f>
        <v>-88.8484204614694</v>
      </c>
      <c r="DM7" s="20">
        <v>468</v>
      </c>
      <c r="DN7" s="42">
        <f>DO3</f>
        <v>7.82841981757833</v>
      </c>
      <c r="DO7" s="38">
        <f>DM7/DN7</f>
        <v>59.7821796614853</v>
      </c>
      <c r="DP7" s="20">
        <v>494</v>
      </c>
      <c r="DQ7" s="42">
        <f>DR3</f>
        <v>7.23335277858341</v>
      </c>
      <c r="DR7" s="38">
        <f>DP7/DQ7</f>
        <v>68.2947472799392</v>
      </c>
      <c r="DS7" s="20">
        <v>211</v>
      </c>
      <c r="DT7" s="42">
        <f>DU3</f>
        <v>-0.439877596408409</v>
      </c>
      <c r="DU7" s="219">
        <f>DS7/DT7</f>
        <v>-479.678896408479</v>
      </c>
      <c r="DV7" s="20">
        <v>533</v>
      </c>
      <c r="DW7" s="42">
        <f>DX3</f>
        <v>12.5869046614405</v>
      </c>
      <c r="DX7" s="38">
        <f>DV7/DW7</f>
        <v>42.3455976140684</v>
      </c>
      <c r="DY7" s="20">
        <v>247</v>
      </c>
      <c r="DZ7" s="42">
        <f>EA3</f>
        <v>2.35157041156566</v>
      </c>
      <c r="EA7" s="288">
        <f>DY7/DZ7</f>
        <v>105.03619146813</v>
      </c>
      <c r="EB7" s="20">
        <v>411</v>
      </c>
      <c r="EC7" s="42">
        <f>ED3</f>
        <v>4.81048303455971</v>
      </c>
      <c r="ED7" s="38">
        <f>EB7/EC7</f>
        <v>85.4384054672417</v>
      </c>
      <c r="EE7" s="20">
        <v>212</v>
      </c>
      <c r="EF7" s="42">
        <f>EG3</f>
        <v>-1.45570395337778</v>
      </c>
      <c r="EG7" s="219">
        <f>EE7/EF7</f>
        <v>-145.634007181255</v>
      </c>
      <c r="EH7" s="20">
        <v>416</v>
      </c>
      <c r="EI7" s="42">
        <f>EJ3</f>
        <v>0.89017029235837</v>
      </c>
      <c r="EJ7" s="219">
        <f>EH7/EI7</f>
        <v>467.32631224737</v>
      </c>
      <c r="EK7" s="20">
        <v>265</v>
      </c>
      <c r="EL7" s="42">
        <f>EM3</f>
        <v>1.90658708588889</v>
      </c>
      <c r="EM7" s="219">
        <f>EK7/EL7</f>
        <v>138.99181525005</v>
      </c>
      <c r="EN7" s="20">
        <v>600</v>
      </c>
      <c r="EO7" s="42">
        <f>EP3</f>
        <v>9.76817681881579</v>
      </c>
      <c r="EP7" s="38">
        <f>EN7/EO7</f>
        <v>61.4239495382864</v>
      </c>
      <c r="EQ7" s="20">
        <v>851</v>
      </c>
      <c r="ER7" s="42">
        <f>ES3</f>
        <v>11.3821207364486</v>
      </c>
      <c r="ES7" s="38">
        <f>EQ7/ER7</f>
        <v>74.7663831464087</v>
      </c>
      <c r="ET7" s="20">
        <v>614</v>
      </c>
      <c r="EU7" s="42">
        <f>EV3</f>
        <v>0.27537114</v>
      </c>
      <c r="EV7" s="219">
        <f>ET7/EU7</f>
        <v>2229.7180452534</v>
      </c>
      <c r="EW7" s="20">
        <v>373</v>
      </c>
      <c r="EX7" s="42">
        <f>EY3</f>
        <v>7.81519225826484</v>
      </c>
      <c r="EY7" s="38">
        <f>EW7/EX7</f>
        <v>47.7275526530444</v>
      </c>
      <c r="EZ7" s="20">
        <v>208</v>
      </c>
      <c r="FA7" s="42">
        <f>FB3</f>
        <v>2.2448850384</v>
      </c>
      <c r="FB7" s="38">
        <f>EZ7/FA7</f>
        <v>92.6550787421382</v>
      </c>
      <c r="FC7" s="20">
        <v>208</v>
      </c>
      <c r="FD7" s="42">
        <f>FE3</f>
        <v>-1.99080989024242</v>
      </c>
      <c r="FE7" s="219">
        <f>FC7/FD7</f>
        <v>-104.480091755357</v>
      </c>
      <c r="FF7" s="20">
        <v>418</v>
      </c>
      <c r="FG7" s="42">
        <f>FH3</f>
        <v>-6.5642252</v>
      </c>
      <c r="FH7" s="219">
        <f>FF7/FG7</f>
        <v>-63.6784978065652</v>
      </c>
      <c r="FI7" s="20">
        <v>349</v>
      </c>
      <c r="FJ7" s="42">
        <f>FK3</f>
        <v>-8.08224284139298</v>
      </c>
      <c r="FK7" s="219">
        <f>FI7/FJ7</f>
        <v>-43.1810831286343</v>
      </c>
      <c r="FL7" s="20">
        <v>387</v>
      </c>
      <c r="FM7" s="42">
        <f>FN3</f>
        <v>0.522885488363636</v>
      </c>
      <c r="FN7" s="219">
        <f>FL7/FM7</f>
        <v>740.123810303307</v>
      </c>
      <c r="FO7" s="20">
        <v>716</v>
      </c>
      <c r="FP7" s="42">
        <f>FQ3</f>
        <v>16.4975788964366</v>
      </c>
      <c r="FQ7" s="38">
        <f>FO7/FP7</f>
        <v>43.4003076751251</v>
      </c>
      <c r="FR7" s="20">
        <v>589</v>
      </c>
      <c r="FS7" s="42">
        <f>FT3</f>
        <v>7.5597984762985</v>
      </c>
      <c r="FT7" s="38">
        <f>FR7/FS7</f>
        <v>77.9121297805271</v>
      </c>
      <c r="FU7" s="20">
        <v>388</v>
      </c>
      <c r="FV7" s="42">
        <f>FW3</f>
        <v>1.64401928548846</v>
      </c>
      <c r="FW7" s="219">
        <f>FU7/FV7</f>
        <v>236.00696380196</v>
      </c>
      <c r="FX7" s="20">
        <v>670</v>
      </c>
      <c r="FY7" s="42">
        <f>FZ3</f>
        <v>-4.78979715483811</v>
      </c>
      <c r="FZ7" s="260">
        <f>FX7/FY7</f>
        <v>-139.880662654627</v>
      </c>
      <c r="GA7" s="20">
        <v>255</v>
      </c>
      <c r="GB7" s="42">
        <f>GC3</f>
        <v>-8.33722907071254</v>
      </c>
      <c r="GC7" s="219">
        <f>GA7/GB7</f>
        <v>-30.5857015367105</v>
      </c>
      <c r="GD7" s="20">
        <v>466</v>
      </c>
      <c r="GE7" s="42">
        <f>GF3</f>
        <v>5.01583382766355</v>
      </c>
      <c r="GF7" s="38">
        <f>GD7/GE7</f>
        <v>92.9057891491333</v>
      </c>
      <c r="GG7" s="20">
        <v>994</v>
      </c>
      <c r="GH7" s="42">
        <f>GI3</f>
        <v>0.841149034773846</v>
      </c>
      <c r="GI7" s="219">
        <f>GG7/GH7</f>
        <v>1181.71686455926</v>
      </c>
      <c r="GJ7" s="20">
        <v>570</v>
      </c>
      <c r="GK7" s="42">
        <f>GL3</f>
        <v>2.660042135</v>
      </c>
      <c r="GL7" s="219">
        <f>GJ7/GK7</f>
        <v>214.282320005431</v>
      </c>
      <c r="GM7" s="20">
        <v>370</v>
      </c>
      <c r="GN7" s="42">
        <f>GO3</f>
        <v>-7.14775374025974</v>
      </c>
      <c r="GO7" s="219">
        <f>GM7/GN7</f>
        <v>-51.7645142019897</v>
      </c>
      <c r="GP7" s="20">
        <v>422</v>
      </c>
      <c r="GQ7" s="42">
        <f>GR3</f>
        <v>-7.14775374025974</v>
      </c>
      <c r="GR7" s="219">
        <f>GP7/GQ7</f>
        <v>-59.0395270087558</v>
      </c>
      <c r="GS7" s="20">
        <v>550</v>
      </c>
      <c r="GT7" s="42">
        <f>GU3</f>
        <v>-6.57053606633333</v>
      </c>
      <c r="GU7" s="219">
        <f>GS7/GT7</f>
        <v>-83.7070209260606</v>
      </c>
      <c r="GV7" s="20">
        <v>665</v>
      </c>
      <c r="GW7" s="42">
        <f>GX3</f>
        <v>-0.885416492385787</v>
      </c>
      <c r="GX7" s="219">
        <f>GV7/GW7</f>
        <v>-751.058971364011</v>
      </c>
      <c r="GY7" s="20">
        <v>265</v>
      </c>
      <c r="GZ7" s="42">
        <f>HA3</f>
        <v>-41.87935516976</v>
      </c>
      <c r="HA7" s="219">
        <f>GY7/GZ7</f>
        <v>-6.32770010249226</v>
      </c>
      <c r="HB7" s="20">
        <v>385</v>
      </c>
      <c r="HC7" s="42">
        <f>HD3</f>
        <v>7.35370744675</v>
      </c>
      <c r="HD7" s="38">
        <f>HB7/HC7</f>
        <v>52.3545439885771</v>
      </c>
      <c r="HE7" s="20">
        <v>560</v>
      </c>
      <c r="HF7" s="42">
        <f>HG3</f>
        <v>-3.32449334334913</v>
      </c>
      <c r="HG7" s="219">
        <f>HE7/HF7</f>
        <v>-168.446720195821</v>
      </c>
      <c r="HH7" s="20">
        <v>422</v>
      </c>
      <c r="HI7" s="42">
        <f>HJ3</f>
        <v>3.89940979266667</v>
      </c>
      <c r="HJ7" s="38">
        <f>HH7/HI7</f>
        <v>108.221505929852</v>
      </c>
      <c r="HK7" s="20">
        <v>531</v>
      </c>
      <c r="HL7" s="42">
        <f>HM3</f>
        <v>-45.0191557298207</v>
      </c>
      <c r="HM7" s="219">
        <f>HK7/HL7</f>
        <v>-11.7949790792782</v>
      </c>
      <c r="HN7" s="20">
        <v>600</v>
      </c>
      <c r="HO7" s="42">
        <f>HP3</f>
        <v>14.1247640216655</v>
      </c>
      <c r="HP7" s="38">
        <f>HN7/HO7</f>
        <v>42.4785857717466</v>
      </c>
      <c r="HQ7" s="20">
        <v>554</v>
      </c>
      <c r="HR7" s="42">
        <f>HS3</f>
        <v>11.8933293908</v>
      </c>
      <c r="HS7" s="38">
        <f>HQ7/HR7</f>
        <v>46.5807329298844</v>
      </c>
      <c r="HT7" s="20">
        <v>659</v>
      </c>
      <c r="HU7" s="42">
        <f>HV3</f>
        <v>1.62563115725</v>
      </c>
      <c r="HV7" s="219">
        <f>HT7/HU7</f>
        <v>405.381009745653</v>
      </c>
      <c r="HW7" s="20">
        <v>293</v>
      </c>
      <c r="HX7" s="42">
        <f>HY3</f>
        <v>-14.0862122670487</v>
      </c>
      <c r="HY7" s="219">
        <f>HW7/HX7</f>
        <v>-20.8004816657067</v>
      </c>
      <c r="HZ7" s="20">
        <v>682</v>
      </c>
      <c r="IA7" s="42">
        <f>IB3</f>
        <v>17.109025829669</v>
      </c>
      <c r="IB7" s="38">
        <f>HZ7/IA7</f>
        <v>39.8620007234623</v>
      </c>
      <c r="IC7" s="20">
        <v>1906</v>
      </c>
      <c r="ID7" s="42">
        <f>IE3</f>
        <v>10.0441381254746</v>
      </c>
      <c r="IE7" s="38">
        <f>IC7/ID7</f>
        <v>189.762424230893</v>
      </c>
      <c r="IF7" s="20">
        <v>513</v>
      </c>
      <c r="IG7" s="42">
        <f>IH3</f>
        <v>-0.6046818584</v>
      </c>
      <c r="IH7" s="219">
        <f>IF7/IG7</f>
        <v>-848.380008220204</v>
      </c>
      <c r="II7" s="20">
        <v>322</v>
      </c>
      <c r="IJ7" s="42">
        <f>IK3</f>
        <v>-13.8485947064106</v>
      </c>
      <c r="IK7" s="219">
        <f>II7/IJ7</f>
        <v>-23.2514566875832</v>
      </c>
      <c r="IL7" s="20">
        <v>468</v>
      </c>
      <c r="IM7" s="42">
        <f>IN3</f>
        <v>-0.164180227106888</v>
      </c>
      <c r="IN7" s="219">
        <f>IL7/IM7</f>
        <v>-2850.52596312534</v>
      </c>
      <c r="IO7" s="20">
        <v>788</v>
      </c>
      <c r="IP7" s="42">
        <f>IQ3</f>
        <v>6.65716767285714</v>
      </c>
      <c r="IQ7" s="38">
        <f>IO7/IP7</f>
        <v>118.368657471685</v>
      </c>
      <c r="IR7" s="20">
        <v>608</v>
      </c>
      <c r="IS7" s="42">
        <f>IT3</f>
        <v>-12.017001665</v>
      </c>
      <c r="IT7" s="219">
        <f>IR7/IS7</f>
        <v>-50.5949834201009</v>
      </c>
      <c r="IU7" s="20">
        <v>346</v>
      </c>
      <c r="IV7" s="42">
        <f>IW3</f>
        <v>-6.40148018470652</v>
      </c>
      <c r="IW7" s="219">
        <f>IU7/IV7</f>
        <v>-54.0499993777397</v>
      </c>
      <c r="IX7" s="20">
        <v>503</v>
      </c>
      <c r="IY7" s="42">
        <f>IZ3</f>
        <v>0.18729416475</v>
      </c>
      <c r="IZ7" s="219">
        <f>IX7/IY7</f>
        <v>2685.61490247923</v>
      </c>
      <c r="JA7" s="20">
        <v>517</v>
      </c>
      <c r="JB7" s="42">
        <f>JC3</f>
        <v>5.19312769431744</v>
      </c>
      <c r="JC7" s="38">
        <f>JA7/JB7</f>
        <v>99.5546480718595</v>
      </c>
      <c r="JD7" s="20">
        <v>660</v>
      </c>
      <c r="JE7" s="42">
        <f>JF3</f>
        <v>4.91724682533333</v>
      </c>
      <c r="JF7" s="38">
        <f>JD7/JE7</f>
        <v>134.221450222861</v>
      </c>
      <c r="JG7" s="20">
        <v>756</v>
      </c>
      <c r="JH7" s="42">
        <f>JI3</f>
        <v>1.5815170552</v>
      </c>
      <c r="JI7" s="219">
        <f>JG7/JH7</f>
        <v>478.022034295669</v>
      </c>
      <c r="JJ7" s="20">
        <v>828</v>
      </c>
      <c r="JK7" s="42">
        <f>JL3</f>
        <v>2.864860939</v>
      </c>
      <c r="JL7" s="219">
        <f>JJ7/JK7</f>
        <v>289.019263981804</v>
      </c>
      <c r="JM7" s="20">
        <v>619</v>
      </c>
      <c r="JN7" s="42">
        <f>JO3</f>
        <v>-9.87514998909091</v>
      </c>
      <c r="JO7" s="219">
        <f>JM7/JN7</f>
        <v>-62.6825922324026</v>
      </c>
      <c r="JP7" s="20">
        <v>322</v>
      </c>
      <c r="JQ7" s="42">
        <f>JR3</f>
        <v>-0.793740909090909</v>
      </c>
      <c r="JR7" s="219">
        <f>JP7/JQ7</f>
        <v>-405.673937568362</v>
      </c>
    </row>
    <row r="8" ht="11" customHeight="1" spans="1:278">
      <c r="A8" s="2"/>
      <c r="B8" s="41"/>
      <c r="C8" s="2" t="s">
        <v>169</v>
      </c>
      <c r="D8" s="2"/>
      <c r="E8" s="2"/>
      <c r="F8" s="20"/>
      <c r="G8" s="42"/>
      <c r="H8" s="38"/>
      <c r="I8" s="20"/>
      <c r="J8" s="42"/>
      <c r="K8" s="288"/>
      <c r="L8" s="20"/>
      <c r="M8" s="42"/>
      <c r="N8" s="38"/>
      <c r="O8" s="20"/>
      <c r="P8" s="42"/>
      <c r="Q8" s="96"/>
      <c r="R8" s="20"/>
      <c r="S8" s="42"/>
      <c r="T8" s="38"/>
      <c r="U8" s="20"/>
      <c r="V8" s="42"/>
      <c r="W8" s="38"/>
      <c r="X8" s="20"/>
      <c r="Y8" s="42"/>
      <c r="Z8" s="219"/>
      <c r="AA8" s="20"/>
      <c r="AB8" s="42"/>
      <c r="AC8" s="219"/>
      <c r="AD8" s="20"/>
      <c r="AE8" s="42"/>
      <c r="AF8" s="96"/>
      <c r="AG8" s="20"/>
      <c r="AH8" s="42"/>
      <c r="AI8" s="38"/>
      <c r="AJ8" s="20"/>
      <c r="AK8" s="42"/>
      <c r="AL8" s="96"/>
      <c r="AM8" s="20"/>
      <c r="AN8" s="42"/>
      <c r="AO8" s="219"/>
      <c r="AP8" s="20"/>
      <c r="AQ8" s="42"/>
      <c r="AR8" s="96"/>
      <c r="AS8" s="20"/>
      <c r="AT8" s="42"/>
      <c r="AU8" s="38"/>
      <c r="AV8" s="20"/>
      <c r="AW8" s="42"/>
      <c r="AX8" s="219"/>
      <c r="AY8" s="20"/>
      <c r="AZ8" s="42"/>
      <c r="BA8" s="38"/>
      <c r="BB8" s="20"/>
      <c r="BC8" s="42"/>
      <c r="BD8" s="219"/>
      <c r="BE8" s="20"/>
      <c r="BF8" s="42"/>
      <c r="BG8" s="219"/>
      <c r="BH8" s="20"/>
      <c r="BI8" s="42"/>
      <c r="BJ8" s="96"/>
      <c r="BK8" s="20"/>
      <c r="BL8" s="42"/>
      <c r="BM8" s="219"/>
      <c r="BN8" s="20"/>
      <c r="BO8" s="42"/>
      <c r="BP8" s="38"/>
      <c r="BQ8" s="20"/>
      <c r="BR8" s="42"/>
      <c r="BS8" s="260"/>
      <c r="BT8" s="20"/>
      <c r="BU8" s="42"/>
      <c r="BV8" s="219"/>
      <c r="BW8" s="20"/>
      <c r="BX8" s="42"/>
      <c r="BY8" s="38"/>
      <c r="BZ8" s="20"/>
      <c r="CA8" s="42"/>
      <c r="CB8" s="260"/>
      <c r="CC8" s="20"/>
      <c r="CD8" s="42"/>
      <c r="CE8" s="38"/>
      <c r="CF8" s="20"/>
      <c r="CG8" s="42"/>
      <c r="CH8" s="260"/>
      <c r="CI8" s="20"/>
      <c r="CJ8" s="42"/>
      <c r="CK8" s="38"/>
      <c r="CL8" s="20"/>
      <c r="CM8" s="42"/>
      <c r="CN8" s="38"/>
      <c r="CO8" s="20"/>
      <c r="CP8" s="42"/>
      <c r="CQ8" s="43"/>
      <c r="CR8" s="20"/>
      <c r="CS8" s="42"/>
      <c r="CT8" s="260"/>
      <c r="CU8" s="20"/>
      <c r="CV8" s="42"/>
      <c r="CW8" s="38"/>
      <c r="CX8" s="20"/>
      <c r="CY8" s="42"/>
      <c r="CZ8" s="288"/>
      <c r="DA8" s="20"/>
      <c r="DB8" s="42"/>
      <c r="DC8" s="288"/>
      <c r="DD8" s="20"/>
      <c r="DE8" s="42"/>
      <c r="DF8" s="219"/>
      <c r="DG8" s="20"/>
      <c r="DH8" s="42"/>
      <c r="DI8" s="96"/>
      <c r="DJ8" s="20"/>
      <c r="DK8" s="42"/>
      <c r="DL8" s="219"/>
      <c r="DM8" s="20"/>
      <c r="DN8" s="42"/>
      <c r="DO8" s="38"/>
      <c r="DP8" s="20"/>
      <c r="DQ8" s="42"/>
      <c r="DR8" s="38"/>
      <c r="DS8" s="20"/>
      <c r="DT8" s="42"/>
      <c r="DU8" s="219"/>
      <c r="DV8" s="20"/>
      <c r="DW8" s="42"/>
      <c r="DX8" s="38"/>
      <c r="DY8" s="20"/>
      <c r="DZ8" s="42"/>
      <c r="EA8" s="288"/>
      <c r="EB8" s="20"/>
      <c r="EC8" s="42"/>
      <c r="ED8" s="38"/>
      <c r="EE8" s="20"/>
      <c r="EF8" s="42"/>
      <c r="EG8" s="219"/>
      <c r="EH8" s="20"/>
      <c r="EI8" s="42"/>
      <c r="EJ8" s="219"/>
      <c r="EK8" s="20"/>
      <c r="EL8" s="42"/>
      <c r="EM8" s="219"/>
      <c r="EN8" s="20"/>
      <c r="EO8" s="42"/>
      <c r="EP8" s="38"/>
      <c r="EQ8" s="20"/>
      <c r="ER8" s="42"/>
      <c r="ES8" s="38"/>
      <c r="ET8" s="20"/>
      <c r="EU8" s="42"/>
      <c r="EV8" s="219"/>
      <c r="EW8" s="20"/>
      <c r="EX8" s="42"/>
      <c r="EY8" s="38"/>
      <c r="EZ8" s="20"/>
      <c r="FA8" s="42"/>
      <c r="FB8" s="38"/>
      <c r="FC8" s="20"/>
      <c r="FD8" s="42"/>
      <c r="FE8" s="219"/>
      <c r="FF8" s="20"/>
      <c r="FG8" s="42"/>
      <c r="FH8" s="219"/>
      <c r="FI8" s="20"/>
      <c r="FJ8" s="42"/>
      <c r="FK8" s="219"/>
      <c r="FL8" s="20"/>
      <c r="FM8" s="42"/>
      <c r="FN8" s="219"/>
      <c r="FO8" s="20"/>
      <c r="FP8" s="42"/>
      <c r="FQ8" s="38"/>
      <c r="FR8" s="20"/>
      <c r="FS8" s="42"/>
      <c r="FT8" s="38"/>
      <c r="FU8" s="20"/>
      <c r="FV8" s="42"/>
      <c r="FW8" s="219"/>
      <c r="FX8" s="20"/>
      <c r="FY8" s="42"/>
      <c r="FZ8" s="260"/>
      <c r="GA8" s="20"/>
      <c r="GB8" s="42"/>
      <c r="GC8" s="219"/>
      <c r="GD8" s="20"/>
      <c r="GE8" s="42"/>
      <c r="GF8" s="38"/>
      <c r="GG8" s="20"/>
      <c r="GH8" s="42"/>
      <c r="GI8" s="219"/>
      <c r="GJ8" s="20"/>
      <c r="GK8" s="42"/>
      <c r="GL8" s="219"/>
      <c r="GM8" s="20"/>
      <c r="GN8" s="42"/>
      <c r="GO8" s="219"/>
      <c r="GP8" s="20"/>
      <c r="GQ8" s="42"/>
      <c r="GR8" s="219"/>
      <c r="GS8" s="20"/>
      <c r="GT8" s="42"/>
      <c r="GU8" s="219"/>
      <c r="GV8" s="20"/>
      <c r="GW8" s="42"/>
      <c r="GX8" s="219"/>
      <c r="GY8" s="20"/>
      <c r="GZ8" s="42"/>
      <c r="HA8" s="219"/>
      <c r="HB8" s="20"/>
      <c r="HC8" s="42"/>
      <c r="HD8" s="38"/>
      <c r="HE8" s="20"/>
      <c r="HF8" s="42"/>
      <c r="HG8" s="219"/>
      <c r="HH8" s="20"/>
      <c r="HI8" s="42"/>
      <c r="HJ8" s="38"/>
      <c r="HK8" s="20"/>
      <c r="HL8" s="42"/>
      <c r="HM8" s="219"/>
      <c r="HN8" s="20"/>
      <c r="HO8" s="42"/>
      <c r="HP8" s="38"/>
      <c r="HQ8" s="20"/>
      <c r="HR8" s="42"/>
      <c r="HS8" s="38"/>
      <c r="HT8" s="20"/>
      <c r="HU8" s="42"/>
      <c r="HV8" s="219"/>
      <c r="HW8" s="20"/>
      <c r="HX8" s="42"/>
      <c r="HY8" s="219"/>
      <c r="HZ8" s="20"/>
      <c r="IA8" s="42"/>
      <c r="IB8" s="38"/>
      <c r="IC8" s="20"/>
      <c r="ID8" s="42"/>
      <c r="IE8" s="38"/>
      <c r="IF8" s="20"/>
      <c r="IG8" s="42"/>
      <c r="IH8" s="219"/>
      <c r="II8" s="20"/>
      <c r="IJ8" s="42"/>
      <c r="IK8" s="219"/>
      <c r="IL8" s="20"/>
      <c r="IM8" s="42"/>
      <c r="IN8" s="219"/>
      <c r="IO8" s="20"/>
      <c r="IP8" s="42"/>
      <c r="IQ8" s="38"/>
      <c r="IR8" s="20"/>
      <c r="IS8" s="42"/>
      <c r="IT8" s="219"/>
      <c r="IU8" s="20"/>
      <c r="IV8" s="42"/>
      <c r="IW8" s="219"/>
      <c r="IX8" s="20"/>
      <c r="IY8" s="42"/>
      <c r="IZ8" s="219"/>
      <c r="JA8" s="20"/>
      <c r="JB8" s="42"/>
      <c r="JC8" s="38"/>
      <c r="JD8" s="20"/>
      <c r="JE8" s="42"/>
      <c r="JF8" s="38"/>
      <c r="JG8" s="20"/>
      <c r="JH8" s="42"/>
      <c r="JI8" s="219"/>
      <c r="JJ8" s="20"/>
      <c r="JK8" s="42"/>
      <c r="JL8" s="219"/>
      <c r="JM8" s="20"/>
      <c r="JN8" s="42"/>
      <c r="JO8" s="219"/>
      <c r="JP8" s="20"/>
      <c r="JQ8" s="42"/>
      <c r="JR8" s="219"/>
    </row>
    <row r="9" ht="0.5" customHeight="1" spans="1:278">
      <c r="A9" s="2"/>
      <c r="B9" s="2"/>
      <c r="C9" s="2"/>
      <c r="D9" s="2"/>
      <c r="E9" s="2"/>
      <c r="F9" s="20"/>
      <c r="G9" s="42"/>
      <c r="H9" s="38"/>
      <c r="I9" s="20"/>
      <c r="J9" s="42"/>
      <c r="K9" s="38"/>
      <c r="L9" s="20"/>
      <c r="M9" s="42"/>
      <c r="N9" s="38"/>
      <c r="O9" s="20"/>
      <c r="P9" s="42"/>
      <c r="Q9" s="38"/>
      <c r="R9" s="20"/>
      <c r="S9" s="42"/>
      <c r="T9" s="38"/>
      <c r="U9" s="20"/>
      <c r="V9" s="42"/>
      <c r="W9" s="38"/>
      <c r="X9" s="292" t="s">
        <v>426</v>
      </c>
      <c r="Y9" s="292"/>
      <c r="Z9" s="38"/>
      <c r="AA9" s="292" t="s">
        <v>426</v>
      </c>
      <c r="AB9" s="292"/>
      <c r="AC9" s="38"/>
      <c r="AD9" s="20"/>
      <c r="AE9" s="42"/>
      <c r="AF9" s="38"/>
      <c r="AG9" s="20"/>
      <c r="AH9" s="42"/>
      <c r="AI9" s="38"/>
      <c r="AJ9" s="20"/>
      <c r="AK9" s="42"/>
      <c r="AL9" s="38"/>
      <c r="AM9" s="292" t="s">
        <v>426</v>
      </c>
      <c r="AN9" s="292"/>
      <c r="AO9" s="38"/>
      <c r="AP9" s="20"/>
      <c r="AQ9" s="42"/>
      <c r="AR9" s="38"/>
      <c r="AS9" s="20"/>
      <c r="AT9" s="42"/>
      <c r="AU9" s="38"/>
      <c r="AV9" s="292" t="s">
        <v>426</v>
      </c>
      <c r="AW9" s="292"/>
      <c r="AX9" s="38"/>
      <c r="AY9" s="20"/>
      <c r="AZ9" s="42"/>
      <c r="BA9" s="38"/>
      <c r="BB9" s="292" t="s">
        <v>426</v>
      </c>
      <c r="BC9" s="292"/>
      <c r="BD9" s="38"/>
      <c r="BE9" s="292" t="s">
        <v>426</v>
      </c>
      <c r="BF9" s="292"/>
      <c r="BG9" s="38"/>
      <c r="BH9" s="20"/>
      <c r="BI9" s="20"/>
      <c r="BJ9" s="38"/>
      <c r="BK9" s="292" t="s">
        <v>426</v>
      </c>
      <c r="BL9" s="292"/>
      <c r="BM9" s="38"/>
      <c r="BN9" s="20"/>
      <c r="BO9" s="20"/>
      <c r="BP9" s="38"/>
      <c r="BQ9" s="292" t="s">
        <v>426</v>
      </c>
      <c r="BR9" s="292"/>
      <c r="BS9" s="38"/>
      <c r="BT9" s="20"/>
      <c r="BU9" s="20"/>
      <c r="BV9" s="38"/>
      <c r="BW9" s="20"/>
      <c r="BX9" s="20"/>
      <c r="BY9" s="38"/>
      <c r="BZ9" s="292" t="s">
        <v>426</v>
      </c>
      <c r="CA9" s="292"/>
      <c r="CB9" s="38"/>
      <c r="CC9" s="20"/>
      <c r="CD9" s="20"/>
      <c r="CE9" s="38"/>
      <c r="CF9" s="292" t="s">
        <v>426</v>
      </c>
      <c r="CG9" s="292"/>
      <c r="CH9" s="38"/>
      <c r="CI9" s="20"/>
      <c r="CJ9" s="20"/>
      <c r="CK9" s="38"/>
      <c r="CL9" s="20"/>
      <c r="CM9" s="20"/>
      <c r="CN9" s="38"/>
      <c r="CO9" s="20"/>
      <c r="CP9" s="20"/>
      <c r="CQ9" s="38"/>
      <c r="CR9" s="293" t="s">
        <v>427</v>
      </c>
      <c r="CS9" s="293"/>
      <c r="CT9" s="38"/>
      <c r="CU9" s="20"/>
      <c r="CV9" s="20"/>
      <c r="CW9" s="38"/>
      <c r="CX9" s="20"/>
      <c r="CY9" s="20"/>
      <c r="CZ9" s="38"/>
      <c r="DA9" s="20"/>
      <c r="DB9" s="20"/>
      <c r="DC9" s="38"/>
      <c r="DD9" s="294" t="s">
        <v>428</v>
      </c>
      <c r="DE9" s="294"/>
      <c r="DF9" s="38"/>
      <c r="DG9" s="295"/>
      <c r="DH9" s="295"/>
      <c r="DI9" s="38"/>
      <c r="DJ9" s="294" t="s">
        <v>289</v>
      </c>
      <c r="DK9" s="294"/>
      <c r="DL9" s="38"/>
      <c r="DM9" s="295"/>
      <c r="DN9" s="295"/>
      <c r="DO9" s="38"/>
      <c r="DP9" s="295"/>
      <c r="DQ9" s="295"/>
      <c r="DR9" s="38"/>
      <c r="DS9" s="296" t="s">
        <v>289</v>
      </c>
      <c r="DT9" s="296"/>
      <c r="DU9" s="38"/>
      <c r="DV9" s="233"/>
      <c r="DW9" s="233"/>
      <c r="DX9" s="38"/>
      <c r="DY9" s="233" t="s">
        <v>429</v>
      </c>
      <c r="DZ9" s="233"/>
      <c r="EA9" s="38"/>
      <c r="EB9" s="233"/>
      <c r="EC9" s="233"/>
      <c r="ED9" s="38"/>
      <c r="EE9" s="233" t="s">
        <v>429</v>
      </c>
      <c r="EF9" s="233"/>
      <c r="EG9" s="38"/>
      <c r="EH9" s="233" t="s">
        <v>429</v>
      </c>
      <c r="EI9" s="233"/>
      <c r="EJ9" s="38"/>
      <c r="EK9" s="233" t="s">
        <v>429</v>
      </c>
      <c r="EL9" s="233"/>
      <c r="EM9" s="38"/>
      <c r="EN9" s="233"/>
      <c r="EO9" s="233"/>
      <c r="EP9" s="38"/>
      <c r="EQ9" s="233"/>
      <c r="ER9" s="233"/>
      <c r="ES9" s="38"/>
      <c r="ET9" s="233" t="s">
        <v>429</v>
      </c>
      <c r="EU9" s="233"/>
      <c r="EV9" s="38"/>
      <c r="EW9" s="233"/>
      <c r="EX9" s="233"/>
      <c r="EY9" s="38"/>
      <c r="EZ9" s="233"/>
      <c r="FA9" s="233"/>
      <c r="FB9" s="38"/>
      <c r="FC9" s="233" t="s">
        <v>430</v>
      </c>
      <c r="FD9" s="233"/>
      <c r="FE9" s="38"/>
      <c r="FF9" s="233" t="s">
        <v>429</v>
      </c>
      <c r="FG9" s="233"/>
      <c r="FH9" s="38"/>
      <c r="FI9" s="233" t="s">
        <v>431</v>
      </c>
      <c r="FJ9" s="233"/>
      <c r="FK9" s="38"/>
      <c r="FL9" s="233" t="s">
        <v>289</v>
      </c>
      <c r="FM9" s="233"/>
      <c r="FN9" s="38"/>
      <c r="FO9" s="233"/>
      <c r="FP9" s="233"/>
      <c r="FQ9" s="38"/>
      <c r="FR9" s="233"/>
      <c r="FS9" s="233"/>
      <c r="FT9" s="38"/>
      <c r="FU9" s="233"/>
      <c r="FV9" s="233"/>
      <c r="FW9" s="38"/>
      <c r="FX9" s="233" t="s">
        <v>289</v>
      </c>
      <c r="FY9" s="233"/>
      <c r="FZ9" s="38"/>
      <c r="GA9" s="233" t="s">
        <v>432</v>
      </c>
      <c r="GB9" s="233"/>
      <c r="GC9" s="38"/>
      <c r="GD9" s="233"/>
      <c r="GE9" s="233"/>
      <c r="GF9" s="38"/>
      <c r="GG9" s="233" t="s">
        <v>289</v>
      </c>
      <c r="GH9" s="233"/>
      <c r="GI9" s="38"/>
      <c r="GJ9" s="233"/>
      <c r="GK9" s="233"/>
      <c r="GL9" s="38"/>
      <c r="GM9" s="233" t="s">
        <v>433</v>
      </c>
      <c r="GN9" s="233"/>
      <c r="GO9" s="38"/>
      <c r="GP9" s="233" t="s">
        <v>433</v>
      </c>
      <c r="GQ9" s="233"/>
      <c r="GR9" s="38"/>
      <c r="GS9" s="233" t="s">
        <v>434</v>
      </c>
      <c r="GT9" s="233"/>
      <c r="GU9" s="38"/>
      <c r="GV9" s="233" t="s">
        <v>434</v>
      </c>
      <c r="GW9" s="233"/>
      <c r="GX9" s="38"/>
      <c r="GY9" s="233" t="s">
        <v>434</v>
      </c>
      <c r="GZ9" s="233"/>
      <c r="HA9" s="38"/>
      <c r="HB9" s="233"/>
      <c r="HC9" s="233"/>
      <c r="HD9" s="38"/>
      <c r="HE9" s="233" t="s">
        <v>433</v>
      </c>
      <c r="HF9" s="233"/>
      <c r="HG9" s="38"/>
      <c r="HH9" s="233"/>
      <c r="HI9" s="233"/>
      <c r="HJ9" s="38"/>
      <c r="HK9" s="233" t="s">
        <v>429</v>
      </c>
      <c r="HL9" s="233"/>
      <c r="HM9" s="38"/>
      <c r="HN9" s="233"/>
      <c r="HO9" s="233"/>
      <c r="HP9" s="38"/>
      <c r="HQ9" s="233"/>
      <c r="HR9" s="233"/>
      <c r="HS9" s="38"/>
      <c r="HT9" s="233" t="s">
        <v>429</v>
      </c>
      <c r="HU9" s="233"/>
      <c r="HV9" s="38"/>
      <c r="HW9" s="233" t="s">
        <v>429</v>
      </c>
      <c r="HX9" s="233"/>
      <c r="HY9" s="38"/>
      <c r="HZ9" s="233"/>
      <c r="IA9" s="233"/>
      <c r="IB9" s="38"/>
      <c r="IC9" s="233"/>
      <c r="ID9" s="233"/>
      <c r="IE9" s="38"/>
      <c r="IF9" s="233" t="s">
        <v>435</v>
      </c>
      <c r="IG9" s="233"/>
      <c r="IH9" s="38"/>
      <c r="II9" s="233" t="s">
        <v>435</v>
      </c>
      <c r="IJ9" s="233"/>
      <c r="IK9" s="38"/>
      <c r="IL9" s="233" t="s">
        <v>435</v>
      </c>
      <c r="IM9" s="233"/>
      <c r="IN9" s="38"/>
      <c r="IO9" s="233"/>
      <c r="IP9" s="233"/>
      <c r="IQ9" s="38"/>
      <c r="IR9" s="233" t="s">
        <v>436</v>
      </c>
      <c r="IS9" s="233"/>
      <c r="IT9" s="38"/>
      <c r="IU9" s="233" t="s">
        <v>436</v>
      </c>
      <c r="IV9" s="233"/>
      <c r="IW9" s="38"/>
      <c r="IX9" s="233" t="s">
        <v>436</v>
      </c>
      <c r="IY9" s="233"/>
      <c r="IZ9" s="38"/>
      <c r="JA9" s="233"/>
      <c r="JB9" s="233"/>
      <c r="JC9" s="38"/>
      <c r="JD9" s="233"/>
      <c r="JE9" s="233"/>
      <c r="JF9" s="38"/>
      <c r="JG9" s="233" t="s">
        <v>429</v>
      </c>
      <c r="JH9" s="233"/>
      <c r="JI9" s="38"/>
      <c r="JJ9" s="233" t="s">
        <v>429</v>
      </c>
      <c r="JK9" s="233"/>
      <c r="JL9" s="38"/>
      <c r="JM9" s="233" t="s">
        <v>429</v>
      </c>
      <c r="JN9" s="233"/>
      <c r="JO9" s="38"/>
      <c r="JP9" s="233" t="s">
        <v>289</v>
      </c>
      <c r="JQ9" s="233"/>
      <c r="JR9" s="38"/>
    </row>
    <row r="10" spans="1:278">
      <c r="A10" s="2">
        <v>3</v>
      </c>
      <c r="B10" s="2" t="s">
        <v>437</v>
      </c>
      <c r="C10" s="97" t="s">
        <v>438</v>
      </c>
      <c r="D10" s="2" t="s">
        <v>175</v>
      </c>
      <c r="E10" s="2" t="s">
        <v>465</v>
      </c>
      <c r="F10" s="20">
        <f>F5</f>
        <v>507896660</v>
      </c>
      <c r="G10" s="20">
        <v>824905760</v>
      </c>
      <c r="H10" s="96">
        <f>(F10/G10)*100</f>
        <v>61.5702647051464</v>
      </c>
      <c r="I10" s="20">
        <f>I5</f>
        <v>-2067482159</v>
      </c>
      <c r="J10" s="20">
        <v>4270827263</v>
      </c>
      <c r="K10" s="96">
        <f>(I10/J10)*100</f>
        <v>-48.4094071636069</v>
      </c>
      <c r="L10" s="20">
        <f>L5</f>
        <v>215641000</v>
      </c>
      <c r="M10" s="20">
        <v>558735000</v>
      </c>
      <c r="N10" s="96">
        <f>(L10/M10)*100</f>
        <v>38.5945036555791</v>
      </c>
      <c r="O10" s="20">
        <f>O5</f>
        <v>834187487</v>
      </c>
      <c r="P10" s="20">
        <v>2143520425</v>
      </c>
      <c r="Q10" s="96">
        <f>(O10/P10)*100</f>
        <v>38.916703441256</v>
      </c>
      <c r="R10" s="20">
        <f>R5</f>
        <v>276911072</v>
      </c>
      <c r="S10" s="20">
        <v>512954570</v>
      </c>
      <c r="T10" s="96">
        <f>(R10/S10)*100</f>
        <v>53.9835471199721</v>
      </c>
      <c r="U10" s="20">
        <f>U5</f>
        <v>87738160</v>
      </c>
      <c r="V10" s="20">
        <v>741281480</v>
      </c>
      <c r="W10" s="38">
        <f>(U10/V10)*100</f>
        <v>11.8360113353972</v>
      </c>
      <c r="X10" s="20">
        <f>X5</f>
        <v>-146032000</v>
      </c>
      <c r="Y10" s="20">
        <v>611075000</v>
      </c>
      <c r="Z10" s="219">
        <f>(X10/Y10)*100</f>
        <v>-23.8975575829481</v>
      </c>
      <c r="AA10" s="20">
        <f>AA5</f>
        <v>-27491250</v>
      </c>
      <c r="AB10" s="297">
        <v>1</v>
      </c>
      <c r="AC10" s="38">
        <f>(AA10/AB10)*100</f>
        <v>-2749125000</v>
      </c>
      <c r="AD10" s="20">
        <f>AD5</f>
        <v>353497566</v>
      </c>
      <c r="AE10" s="20">
        <v>1197098360</v>
      </c>
      <c r="AF10" s="96">
        <f>(AD10/AE10)*100</f>
        <v>29.5295338972814</v>
      </c>
      <c r="AG10" s="20">
        <f>AG5</f>
        <v>211445654</v>
      </c>
      <c r="AH10" s="20">
        <v>1607505752</v>
      </c>
      <c r="AI10" s="38">
        <f>(AG10/AH10)*100</f>
        <v>13.1536483609422</v>
      </c>
      <c r="AJ10" s="20">
        <f>AJ5</f>
        <v>373526868</v>
      </c>
      <c r="AK10" s="20">
        <v>1286493842</v>
      </c>
      <c r="AL10" s="96">
        <f>(AJ10/AK10)*100</f>
        <v>29.0344854989209</v>
      </c>
      <c r="AM10" s="20">
        <f>AM5</f>
        <v>-135204946</v>
      </c>
      <c r="AN10" s="20">
        <v>762252976</v>
      </c>
      <c r="AO10" s="38">
        <f>(AM10/AN10)*100</f>
        <v>-17.7375425556882</v>
      </c>
      <c r="AP10" s="20">
        <f>AP5</f>
        <v>465064409</v>
      </c>
      <c r="AQ10" s="20">
        <v>922766940</v>
      </c>
      <c r="AR10" s="96">
        <f>(AP10/AQ10)*100</f>
        <v>50.398902349059</v>
      </c>
      <c r="AS10" s="20">
        <f>AS5</f>
        <v>81100767</v>
      </c>
      <c r="AT10" s="20">
        <v>103883196</v>
      </c>
      <c r="AU10" s="96">
        <f>(AS10/AT10)*100</f>
        <v>78.0691874362433</v>
      </c>
      <c r="AV10" s="20">
        <f>AV5</f>
        <v>22994344</v>
      </c>
      <c r="AW10" s="20">
        <v>103883196</v>
      </c>
      <c r="AX10" s="38">
        <f>(AV10/AW10)*100</f>
        <v>22.134806095107</v>
      </c>
      <c r="AY10" s="20">
        <f>AY5</f>
        <v>150262792</v>
      </c>
      <c r="AZ10" s="20">
        <v>442998041</v>
      </c>
      <c r="BA10" s="96">
        <f>(AY10/AZ10)*100</f>
        <v>33.9195161361899</v>
      </c>
      <c r="BB10" s="20">
        <f>BB5</f>
        <v>-242868170</v>
      </c>
      <c r="BC10" s="20">
        <v>442998041</v>
      </c>
      <c r="BD10" s="38">
        <f>(BB10/BC10)*100</f>
        <v>-54.823757110023</v>
      </c>
      <c r="BE10" s="20">
        <f>BE5</f>
        <v>15073539</v>
      </c>
      <c r="BF10" s="20">
        <v>251369979</v>
      </c>
      <c r="BG10" s="38">
        <f>(BE10/BF10)*100</f>
        <v>5.99655498240703</v>
      </c>
      <c r="BH10" s="20">
        <f>BH5</f>
        <v>341898520</v>
      </c>
      <c r="BI10" s="20">
        <v>197431605</v>
      </c>
      <c r="BJ10" s="96">
        <f>(BH10/BI10)*100</f>
        <v>173.173145201347</v>
      </c>
      <c r="BK10" s="20">
        <f>BK5</f>
        <v>32199318</v>
      </c>
      <c r="BL10" s="20">
        <v>197431605</v>
      </c>
      <c r="BM10" s="96">
        <f>(BK10/BL10)*100</f>
        <v>16.3091000551811</v>
      </c>
      <c r="BN10" s="20">
        <f>BN5</f>
        <v>106411768</v>
      </c>
      <c r="BO10" s="20">
        <v>261398265</v>
      </c>
      <c r="BP10" s="96">
        <f>(BN10/BO10)*100</f>
        <v>40.7086741757831</v>
      </c>
      <c r="BQ10" s="20">
        <f>BQ5</f>
        <v>-74517</v>
      </c>
      <c r="BR10" s="20">
        <v>261398265</v>
      </c>
      <c r="BS10" s="38">
        <f>(BQ10/BR10)*100</f>
        <v>-0.0285070752095466</v>
      </c>
      <c r="BT10" s="20">
        <f>BT5</f>
        <v>-17647700</v>
      </c>
      <c r="BU10" s="20">
        <v>261398265</v>
      </c>
      <c r="BV10" s="38">
        <f>(BT10/BU10)*100</f>
        <v>-6.75126898795598</v>
      </c>
      <c r="BW10" s="20">
        <f>BW5</f>
        <v>134331411</v>
      </c>
      <c r="BX10" s="20">
        <v>551608523</v>
      </c>
      <c r="BY10" s="38">
        <f>(BW10/BX10)*100</f>
        <v>24.3526713962685</v>
      </c>
      <c r="BZ10" s="20">
        <f>BZ5</f>
        <v>-326670435</v>
      </c>
      <c r="CA10" s="20">
        <v>551608523</v>
      </c>
      <c r="CB10" s="38">
        <f>(BZ10/CA10)*100</f>
        <v>-59.2214263157787</v>
      </c>
      <c r="CC10" s="20">
        <f>CC5</f>
        <v>86425243</v>
      </c>
      <c r="CD10" s="20">
        <v>241976328</v>
      </c>
      <c r="CE10" s="96">
        <f>(CC10/CD10)*100</f>
        <v>35.7164040442832</v>
      </c>
      <c r="CF10" s="20">
        <f>CF5</f>
        <v>-42903000</v>
      </c>
      <c r="CG10" s="20">
        <v>241976328</v>
      </c>
      <c r="CH10" s="38">
        <f>(CF10/CG10)*100</f>
        <v>-17.7302467371932</v>
      </c>
      <c r="CI10" s="20">
        <f>CI5</f>
        <v>30704</v>
      </c>
      <c r="CJ10" s="20">
        <v>218062</v>
      </c>
      <c r="CK10" s="38">
        <f>(CI10/CJ10)*100</f>
        <v>14.0803991525346</v>
      </c>
      <c r="CL10" s="20">
        <f>CL5</f>
        <v>87131637</v>
      </c>
      <c r="CM10" s="20">
        <v>241258320</v>
      </c>
      <c r="CN10" s="96">
        <f>(CL10/CM10)*100</f>
        <v>36.1154952086212</v>
      </c>
      <c r="CO10" s="20">
        <f>CO5</f>
        <v>42230827</v>
      </c>
      <c r="CP10" s="20">
        <v>101687482</v>
      </c>
      <c r="CQ10" s="38">
        <f>(CO10/CP10)*100</f>
        <v>41.5300154644404</v>
      </c>
      <c r="CR10" s="20">
        <f>CR5</f>
        <v>-38913143</v>
      </c>
      <c r="CS10" s="20">
        <v>104787924</v>
      </c>
      <c r="CT10" s="38">
        <f>(CR10/CS10)*100</f>
        <v>-37.135140686631</v>
      </c>
      <c r="CU10" s="20">
        <f>CU5</f>
        <v>68068581</v>
      </c>
      <c r="CV10" s="20">
        <v>657413018</v>
      </c>
      <c r="CW10" s="38">
        <f>(CU10/CV10)*100</f>
        <v>10.3540056458085</v>
      </c>
      <c r="CX10" s="20">
        <f>CX5</f>
        <v>31572024</v>
      </c>
      <c r="CY10" s="20">
        <v>178920942</v>
      </c>
      <c r="CZ10" s="38">
        <f>(CX10/CY10)*100</f>
        <v>17.6457957615716</v>
      </c>
      <c r="DA10" s="20">
        <f>DA5</f>
        <v>19007669</v>
      </c>
      <c r="DB10" s="20">
        <v>310145681</v>
      </c>
      <c r="DC10" s="38">
        <f>(DA10/DB10)*100</f>
        <v>6.12862605041403</v>
      </c>
      <c r="DD10" s="20">
        <f>DD5</f>
        <v>5595112</v>
      </c>
      <c r="DE10" s="20">
        <v>310145681</v>
      </c>
      <c r="DF10" s="38">
        <f>(DD10/DE10)*100</f>
        <v>1.80402705656249</v>
      </c>
      <c r="DG10" s="20">
        <f>DG5</f>
        <v>122815555</v>
      </c>
      <c r="DH10" s="20">
        <v>585687100</v>
      </c>
      <c r="DI10" s="38">
        <f>(DG10/DH10)*100</f>
        <v>20.9694826811108</v>
      </c>
      <c r="DJ10" s="20">
        <f>DJ5</f>
        <v>-46574092</v>
      </c>
      <c r="DK10" s="20">
        <v>585687100</v>
      </c>
      <c r="DL10" s="38">
        <f>(DJ10/DK10)*100</f>
        <v>-7.95204333508455</v>
      </c>
      <c r="DM10" s="20">
        <f>DM5</f>
        <v>66350703</v>
      </c>
      <c r="DN10" s="20">
        <v>307498187</v>
      </c>
      <c r="DO10" s="38">
        <f>(DM10/DN10)*100</f>
        <v>21.5775916103206</v>
      </c>
      <c r="DP10" s="20">
        <f>DP5</f>
        <v>57813481</v>
      </c>
      <c r="DQ10" s="20">
        <v>558730304</v>
      </c>
      <c r="DR10" s="38">
        <f>(DP10/DQ10)*100</f>
        <v>10.3472964659529</v>
      </c>
      <c r="DS10" s="20">
        <f>DS5</f>
        <v>-8141408</v>
      </c>
      <c r="DT10" s="20">
        <v>558730304</v>
      </c>
      <c r="DU10" s="38">
        <f>(DS10/DT10)*100</f>
        <v>-1.45712662114708</v>
      </c>
      <c r="DV10" s="20">
        <f>DV5</f>
        <v>88188547</v>
      </c>
      <c r="DW10" s="20">
        <v>153410733</v>
      </c>
      <c r="DX10" s="96">
        <f>(DV10/DW10)*100</f>
        <v>57.4852523519329</v>
      </c>
      <c r="DY10" s="20">
        <f>DY5</f>
        <v>34929553</v>
      </c>
      <c r="DZ10" s="20">
        <v>153410733</v>
      </c>
      <c r="EA10" s="96">
        <f>(DY10/DZ10)*100</f>
        <v>22.7686500917768</v>
      </c>
      <c r="EB10" s="20">
        <f>EB5</f>
        <v>43661088</v>
      </c>
      <c r="EC10" s="20">
        <v>135250191</v>
      </c>
      <c r="ED10" s="96">
        <f>(EB10/EC10)*100</f>
        <v>32.2817200309906</v>
      </c>
      <c r="EE10" s="20">
        <f>EE5</f>
        <v>-24571147</v>
      </c>
      <c r="EF10" s="20">
        <v>135250191</v>
      </c>
      <c r="EG10" s="38">
        <f>(EE10/EF10)*100</f>
        <v>-18.1671809986575</v>
      </c>
      <c r="EH10" s="20">
        <f>EH5</f>
        <v>3578144</v>
      </c>
      <c r="EI10" s="20">
        <v>135250191</v>
      </c>
      <c r="EJ10" s="38">
        <f>(EH10/EI10)*100</f>
        <v>2.64557408277523</v>
      </c>
      <c r="EK10" s="20">
        <f>EK5</f>
        <v>25745362</v>
      </c>
      <c r="EL10" s="20">
        <v>135250191</v>
      </c>
      <c r="EM10" s="38">
        <f>(EK10/EL10)*100</f>
        <v>19.03536091864</v>
      </c>
      <c r="EN10" s="20">
        <f>EN5</f>
        <v>55692531</v>
      </c>
      <c r="EO10" s="20">
        <v>314212983</v>
      </c>
      <c r="EP10" s="38">
        <f>(EN10/EO10)*100</f>
        <v>17.7244525252478</v>
      </c>
      <c r="EQ10" s="20">
        <f>EQ5</f>
        <v>45682180</v>
      </c>
      <c r="ER10" s="20">
        <v>116635853</v>
      </c>
      <c r="ES10" s="96">
        <f>(EQ10/ER10)*100</f>
        <v>39.1664988294808</v>
      </c>
      <c r="ET10" s="20">
        <f>ET5</f>
        <v>1446060</v>
      </c>
      <c r="EU10" s="20">
        <v>314212983</v>
      </c>
      <c r="EV10" s="38">
        <f>(ET10/EU10)*100</f>
        <v>0.460216502257006</v>
      </c>
      <c r="EW10" s="20">
        <f>EW5</f>
        <v>64198316</v>
      </c>
      <c r="EX10" s="20">
        <v>257267737</v>
      </c>
      <c r="EY10" s="38">
        <f>(EW10/EX10)*100</f>
        <v>24.9538930721033</v>
      </c>
      <c r="EZ10" s="20">
        <f>EZ5</f>
        <v>33681696</v>
      </c>
      <c r="FA10" s="20">
        <v>130728079</v>
      </c>
      <c r="FB10" s="96">
        <f>(EZ10/FA10)*100</f>
        <v>25.7646989519367</v>
      </c>
      <c r="FC10" s="20">
        <f>FC5</f>
        <v>-24642433</v>
      </c>
      <c r="FD10" s="20">
        <v>130728079</v>
      </c>
      <c r="FE10" s="96">
        <f>(FC10/FD10)*100</f>
        <v>-18.8501454228514</v>
      </c>
      <c r="FF10" s="20">
        <f>FF5</f>
        <v>-49244</v>
      </c>
      <c r="FG10" s="20">
        <v>130728079</v>
      </c>
      <c r="FH10" s="96">
        <f>(FF10/FG10)*100</f>
        <v>-0.0376690305378082</v>
      </c>
      <c r="FI10" s="20">
        <f>FI5</f>
        <v>-37154901</v>
      </c>
      <c r="FJ10" s="20">
        <v>118373539</v>
      </c>
      <c r="FK10" s="96">
        <f>(FI10/FJ10)*100</f>
        <v>-31.387843359148</v>
      </c>
      <c r="FL10" s="20">
        <f>FL5</f>
        <v>4314884</v>
      </c>
      <c r="FM10" s="20">
        <v>118373539</v>
      </c>
      <c r="FN10" s="96">
        <f>(FL10/FM10)*100</f>
        <v>3.64514234891634</v>
      </c>
      <c r="FO10" s="20">
        <f>FO5</f>
        <v>70213374</v>
      </c>
      <c r="FP10" s="20">
        <v>118373539</v>
      </c>
      <c r="FQ10" s="96">
        <f>(FO10/FP10)*100</f>
        <v>59.3150923704326</v>
      </c>
      <c r="FR10" s="20">
        <f>FR5</f>
        <v>36679887</v>
      </c>
      <c r="FS10" s="20">
        <v>87342006</v>
      </c>
      <c r="FT10" s="96">
        <f>(FR10/FS10)*100</f>
        <v>41.9957002132513</v>
      </c>
      <c r="FU10" s="20">
        <f>FU5</f>
        <v>7802000</v>
      </c>
      <c r="FV10" s="20">
        <v>69640000</v>
      </c>
      <c r="FW10" s="38">
        <f>(FU10/FV10)*100</f>
        <v>11.2033314187249</v>
      </c>
      <c r="FX10" s="20">
        <f>FX5</f>
        <v>-19549178</v>
      </c>
      <c r="FY10" s="20">
        <v>69640000</v>
      </c>
      <c r="FZ10" s="38">
        <f>(FX10/FY10)*100</f>
        <v>-28.0717662263067</v>
      </c>
      <c r="GA10" s="20">
        <f>GA5</f>
        <v>-61545425</v>
      </c>
      <c r="GB10" s="20">
        <v>69640000</v>
      </c>
      <c r="GC10" s="38">
        <f>(GA10/GB10)*100</f>
        <v>-88.3765436530729</v>
      </c>
      <c r="GD10" s="20">
        <f>GD5</f>
        <v>30196599</v>
      </c>
      <c r="GE10" s="20">
        <v>127924936</v>
      </c>
      <c r="GF10" s="38">
        <f>(GD10/GE10)*100</f>
        <v>23.6049357882813</v>
      </c>
      <c r="GG10" s="20">
        <f>GG5</f>
        <v>2474586</v>
      </c>
      <c r="GH10" s="20">
        <v>127924936</v>
      </c>
      <c r="GI10" s="38">
        <f>(GG10/GH10)*100</f>
        <v>1.93440471996797</v>
      </c>
      <c r="GJ10" s="20">
        <f>GJ5</f>
        <v>12372289</v>
      </c>
      <c r="GK10" s="20">
        <v>104711420</v>
      </c>
      <c r="GL10" s="38">
        <f>(GJ10/GK10)*100</f>
        <v>11.815606167885</v>
      </c>
      <c r="GM10" s="20">
        <f>GM5</f>
        <v>-51610750</v>
      </c>
      <c r="GN10" s="20">
        <v>104711420</v>
      </c>
      <c r="GO10" s="38">
        <f>(GM10/GN10)*100</f>
        <v>-49.2885589747518</v>
      </c>
      <c r="GP10" s="20">
        <f>GP5</f>
        <v>-51610750</v>
      </c>
      <c r="GQ10" s="20">
        <v>104711420</v>
      </c>
      <c r="GR10" s="38">
        <f>(GP10/GQ10)*100</f>
        <v>-49.2885589747518</v>
      </c>
      <c r="GS10" s="20">
        <f>GS5</f>
        <v>-29574806</v>
      </c>
      <c r="GT10" s="20">
        <v>104711420</v>
      </c>
      <c r="GU10" s="38">
        <f>(GS10/GT10)*100</f>
        <v>-28.2441074717543</v>
      </c>
      <c r="GV10" s="20">
        <f>GV5</f>
        <v>-3271325</v>
      </c>
      <c r="GW10" s="20">
        <v>104711420</v>
      </c>
      <c r="GX10" s="38">
        <f>(GV10/GW10)*100</f>
        <v>-3.12413392923141</v>
      </c>
      <c r="GY10" s="20">
        <f>GY5</f>
        <v>-392717134</v>
      </c>
      <c r="GZ10" s="20">
        <v>104711420</v>
      </c>
      <c r="HA10" s="38">
        <f>(GY10/GZ10)*100</f>
        <v>-375.04709037467</v>
      </c>
      <c r="HB10" s="20">
        <f>HB5</f>
        <v>22066639</v>
      </c>
      <c r="HC10" s="20">
        <v>121327738</v>
      </c>
      <c r="HD10" s="38">
        <f>(HB10/HC10)*100</f>
        <v>18.1876291141272</v>
      </c>
      <c r="HE10" s="20">
        <f>HE5</f>
        <v>-13379926</v>
      </c>
      <c r="HF10" s="20">
        <v>121327738</v>
      </c>
      <c r="HG10" s="38">
        <f>(HE10/HF10)*100</f>
        <v>-11.0279200952382</v>
      </c>
      <c r="HH10" s="20">
        <f>HH5</f>
        <v>21939665</v>
      </c>
      <c r="HI10" s="20">
        <v>58940989</v>
      </c>
      <c r="HJ10" s="96">
        <f>(HH10/HI10)*100</f>
        <v>37.2231029241807</v>
      </c>
      <c r="HK10" s="20">
        <f>HK5</f>
        <v>-183245627</v>
      </c>
      <c r="HL10" s="20">
        <v>58940989</v>
      </c>
      <c r="HM10" s="96">
        <f>(HK10/HL10)*100</f>
        <v>-310.896763201581</v>
      </c>
      <c r="HN10" s="20">
        <f>HN5</f>
        <v>46951860</v>
      </c>
      <c r="HO10" s="20">
        <v>136196794</v>
      </c>
      <c r="HP10" s="96">
        <f>(HN10/HO10)*100</f>
        <v>34.4735427472691</v>
      </c>
      <c r="HQ10" s="20">
        <f>HQ5</f>
        <v>44611138</v>
      </c>
      <c r="HR10" s="20">
        <v>167223558</v>
      </c>
      <c r="HS10" s="96">
        <f>(HQ10/HR10)*100</f>
        <v>26.6775438422378</v>
      </c>
      <c r="HT10" s="20">
        <f>HT5</f>
        <v>4878113</v>
      </c>
      <c r="HU10" s="20">
        <v>167223558</v>
      </c>
      <c r="HV10" s="96">
        <f>(HT10/HU10)*100</f>
        <v>2.91712068463464</v>
      </c>
      <c r="HW10" s="20">
        <f>HW5</f>
        <v>-49213432</v>
      </c>
      <c r="HX10" s="20">
        <v>167223558</v>
      </c>
      <c r="HY10" s="96">
        <f>(HW10/HX10)*100</f>
        <v>-29.4297242497376</v>
      </c>
      <c r="HZ10" s="20">
        <f>HZ5</f>
        <v>49825000</v>
      </c>
      <c r="IA10" s="20">
        <v>90255000</v>
      </c>
      <c r="IB10" s="96">
        <f>(HZ10/IA10)*100</f>
        <v>55.2046978006759</v>
      </c>
      <c r="IC10" s="20">
        <f>IC5</f>
        <v>10100967</v>
      </c>
      <c r="ID10" s="20">
        <v>27369769</v>
      </c>
      <c r="IE10" s="96">
        <f>(IC10/ID10)*100</f>
        <v>36.9055617531883</v>
      </c>
      <c r="IF10" s="20">
        <f>IF5</f>
        <v>-2268124</v>
      </c>
      <c r="IG10" s="20">
        <v>27369769</v>
      </c>
      <c r="IH10" s="38">
        <f>(IF10/IG10)*100</f>
        <v>-8.28696800473544</v>
      </c>
      <c r="II10" s="20">
        <f>II5</f>
        <v>-40203260</v>
      </c>
      <c r="IJ10" s="20">
        <v>27369769</v>
      </c>
      <c r="IK10" s="38">
        <f>(II10/IJ10)*100</f>
        <v>-146.88929234295</v>
      </c>
      <c r="IL10" s="20">
        <f>IL5</f>
        <v>-627905</v>
      </c>
      <c r="IM10" s="20">
        <v>27369769</v>
      </c>
      <c r="IN10" s="38">
        <f>(IL10/IM10)*100</f>
        <v>-2.29415527767151</v>
      </c>
      <c r="IO10" s="20">
        <f>IO5</f>
        <v>13983548</v>
      </c>
      <c r="IP10" s="20">
        <v>73596826</v>
      </c>
      <c r="IQ10" s="38">
        <f>(IO10/IP10)*100</f>
        <v>19.0002052534168</v>
      </c>
      <c r="IR10" s="20">
        <f>IR5</f>
        <v>-30651017</v>
      </c>
      <c r="IS10" s="20">
        <v>73596826</v>
      </c>
      <c r="IT10" s="38">
        <f>(IR10/IS10)*100</f>
        <v>-41.6471995680901</v>
      </c>
      <c r="IU10" s="20">
        <f>IU5</f>
        <v>-17835782</v>
      </c>
      <c r="IV10" s="20">
        <v>73596826</v>
      </c>
      <c r="IW10" s="38">
        <f>(IU10/IV10)*100</f>
        <v>-24.2344445669437</v>
      </c>
      <c r="IX10" s="20">
        <f>IX5</f>
        <v>562023</v>
      </c>
      <c r="IY10" s="20">
        <v>73596826</v>
      </c>
      <c r="IZ10" s="38">
        <f>(IX10/IY10)*100</f>
        <v>0.763651138977107</v>
      </c>
      <c r="JA10" s="20">
        <f>JA5</f>
        <v>14660741</v>
      </c>
      <c r="JB10" s="20">
        <v>75939296</v>
      </c>
      <c r="JC10" s="38">
        <f>(JA10/JB10)*100</f>
        <v>19.3058689930441</v>
      </c>
      <c r="JD10" s="20">
        <f>JD5</f>
        <v>11066572</v>
      </c>
      <c r="JE10" s="20">
        <v>48903621</v>
      </c>
      <c r="JF10" s="38">
        <f>(JD10/JE10)*100</f>
        <v>22.6293509022573</v>
      </c>
      <c r="JG10" s="20">
        <f>JG5</f>
        <v>2966086</v>
      </c>
      <c r="JH10" s="20">
        <v>48903621</v>
      </c>
      <c r="JI10" s="38">
        <f>(JG10/JH10)*100</f>
        <v>6.06516642193019</v>
      </c>
      <c r="JJ10" s="20">
        <f>JJ5</f>
        <v>4298366</v>
      </c>
      <c r="JK10" s="20">
        <v>48903621</v>
      </c>
      <c r="JL10" s="38">
        <f>(JJ10/JK10)*100</f>
        <v>8.78946366773127</v>
      </c>
      <c r="JM10" s="20">
        <f>JM5</f>
        <v>-16298072</v>
      </c>
      <c r="JN10" s="20">
        <v>48903621</v>
      </c>
      <c r="JO10" s="38">
        <f>(JM10/JN10)*100</f>
        <v>-33.3269227650852</v>
      </c>
      <c r="JP10" s="20">
        <f>JP5</f>
        <v>-1572000</v>
      </c>
      <c r="JQ10" s="20">
        <v>48903621</v>
      </c>
      <c r="JR10" s="38">
        <f>(JP10/JQ10)*100</f>
        <v>-3.21448589665784</v>
      </c>
    </row>
    <row r="11" ht="3" customHeight="1" spans="1:278">
      <c r="A11" s="2"/>
      <c r="B11" s="2"/>
      <c r="C11" s="6" t="s">
        <v>439</v>
      </c>
      <c r="D11" s="2"/>
      <c r="E11" s="2"/>
      <c r="F11" s="20"/>
      <c r="G11" s="20"/>
      <c r="H11" s="96"/>
      <c r="I11" s="20"/>
      <c r="J11" s="20"/>
      <c r="K11" s="96"/>
      <c r="L11" s="20"/>
      <c r="M11" s="20"/>
      <c r="N11" s="96"/>
      <c r="O11" s="20"/>
      <c r="P11" s="20"/>
      <c r="Q11" s="96"/>
      <c r="R11" s="20"/>
      <c r="S11" s="20"/>
      <c r="T11" s="96"/>
      <c r="U11" s="20"/>
      <c r="V11" s="20"/>
      <c r="W11" s="38"/>
      <c r="X11" s="20"/>
      <c r="Y11" s="20"/>
      <c r="Z11" s="219"/>
      <c r="AA11" s="20"/>
      <c r="AB11" s="297"/>
      <c r="AC11" s="38"/>
      <c r="AD11" s="20"/>
      <c r="AE11" s="20"/>
      <c r="AF11" s="96"/>
      <c r="AG11" s="20"/>
      <c r="AH11" s="20"/>
      <c r="AI11" s="38"/>
      <c r="AJ11" s="20"/>
      <c r="AK11" s="20"/>
      <c r="AL11" s="96"/>
      <c r="AM11" s="20"/>
      <c r="AN11" s="20"/>
      <c r="AO11" s="38"/>
      <c r="AP11" s="20"/>
      <c r="AQ11" s="20"/>
      <c r="AR11" s="96"/>
      <c r="AS11" s="20"/>
      <c r="AT11" s="20"/>
      <c r="AU11" s="96"/>
      <c r="AV11" s="20"/>
      <c r="AW11" s="20"/>
      <c r="AX11" s="38"/>
      <c r="AY11" s="20"/>
      <c r="AZ11" s="20"/>
      <c r="BA11" s="96"/>
      <c r="BB11" s="20"/>
      <c r="BC11" s="20"/>
      <c r="BD11" s="38"/>
      <c r="BE11" s="20"/>
      <c r="BF11" s="20"/>
      <c r="BG11" s="38"/>
      <c r="BH11" s="20"/>
      <c r="BI11" s="20"/>
      <c r="BJ11" s="96"/>
      <c r="BK11" s="20"/>
      <c r="BL11" s="20"/>
      <c r="BM11" s="96"/>
      <c r="BN11" s="20"/>
      <c r="BO11" s="20"/>
      <c r="BP11" s="96"/>
      <c r="BQ11" s="20"/>
      <c r="BR11" s="20"/>
      <c r="BS11" s="38"/>
      <c r="BT11" s="20"/>
      <c r="BU11" s="20"/>
      <c r="BV11" s="38"/>
      <c r="BW11" s="20"/>
      <c r="BX11" s="20"/>
      <c r="BY11" s="38"/>
      <c r="BZ11" s="20"/>
      <c r="CA11" s="20"/>
      <c r="CB11" s="38"/>
      <c r="CC11" s="20"/>
      <c r="CD11" s="20"/>
      <c r="CE11" s="96"/>
      <c r="CF11" s="20"/>
      <c r="CG11" s="20"/>
      <c r="CH11" s="38"/>
      <c r="CI11" s="20"/>
      <c r="CJ11" s="20"/>
      <c r="CK11" s="38"/>
      <c r="CL11" s="20"/>
      <c r="CM11" s="20"/>
      <c r="CN11" s="96"/>
      <c r="CO11" s="20"/>
      <c r="CP11" s="20"/>
      <c r="CQ11" s="38"/>
      <c r="CR11" s="20"/>
      <c r="CS11" s="20"/>
      <c r="CT11" s="38"/>
      <c r="CU11" s="20"/>
      <c r="CV11" s="20"/>
      <c r="CW11" s="38"/>
      <c r="CX11" s="20"/>
      <c r="CY11" s="20"/>
      <c r="CZ11" s="38"/>
      <c r="DA11" s="20"/>
      <c r="DB11" s="20"/>
      <c r="DC11" s="38"/>
      <c r="DD11" s="20"/>
      <c r="DE11" s="20"/>
      <c r="DF11" s="38"/>
      <c r="DG11" s="20"/>
      <c r="DH11" s="20"/>
      <c r="DI11" s="38"/>
      <c r="DJ11" s="20"/>
      <c r="DK11" s="20"/>
      <c r="DL11" s="38"/>
      <c r="DM11" s="20"/>
      <c r="DN11" s="20"/>
      <c r="DO11" s="38"/>
      <c r="DP11" s="20"/>
      <c r="DQ11" s="20"/>
      <c r="DR11" s="38"/>
      <c r="DS11" s="20"/>
      <c r="DT11" s="20"/>
      <c r="DU11" s="38"/>
      <c r="DV11" s="20"/>
      <c r="DW11" s="20"/>
      <c r="DX11" s="96"/>
      <c r="DY11" s="20"/>
      <c r="DZ11" s="20"/>
      <c r="EA11" s="96"/>
      <c r="EB11" s="20"/>
      <c r="EC11" s="20"/>
      <c r="ED11" s="96"/>
      <c r="EE11" s="20"/>
      <c r="EF11" s="20"/>
      <c r="EG11" s="38"/>
      <c r="EH11" s="20"/>
      <c r="EI11" s="20"/>
      <c r="EJ11" s="38"/>
      <c r="EK11" s="20"/>
      <c r="EL11" s="20"/>
      <c r="EM11" s="38"/>
      <c r="EN11" s="20"/>
      <c r="EO11" s="20"/>
      <c r="EP11" s="38"/>
      <c r="EQ11" s="20"/>
      <c r="ER11" s="20"/>
      <c r="ES11" s="96"/>
      <c r="ET11" s="20"/>
      <c r="EU11" s="20"/>
      <c r="EV11" s="38"/>
      <c r="EW11" s="20"/>
      <c r="EX11" s="20"/>
      <c r="EY11" s="38"/>
      <c r="EZ11" s="20"/>
      <c r="FA11" s="20"/>
      <c r="FB11" s="96"/>
      <c r="FC11" s="20"/>
      <c r="FD11" s="20"/>
      <c r="FE11" s="96"/>
      <c r="FF11" s="20"/>
      <c r="FG11" s="20"/>
      <c r="FH11" s="96"/>
      <c r="FI11" s="20"/>
      <c r="FJ11" s="20"/>
      <c r="FK11" s="96"/>
      <c r="FL11" s="20"/>
      <c r="FM11" s="20"/>
      <c r="FN11" s="96"/>
      <c r="FO11" s="20"/>
      <c r="FP11" s="20"/>
      <c r="FQ11" s="96"/>
      <c r="FR11" s="20"/>
      <c r="FS11" s="20"/>
      <c r="FT11" s="96"/>
      <c r="FU11" s="20"/>
      <c r="FV11" s="20"/>
      <c r="FW11" s="38"/>
      <c r="FX11" s="20"/>
      <c r="FY11" s="20"/>
      <c r="FZ11" s="38"/>
      <c r="GA11" s="20"/>
      <c r="GB11" s="20"/>
      <c r="GC11" s="38"/>
      <c r="GD11" s="20"/>
      <c r="GE11" s="20"/>
      <c r="GF11" s="38"/>
      <c r="GG11" s="20"/>
      <c r="GH11" s="20"/>
      <c r="GI11" s="38"/>
      <c r="GJ11" s="20"/>
      <c r="GK11" s="20"/>
      <c r="GL11" s="38"/>
      <c r="GM11" s="20"/>
      <c r="GN11" s="20"/>
      <c r="GO11" s="38"/>
      <c r="GP11" s="20"/>
      <c r="GQ11" s="20"/>
      <c r="GR11" s="38"/>
      <c r="GS11" s="20"/>
      <c r="GT11" s="20"/>
      <c r="GU11" s="38"/>
      <c r="GV11" s="20"/>
      <c r="GW11" s="20"/>
      <c r="GX11" s="38"/>
      <c r="GY11" s="20"/>
      <c r="GZ11" s="20"/>
      <c r="HA11" s="38"/>
      <c r="HB11" s="20"/>
      <c r="HC11" s="20"/>
      <c r="HD11" s="38"/>
      <c r="HE11" s="20"/>
      <c r="HF11" s="20"/>
      <c r="HG11" s="38"/>
      <c r="HH11" s="20"/>
      <c r="HI11" s="20"/>
      <c r="HJ11" s="96"/>
      <c r="HK11" s="20"/>
      <c r="HL11" s="20"/>
      <c r="HM11" s="96"/>
      <c r="HN11" s="20"/>
      <c r="HO11" s="20"/>
      <c r="HP11" s="96"/>
      <c r="HQ11" s="20"/>
      <c r="HR11" s="20"/>
      <c r="HS11" s="96"/>
      <c r="HT11" s="20"/>
      <c r="HU11" s="20"/>
      <c r="HV11" s="96"/>
      <c r="HW11" s="20"/>
      <c r="HX11" s="20"/>
      <c r="HY11" s="96"/>
      <c r="HZ11" s="20"/>
      <c r="IA11" s="20"/>
      <c r="IB11" s="96"/>
      <c r="IC11" s="20"/>
      <c r="ID11" s="20"/>
      <c r="IE11" s="96"/>
      <c r="IF11" s="20"/>
      <c r="IG11" s="20"/>
      <c r="IH11" s="38"/>
      <c r="II11" s="20"/>
      <c r="IJ11" s="20"/>
      <c r="IK11" s="38"/>
      <c r="IL11" s="20"/>
      <c r="IM11" s="20"/>
      <c r="IN11" s="38"/>
      <c r="IO11" s="20"/>
      <c r="IP11" s="20"/>
      <c r="IQ11" s="38"/>
      <c r="IR11" s="20"/>
      <c r="IS11" s="20"/>
      <c r="IT11" s="38"/>
      <c r="IU11" s="20"/>
      <c r="IV11" s="20"/>
      <c r="IW11" s="38"/>
      <c r="IX11" s="20"/>
      <c r="IY11" s="20"/>
      <c r="IZ11" s="38"/>
      <c r="JA11" s="20"/>
      <c r="JB11" s="20"/>
      <c r="JC11" s="38"/>
      <c r="JD11" s="20"/>
      <c r="JE11" s="20"/>
      <c r="JF11" s="38"/>
      <c r="JG11" s="20"/>
      <c r="JH11" s="20"/>
      <c r="JI11" s="38"/>
      <c r="JJ11" s="20"/>
      <c r="JK11" s="20"/>
      <c r="JL11" s="38"/>
      <c r="JM11" s="20"/>
      <c r="JN11" s="20"/>
      <c r="JO11" s="38"/>
      <c r="JP11" s="20"/>
      <c r="JQ11" s="20"/>
      <c r="JR11" s="38"/>
    </row>
    <row r="12" hidden="1" spans="1:278">
      <c r="A12" s="2"/>
      <c r="F12" s="45"/>
      <c r="H12" s="48"/>
      <c r="I12" s="45"/>
      <c r="K12" s="48"/>
      <c r="L12" s="45"/>
      <c r="N12" s="48"/>
      <c r="O12" s="45"/>
      <c r="Q12" s="48"/>
      <c r="R12" s="45"/>
      <c r="T12" s="48"/>
      <c r="U12" s="45"/>
      <c r="W12" s="48"/>
      <c r="X12" s="298"/>
      <c r="Y12" s="298"/>
      <c r="Z12" s="48"/>
      <c r="AA12" s="298"/>
      <c r="AB12" s="298"/>
      <c r="AC12" s="48"/>
      <c r="AD12" s="45"/>
      <c r="AF12" s="48"/>
      <c r="AG12" s="45"/>
      <c r="AH12" s="290" t="s">
        <v>440</v>
      </c>
      <c r="AI12" s="48"/>
      <c r="AJ12" s="45"/>
      <c r="AK12" s="83"/>
      <c r="AL12" s="48"/>
      <c r="AM12" s="45"/>
      <c r="AN12" s="83"/>
      <c r="AO12" s="48"/>
      <c r="AP12" s="45"/>
      <c r="AQ12" s="83"/>
      <c r="AR12" s="48"/>
      <c r="AS12" s="45"/>
      <c r="AT12" s="83"/>
      <c r="AU12" s="48"/>
      <c r="AV12" s="45"/>
      <c r="AW12" s="83"/>
      <c r="AX12" s="48"/>
      <c r="AY12" s="45"/>
      <c r="AZ12" s="83" t="s">
        <v>441</v>
      </c>
      <c r="BA12" s="48"/>
      <c r="BB12" s="45"/>
      <c r="BC12" s="83"/>
      <c r="BD12" s="48"/>
      <c r="BE12" s="45"/>
      <c r="BF12" s="83"/>
      <c r="BG12" s="48"/>
      <c r="BH12" s="83"/>
      <c r="BI12" s="83"/>
      <c r="BJ12" s="48"/>
      <c r="BK12" s="83"/>
      <c r="BL12" s="83"/>
      <c r="BM12" s="48"/>
      <c r="BN12" s="83"/>
      <c r="BO12" s="83"/>
      <c r="BP12" s="48"/>
      <c r="BQ12" s="83"/>
      <c r="BR12" s="83"/>
      <c r="BS12" s="48"/>
      <c r="BT12" s="83"/>
      <c r="BU12" s="83"/>
      <c r="BV12" s="48"/>
      <c r="BW12" s="83"/>
      <c r="BX12" s="83"/>
      <c r="BY12" s="48"/>
      <c r="BZ12" s="83"/>
      <c r="CA12" s="83"/>
      <c r="CB12" s="48"/>
      <c r="CC12" s="83"/>
      <c r="CD12" s="83"/>
      <c r="CE12" s="48"/>
      <c r="CF12" s="83"/>
      <c r="CG12" s="83"/>
      <c r="CH12" s="48"/>
      <c r="CI12" s="83"/>
      <c r="CJ12" s="83"/>
      <c r="CK12" s="48"/>
      <c r="CL12" s="83"/>
      <c r="CM12" s="83"/>
      <c r="CN12" s="48"/>
      <c r="CO12" s="83"/>
      <c r="CP12" s="83"/>
      <c r="CQ12" s="48"/>
      <c r="CR12" s="83"/>
      <c r="CS12" s="83"/>
      <c r="CT12" s="48"/>
      <c r="CU12" s="83"/>
      <c r="CV12" s="83"/>
      <c r="CW12" s="48"/>
      <c r="CX12" s="83"/>
      <c r="CY12" s="83"/>
      <c r="CZ12" s="48"/>
      <c r="DA12" s="83"/>
      <c r="DB12" s="83"/>
      <c r="DC12" s="48"/>
      <c r="DD12" s="83"/>
      <c r="DE12" s="83"/>
      <c r="DF12" s="48"/>
      <c r="DG12" s="83"/>
      <c r="DH12" s="83"/>
      <c r="DI12" s="48"/>
      <c r="DJ12" s="83"/>
      <c r="DK12" s="83"/>
      <c r="DL12" s="48"/>
      <c r="DM12" s="83"/>
      <c r="DN12" s="83"/>
      <c r="DO12" s="48"/>
      <c r="DP12" s="83"/>
      <c r="DQ12" s="83"/>
      <c r="DR12" s="48"/>
      <c r="DS12" s="83"/>
      <c r="DT12" s="83"/>
      <c r="DU12" s="48"/>
      <c r="DV12" s="83"/>
      <c r="DW12" s="83"/>
      <c r="DX12" s="48"/>
      <c r="DY12" s="83"/>
      <c r="DZ12" s="83"/>
      <c r="EA12" s="48"/>
      <c r="EB12" s="83"/>
      <c r="EC12" s="83"/>
      <c r="ED12" s="48"/>
      <c r="EE12" s="83"/>
      <c r="EF12" s="83"/>
      <c r="EG12" s="48"/>
      <c r="EH12" s="83"/>
      <c r="EI12" s="83"/>
      <c r="EJ12" s="48"/>
      <c r="EK12" s="83"/>
      <c r="EL12" s="83"/>
      <c r="EM12" s="48"/>
      <c r="EN12" s="83"/>
      <c r="EO12" s="83"/>
      <c r="EP12" s="48"/>
      <c r="EQ12" s="83"/>
      <c r="ER12" s="83"/>
      <c r="ES12" s="48"/>
      <c r="ET12" s="83"/>
      <c r="EU12" s="83"/>
      <c r="EV12" s="48"/>
      <c r="EW12" s="83"/>
      <c r="EX12" s="83"/>
      <c r="EY12" s="48"/>
      <c r="EZ12" s="83"/>
      <c r="FA12" s="83"/>
      <c r="FB12" s="48"/>
      <c r="FC12" s="83"/>
      <c r="FD12" s="83"/>
      <c r="FE12" s="48"/>
      <c r="FF12" s="83"/>
      <c r="FG12" s="83"/>
      <c r="FH12" s="48"/>
      <c r="FI12" s="83"/>
      <c r="FJ12" s="83"/>
      <c r="FK12" s="48"/>
      <c r="FL12" s="83"/>
      <c r="FM12" s="83"/>
      <c r="FN12" s="48"/>
      <c r="FO12" s="83"/>
      <c r="FP12" s="83"/>
      <c r="FQ12" s="48"/>
      <c r="FR12" s="83"/>
      <c r="FS12" s="83"/>
      <c r="FT12" s="48"/>
      <c r="FU12" s="83"/>
      <c r="FV12" s="83"/>
      <c r="FW12" s="48"/>
      <c r="FX12" s="83"/>
      <c r="FY12" s="83"/>
      <c r="FZ12" s="48"/>
      <c r="GA12" s="83"/>
      <c r="GB12" s="83"/>
      <c r="GC12" s="48"/>
      <c r="GD12" s="83"/>
      <c r="GE12" s="83"/>
      <c r="GF12" s="48"/>
      <c r="GG12" s="83"/>
      <c r="GH12" s="83"/>
      <c r="GI12" s="48"/>
      <c r="GJ12" s="290" t="s">
        <v>433</v>
      </c>
      <c r="GK12" s="290"/>
      <c r="GL12" s="48"/>
      <c r="GM12" s="290"/>
      <c r="GN12" s="290"/>
      <c r="GO12" s="48"/>
      <c r="GP12" s="290"/>
      <c r="GQ12" s="290"/>
      <c r="GR12" s="48"/>
      <c r="GS12" s="290"/>
      <c r="GT12" s="290"/>
      <c r="GU12" s="48"/>
      <c r="GV12" s="290"/>
      <c r="GW12" s="290"/>
      <c r="GX12" s="48"/>
      <c r="GY12" s="290"/>
      <c r="GZ12" s="290"/>
      <c r="HA12" s="48"/>
      <c r="HB12" s="290"/>
      <c r="HC12" s="290"/>
      <c r="HD12" s="48"/>
      <c r="HE12" s="290"/>
      <c r="HF12" s="290"/>
      <c r="HG12" s="48"/>
      <c r="HH12" s="290"/>
      <c r="HI12" s="290"/>
      <c r="HJ12" s="48"/>
      <c r="HK12" s="290"/>
      <c r="HL12" s="290"/>
      <c r="HM12" s="48"/>
      <c r="HN12" s="290"/>
      <c r="HO12" s="290"/>
      <c r="HP12" s="48"/>
      <c r="HQ12" s="290"/>
      <c r="HR12" s="290"/>
      <c r="HS12" s="48"/>
      <c r="HT12" s="290"/>
      <c r="HU12" s="290"/>
      <c r="HV12" s="48"/>
      <c r="HW12" s="290"/>
      <c r="HX12" s="290"/>
      <c r="HY12" s="48"/>
      <c r="HZ12" s="290"/>
      <c r="IA12" s="290"/>
      <c r="IB12" s="48"/>
      <c r="IC12" s="290"/>
      <c r="ID12" s="290"/>
      <c r="IE12" s="48"/>
      <c r="IF12" s="290"/>
      <c r="IG12" s="290"/>
      <c r="IH12" s="48"/>
      <c r="II12" s="290"/>
      <c r="IJ12" s="290"/>
      <c r="IK12" s="48"/>
      <c r="IL12" s="299"/>
      <c r="IM12" s="299" t="s">
        <v>442</v>
      </c>
      <c r="IN12" s="48"/>
      <c r="IO12" s="299"/>
      <c r="IP12" s="299"/>
      <c r="IQ12" s="48"/>
      <c r="IR12" s="299"/>
      <c r="IS12" s="299"/>
      <c r="IT12" s="48"/>
      <c r="IU12" s="299"/>
      <c r="IV12" s="299"/>
      <c r="IW12" s="48"/>
      <c r="IX12" s="299"/>
      <c r="IY12" s="299"/>
      <c r="IZ12" s="48"/>
      <c r="JA12" s="299"/>
      <c r="JB12" s="299"/>
      <c r="JC12" s="48"/>
      <c r="JD12" s="299"/>
      <c r="JE12" s="299"/>
      <c r="JF12" s="48"/>
      <c r="JG12" s="299"/>
      <c r="JH12" s="299"/>
      <c r="JI12" s="48"/>
      <c r="JJ12" s="299"/>
      <c r="JK12" s="299"/>
      <c r="JL12" s="48"/>
      <c r="JM12" s="299"/>
      <c r="JN12" s="299"/>
      <c r="JO12" s="48"/>
      <c r="JP12" s="299"/>
      <c r="JQ12" s="299"/>
      <c r="JR12" s="48"/>
    </row>
    <row r="13" hidden="1" spans="1:278">
      <c r="A13" s="2">
        <v>4</v>
      </c>
      <c r="B13" s="2" t="s">
        <v>120</v>
      </c>
      <c r="C13" s="41" t="s">
        <v>174</v>
      </c>
      <c r="D13" s="41" t="s">
        <v>443</v>
      </c>
      <c r="E13" s="41"/>
      <c r="F13" s="20">
        <v>11295161920</v>
      </c>
      <c r="G13" s="20">
        <v>10613514000</v>
      </c>
      <c r="H13" s="44">
        <f>(F13-G13)/G13</f>
        <v>0.064224527333737</v>
      </c>
      <c r="I13" s="20">
        <v>9909112999</v>
      </c>
      <c r="J13" s="20">
        <v>13397334733</v>
      </c>
      <c r="K13" s="44">
        <f>(I13-J13)/J13</f>
        <v>-0.260366841876981</v>
      </c>
      <c r="L13" s="20">
        <v>7077335000</v>
      </c>
      <c r="M13" s="20">
        <v>7034883000</v>
      </c>
      <c r="N13" s="44">
        <f>(L13-M13)/M13</f>
        <v>0.00603449979196527</v>
      </c>
      <c r="O13" s="20">
        <v>6881183848</v>
      </c>
      <c r="P13" s="20">
        <v>6123424250</v>
      </c>
      <c r="Q13" s="44">
        <f>(O13-P13)/P13</f>
        <v>0.123747688721715</v>
      </c>
      <c r="R13" s="20">
        <v>6461246873</v>
      </c>
      <c r="S13" s="20">
        <v>5616196073</v>
      </c>
      <c r="T13" s="44">
        <f>(R13-S13)/S13</f>
        <v>0.150466755258529</v>
      </c>
      <c r="U13" s="20">
        <v>2321437410</v>
      </c>
      <c r="V13" s="20">
        <v>2208409540</v>
      </c>
      <c r="W13" s="44">
        <f>(U13-V13)/V13</f>
        <v>0.0511806655209432</v>
      </c>
      <c r="X13" s="20">
        <v>2321437410</v>
      </c>
      <c r="Y13" s="20">
        <v>2208409540</v>
      </c>
      <c r="Z13" s="44">
        <f>(X13-Y13)/Y13</f>
        <v>0.0511806655209432</v>
      </c>
      <c r="AA13" s="20">
        <v>2321437410</v>
      </c>
      <c r="AB13" s="20">
        <v>2208409540</v>
      </c>
      <c r="AC13" s="44">
        <f>(AA13-AB13)/AB13</f>
        <v>0.0511806655209432</v>
      </c>
      <c r="AD13" s="20">
        <v>6674455407</v>
      </c>
      <c r="AE13" s="20">
        <v>6087455855</v>
      </c>
      <c r="AF13" s="44">
        <f>(AD13-AE13)/AE13</f>
        <v>0.0964277303987119</v>
      </c>
      <c r="AG13" s="20">
        <v>3471390152</v>
      </c>
      <c r="AH13" s="20">
        <v>3228768241</v>
      </c>
      <c r="AI13" s="44">
        <f>(AG13-AH13)/AH13</f>
        <v>0.0751437987772254</v>
      </c>
      <c r="AJ13" s="20">
        <v>3850293298</v>
      </c>
      <c r="AK13" s="20">
        <v>3603439410</v>
      </c>
      <c r="AL13" s="44">
        <f>(AJ13-AK13)/AK13</f>
        <v>0.0685050752664105</v>
      </c>
      <c r="AM13" s="20">
        <v>3850293298</v>
      </c>
      <c r="AN13" s="20">
        <v>3603439410</v>
      </c>
      <c r="AO13" s="44">
        <f>(AM13-AN13)/AN13</f>
        <v>0.0685050752664105</v>
      </c>
      <c r="AP13" s="20">
        <v>3796642117</v>
      </c>
      <c r="AQ13" s="20">
        <v>3433669366</v>
      </c>
      <c r="AR13" s="44">
        <f>(AP13-AQ13)/AQ13</f>
        <v>0.105709872532905</v>
      </c>
      <c r="AS13" s="20">
        <v>2162737997</v>
      </c>
      <c r="AT13" s="20">
        <v>2108652234</v>
      </c>
      <c r="AU13" s="44">
        <f>(AS13-AT13)/AT13</f>
        <v>0.0256494466597758</v>
      </c>
      <c r="AV13" s="20">
        <v>2162737997</v>
      </c>
      <c r="AW13" s="20">
        <v>2108652234</v>
      </c>
      <c r="AX13" s="44">
        <f>(AV13-AW13)/AW13</f>
        <v>0.0256494466597758</v>
      </c>
      <c r="AY13" s="20">
        <v>1992306837</v>
      </c>
      <c r="AZ13" s="20">
        <v>1957223411</v>
      </c>
      <c r="BA13" s="44">
        <f>(AY13-AZ13)/AZ13</f>
        <v>0.0179251003246864</v>
      </c>
      <c r="BB13" s="20">
        <v>1992306837</v>
      </c>
      <c r="BC13" s="20">
        <v>1957223411</v>
      </c>
      <c r="BD13" s="44">
        <f>(BB13-BC13)/BC13</f>
        <v>0.0179251003246864</v>
      </c>
      <c r="BE13" s="20">
        <v>1992306837</v>
      </c>
      <c r="BF13" s="20">
        <v>1957223411</v>
      </c>
      <c r="BG13" s="44">
        <f>(BE13-BF13)/BF13</f>
        <v>0.0179251003246864</v>
      </c>
      <c r="BH13" s="20">
        <v>4215884164</v>
      </c>
      <c r="BI13" s="20">
        <v>1933164754</v>
      </c>
      <c r="BJ13" s="44">
        <f>(BH13-BI13)/BI13</f>
        <v>1.18081989922314</v>
      </c>
      <c r="BK13" s="20">
        <v>4215884164</v>
      </c>
      <c r="BL13" s="20">
        <v>1933164754</v>
      </c>
      <c r="BM13" s="44">
        <f>(BK13-BL13)/BL13</f>
        <v>1.18081989922314</v>
      </c>
      <c r="BN13" s="20">
        <v>2532722344</v>
      </c>
      <c r="BO13" s="20">
        <v>2424607880</v>
      </c>
      <c r="BP13" s="44">
        <f>(BN13-BO13)/BO13</f>
        <v>0.0445904943606799</v>
      </c>
      <c r="BQ13" s="20">
        <v>2532722344</v>
      </c>
      <c r="BR13" s="20">
        <v>2424607880</v>
      </c>
      <c r="BS13" s="44">
        <f>(BQ13-BR13)/BR13</f>
        <v>0.0445904943606799</v>
      </c>
      <c r="BT13" s="20">
        <v>2532722344</v>
      </c>
      <c r="BU13" s="20">
        <v>2424607880</v>
      </c>
      <c r="BV13" s="44">
        <f>(BT13-BU13)/BU13</f>
        <v>0.0445904943606799</v>
      </c>
      <c r="BW13" s="20">
        <v>3160635582</v>
      </c>
      <c r="BX13" s="20">
        <v>2920731572</v>
      </c>
      <c r="BY13" s="44">
        <f>(BW13-BX13)/BX13</f>
        <v>0.0821383287323879</v>
      </c>
      <c r="BZ13" s="20">
        <v>3160635582</v>
      </c>
      <c r="CA13" s="20">
        <v>2920731572</v>
      </c>
      <c r="CB13" s="44">
        <f>(BZ13-CA13)/CA13</f>
        <v>0.0821383287323879</v>
      </c>
      <c r="CC13" s="20">
        <v>1005463472</v>
      </c>
      <c r="CD13" s="20">
        <v>922856518</v>
      </c>
      <c r="CE13" s="44">
        <f>(CC13-CD13)/CD13</f>
        <v>0.089512239864789</v>
      </c>
      <c r="CF13" s="20">
        <v>1005463472</v>
      </c>
      <c r="CG13" s="20">
        <v>922856518</v>
      </c>
      <c r="CH13" s="44">
        <f>(CF13-CG13)/CG13</f>
        <v>0.089512239864789</v>
      </c>
      <c r="CI13" s="20">
        <v>1332071</v>
      </c>
      <c r="CJ13" s="20">
        <v>1280858</v>
      </c>
      <c r="CK13" s="44">
        <f>(CI13-CJ13)/CJ13</f>
        <v>0.0399833549074136</v>
      </c>
      <c r="CL13" s="20">
        <v>854311288</v>
      </c>
      <c r="CM13" s="20">
        <v>768108627</v>
      </c>
      <c r="CN13" s="44">
        <f>(CL13-CM13)/CM13</f>
        <v>0.112227174607687</v>
      </c>
      <c r="CO13" s="20">
        <v>692201177</v>
      </c>
      <c r="CP13" s="20">
        <v>691082770</v>
      </c>
      <c r="CQ13" s="44">
        <f>(CO13-CP13)/CP13</f>
        <v>0.00161834015916791</v>
      </c>
      <c r="CR13" s="20">
        <v>692201177</v>
      </c>
      <c r="CS13" s="20">
        <v>691082770</v>
      </c>
      <c r="CT13" s="44">
        <f>(CR13-CS13)/CS13</f>
        <v>0.00161834015916791</v>
      </c>
      <c r="CU13" s="20">
        <v>1218549363</v>
      </c>
      <c r="CV13" s="20">
        <v>1233184814</v>
      </c>
      <c r="CW13" s="44">
        <f>(CU13-CV13)/CV13</f>
        <v>-0.0118680110506129</v>
      </c>
      <c r="CX13" s="20">
        <v>1258391642</v>
      </c>
      <c r="CY13" s="20">
        <v>1231051544</v>
      </c>
      <c r="CZ13" s="44">
        <f>(CX13-CY13)/CY13</f>
        <v>0.0222087353963791</v>
      </c>
      <c r="DA13" s="20">
        <v>920243202</v>
      </c>
      <c r="DB13" s="20">
        <v>919960446</v>
      </c>
      <c r="DC13" s="44">
        <f>(DA13-DB13)/DB13</f>
        <v>0.000307356692594151</v>
      </c>
      <c r="DD13" s="20">
        <v>920243202</v>
      </c>
      <c r="DE13" s="20">
        <v>919960446</v>
      </c>
      <c r="DF13" s="44">
        <f>(DD13-DE13)/DE13</f>
        <v>0.000307356692594151</v>
      </c>
      <c r="DG13" s="20">
        <v>1397794822</v>
      </c>
      <c r="DH13" s="20">
        <v>1304748602</v>
      </c>
      <c r="DI13" s="44">
        <f>(DG13-DH13)/DH13</f>
        <v>0.0713135234307766</v>
      </c>
      <c r="DJ13" s="20">
        <v>1397794822</v>
      </c>
      <c r="DK13" s="20">
        <v>1304748602</v>
      </c>
      <c r="DL13" s="44">
        <f>(DJ13-DK13)/DK13</f>
        <v>0.0713135234307766</v>
      </c>
      <c r="DM13" s="20">
        <v>1244470115</v>
      </c>
      <c r="DN13" s="20">
        <v>1210045463</v>
      </c>
      <c r="DO13" s="44">
        <f>(DM13-DN13)/DN13</f>
        <v>0.0284490567111857</v>
      </c>
      <c r="DP13" s="20">
        <v>1222184231</v>
      </c>
      <c r="DQ13" s="20">
        <v>860653719</v>
      </c>
      <c r="DR13" s="44">
        <f>(DP13-DQ13)/DQ13</f>
        <v>0.420065008747147</v>
      </c>
      <c r="DS13" s="20">
        <v>1222184231</v>
      </c>
      <c r="DT13" s="20">
        <v>860653719</v>
      </c>
      <c r="DU13" s="44">
        <f>(DS13-DT13)/DT13</f>
        <v>0.420065008747147</v>
      </c>
      <c r="DV13" s="20">
        <v>1053848028</v>
      </c>
      <c r="DW13" s="20">
        <v>955431219</v>
      </c>
      <c r="DX13" s="44">
        <f>(DV13-DW13)/DW13</f>
        <v>0.103007738330979</v>
      </c>
      <c r="DY13" s="20">
        <v>1053848028</v>
      </c>
      <c r="DZ13" s="20">
        <v>955431219</v>
      </c>
      <c r="EA13" s="44">
        <f>(DY13-DZ13)/DZ13</f>
        <v>0.103007738330979</v>
      </c>
      <c r="EB13" s="20">
        <v>1379106236</v>
      </c>
      <c r="EC13" s="20">
        <v>1336255854</v>
      </c>
      <c r="ED13" s="44">
        <f>(EB13-EC13)/EC13</f>
        <v>0.032067498055653</v>
      </c>
      <c r="EE13" s="20">
        <v>1379106236</v>
      </c>
      <c r="EF13" s="20">
        <v>1336255854</v>
      </c>
      <c r="EG13" s="44">
        <f>(EE13-EF13)/EF13</f>
        <v>0.032067498055653</v>
      </c>
      <c r="EH13" s="20">
        <v>1379106236</v>
      </c>
      <c r="EI13" s="20">
        <v>1336255854</v>
      </c>
      <c r="EJ13" s="44">
        <f>(EH13-EI13)/EI13</f>
        <v>0.032067498055653</v>
      </c>
      <c r="EK13" s="20">
        <v>1379106236</v>
      </c>
      <c r="EL13" s="20">
        <v>1336255854</v>
      </c>
      <c r="EM13" s="44">
        <f>(EK13-EL13)/EL13</f>
        <v>0.032067498055653</v>
      </c>
      <c r="EN13" s="20">
        <v>801854904</v>
      </c>
      <c r="EO13" s="20">
        <v>721802189</v>
      </c>
      <c r="EP13" s="44">
        <f>(EN13-EO13)/EO13</f>
        <v>0.110906722395656</v>
      </c>
      <c r="EQ13" s="20">
        <v>639591938</v>
      </c>
      <c r="ER13" s="20">
        <v>640647225</v>
      </c>
      <c r="ES13" s="44">
        <f>(EQ13-ER13)/ER13</f>
        <v>-0.00164722012180729</v>
      </c>
      <c r="ET13" s="20">
        <v>801854904</v>
      </c>
      <c r="EU13" s="20">
        <v>721802189</v>
      </c>
      <c r="EV13" s="44">
        <f>(ET13-EU13)/EU13</f>
        <v>0.110906722395656</v>
      </c>
      <c r="EW13" s="20">
        <v>853660070</v>
      </c>
      <c r="EX13" s="20">
        <v>794119155</v>
      </c>
      <c r="EY13" s="44">
        <f>(EW13-EX13)/EX13</f>
        <v>0.074977306144945</v>
      </c>
      <c r="EZ13" s="20">
        <v>1800815548</v>
      </c>
      <c r="FA13" s="20">
        <v>555494082</v>
      </c>
      <c r="FB13" s="44">
        <f>(EZ13-FA13)/FA13</f>
        <v>2.24182670230499</v>
      </c>
      <c r="FC13" s="20">
        <v>1800815548</v>
      </c>
      <c r="FD13" s="20">
        <v>555494082</v>
      </c>
      <c r="FE13" s="44">
        <f>(FC13-FD13)/FD13</f>
        <v>2.24182670230499</v>
      </c>
      <c r="FF13" s="20">
        <v>1800815548</v>
      </c>
      <c r="FG13" s="20">
        <v>555494082</v>
      </c>
      <c r="FH13" s="44">
        <f>(FF13-FG13)/FG13</f>
        <v>2.24182670230499</v>
      </c>
      <c r="FI13" s="20">
        <v>741304032</v>
      </c>
      <c r="FJ13" s="20">
        <v>671380428</v>
      </c>
      <c r="FK13" s="44">
        <f>(FI13-FJ13)/FJ13</f>
        <v>0.104149005666278</v>
      </c>
      <c r="FL13" s="20">
        <v>741304032</v>
      </c>
      <c r="FM13" s="20">
        <v>671380428</v>
      </c>
      <c r="FN13" s="44">
        <f>(FL13-FM13)/FM13</f>
        <v>0.104149005666278</v>
      </c>
      <c r="FO13" s="20">
        <v>741304032</v>
      </c>
      <c r="FP13" s="20">
        <v>671380428</v>
      </c>
      <c r="FQ13" s="44">
        <f>(FO13-FP13)/FP13</f>
        <v>0.104149005666278</v>
      </c>
      <c r="FR13" s="20">
        <v>689683890</v>
      </c>
      <c r="FS13" s="20">
        <v>688722428</v>
      </c>
      <c r="FT13" s="44">
        <f>(FR13-FS13)/FS13</f>
        <v>0.0013960079720244</v>
      </c>
      <c r="FU13" s="20">
        <v>620082000</v>
      </c>
      <c r="FV13" s="20">
        <v>614133000</v>
      </c>
      <c r="FW13" s="44">
        <f>(FU13-FV13)/FV13</f>
        <v>0.00968682679484737</v>
      </c>
      <c r="FX13" s="20">
        <v>620082000</v>
      </c>
      <c r="FY13" s="20">
        <v>614133000</v>
      </c>
      <c r="FZ13" s="44">
        <f>(FX13-FY13)/FY13</f>
        <v>0.00968682679484737</v>
      </c>
      <c r="GA13" s="20">
        <v>620082000</v>
      </c>
      <c r="GB13" s="20">
        <v>614133000</v>
      </c>
      <c r="GC13" s="44">
        <f>(GA13-GB13)/GB13</f>
        <v>0.00968682679484737</v>
      </c>
      <c r="GD13" s="20">
        <v>645418543</v>
      </c>
      <c r="GE13" s="20">
        <v>622143792</v>
      </c>
      <c r="GF13" s="44">
        <f>(GD13-GE13)/GE13</f>
        <v>0.0374105653697498</v>
      </c>
      <c r="GG13" s="20">
        <v>645418543</v>
      </c>
      <c r="GH13" s="20">
        <v>622143792</v>
      </c>
      <c r="GI13" s="44">
        <f>(GG13-GH13)/GH13</f>
        <v>0.0374105653697498</v>
      </c>
      <c r="GJ13" s="20">
        <v>645418543</v>
      </c>
      <c r="GK13" s="20">
        <v>622143792</v>
      </c>
      <c r="GL13" s="44">
        <f>(GJ13-GK13)/GK13</f>
        <v>0.0374105653697498</v>
      </c>
      <c r="GM13" s="20">
        <v>645418543</v>
      </c>
      <c r="GN13" s="20">
        <v>622143792</v>
      </c>
      <c r="GO13" s="44">
        <f>(GM13-GN13)/GN13</f>
        <v>0.0374105653697498</v>
      </c>
      <c r="GP13" s="20">
        <v>645418543</v>
      </c>
      <c r="GQ13" s="20">
        <v>622143792</v>
      </c>
      <c r="GR13" s="44">
        <f>(GP13-GQ13)/GQ13</f>
        <v>0.0374105653697498</v>
      </c>
      <c r="GS13" s="20">
        <v>645418543</v>
      </c>
      <c r="GT13" s="20">
        <v>622143792</v>
      </c>
      <c r="GU13" s="44">
        <f>(GS13-GT13)/GT13</f>
        <v>0.0374105653697498</v>
      </c>
      <c r="GV13" s="20">
        <v>645418543</v>
      </c>
      <c r="GW13" s="20">
        <v>622143792</v>
      </c>
      <c r="GX13" s="44">
        <f>(GV13-GW13)/GW13</f>
        <v>0.0374105653697498</v>
      </c>
      <c r="GY13" s="20">
        <v>645418543</v>
      </c>
      <c r="GZ13" s="20">
        <v>622143792</v>
      </c>
      <c r="HA13" s="44">
        <f>(GY13-GZ13)/GZ13</f>
        <v>0.0374105653697498</v>
      </c>
      <c r="HB13" s="20">
        <v>245183190</v>
      </c>
      <c r="HC13" s="20">
        <v>234390469</v>
      </c>
      <c r="HD13" s="44">
        <f>(HB13-HC13)/HC13</f>
        <v>0.0460459038545633</v>
      </c>
      <c r="HE13" s="20">
        <v>245183190</v>
      </c>
      <c r="HF13" s="20">
        <v>234390469</v>
      </c>
      <c r="HG13" s="44">
        <f>(HE13-HF13)/HF13</f>
        <v>0.0460459038545633</v>
      </c>
      <c r="HH13" s="20">
        <v>752403522</v>
      </c>
      <c r="HI13" s="20">
        <v>754186850</v>
      </c>
      <c r="HJ13" s="44">
        <f>(HH13-HI13)/HI13</f>
        <v>-0.00236457053049917</v>
      </c>
      <c r="HK13" s="20">
        <v>752403522</v>
      </c>
      <c r="HL13" s="20">
        <v>754186850</v>
      </c>
      <c r="HM13" s="44">
        <f>(HK13-HL13)/HL13</f>
        <v>-0.00236457053049917</v>
      </c>
      <c r="HN13" s="20">
        <v>508965708</v>
      </c>
      <c r="HO13" s="20">
        <v>467736338</v>
      </c>
      <c r="HP13" s="44">
        <f>(HN13-HO13)/HO13</f>
        <v>0.0881466045086281</v>
      </c>
      <c r="HQ13" s="20">
        <v>555710604</v>
      </c>
      <c r="HR13" s="20">
        <v>520677429</v>
      </c>
      <c r="HS13" s="44">
        <f>(HQ13-HR13)/HR13</f>
        <v>0.0672838364960122</v>
      </c>
      <c r="HT13" s="20">
        <v>555710604</v>
      </c>
      <c r="HU13" s="20">
        <v>520677429</v>
      </c>
      <c r="HV13" s="44">
        <f>(HT13-HU13)/HU13</f>
        <v>0.0672838364960122</v>
      </c>
      <c r="HW13" s="20">
        <v>555710604</v>
      </c>
      <c r="HX13" s="20">
        <v>520677429</v>
      </c>
      <c r="HY13" s="44">
        <f>(HW13-HX13)/HX13</f>
        <v>0.0672838364960122</v>
      </c>
      <c r="HZ13" s="20">
        <v>469114000</v>
      </c>
      <c r="IA13" s="20">
        <v>418280000</v>
      </c>
      <c r="IB13" s="44">
        <f>(HZ13-IA13)/IA13</f>
        <v>0.121531031844697</v>
      </c>
      <c r="IC13" s="20">
        <v>184948055</v>
      </c>
      <c r="ID13" s="20">
        <v>195886840</v>
      </c>
      <c r="IE13" s="44">
        <f>(IC13-ID13)/ID13</f>
        <v>-0.0558423679712226</v>
      </c>
      <c r="IF13" s="20">
        <v>184948055</v>
      </c>
      <c r="IG13" s="20">
        <v>195886840</v>
      </c>
      <c r="IH13" s="44">
        <f>(IF13-IG13)/IG13</f>
        <v>-0.0558423679712226</v>
      </c>
      <c r="II13" s="20">
        <v>184948055</v>
      </c>
      <c r="IJ13" s="20">
        <v>195886840</v>
      </c>
      <c r="IK13" s="44">
        <f>(II13-IJ13)/IJ13</f>
        <v>-0.0558423679712226</v>
      </c>
      <c r="IL13" s="20">
        <v>184948055</v>
      </c>
      <c r="IM13" s="20">
        <v>195886840</v>
      </c>
      <c r="IN13" s="44">
        <f>(IL13-IM13)/IM13</f>
        <v>-0.0558423679712226</v>
      </c>
      <c r="IO13" s="20">
        <v>206694486</v>
      </c>
      <c r="IP13" s="20">
        <v>223722592</v>
      </c>
      <c r="IQ13" s="44">
        <f>(IO13-IP13)/IP13</f>
        <v>-0.0761125903636947</v>
      </c>
      <c r="IR13" s="20">
        <v>206694486</v>
      </c>
      <c r="IS13" s="20">
        <v>223722592</v>
      </c>
      <c r="IT13" s="44">
        <f>(IR13-IS13)/IS13</f>
        <v>-0.0761125903636947</v>
      </c>
      <c r="IU13" s="20">
        <v>206694486</v>
      </c>
      <c r="IV13" s="20">
        <v>223722592</v>
      </c>
      <c r="IW13" s="44">
        <f>(IU13-IV13)/IV13</f>
        <v>-0.0761125903636947</v>
      </c>
      <c r="IX13" s="20">
        <v>206694486</v>
      </c>
      <c r="IY13" s="20">
        <v>223722592</v>
      </c>
      <c r="IZ13" s="44">
        <f>(IX13-IY13)/IY13</f>
        <v>-0.0761125903636947</v>
      </c>
      <c r="JA13" s="20">
        <v>392408803</v>
      </c>
      <c r="JB13" s="20">
        <v>383264527</v>
      </c>
      <c r="JC13" s="44">
        <f>(JA13-JB13)/JB13</f>
        <v>0.0238589155943461</v>
      </c>
      <c r="JD13" s="20">
        <v>279434593</v>
      </c>
      <c r="JE13" s="20">
        <v>273164734</v>
      </c>
      <c r="JF13" s="44">
        <f>(JD13-JE13)/JE13</f>
        <v>0.0229526663569976</v>
      </c>
      <c r="JG13" s="20">
        <v>279434593</v>
      </c>
      <c r="JH13" s="20">
        <v>273164734</v>
      </c>
      <c r="JI13" s="44">
        <f>(JG13-JH13)/JH13</f>
        <v>0.0229526663569976</v>
      </c>
      <c r="JJ13" s="20">
        <v>279434593</v>
      </c>
      <c r="JK13" s="20">
        <v>273164734</v>
      </c>
      <c r="JL13" s="44">
        <f>(JJ13-JK13)/JK13</f>
        <v>0.0229526663569976</v>
      </c>
      <c r="JM13" s="20">
        <v>279434593</v>
      </c>
      <c r="JN13" s="20">
        <v>273164734</v>
      </c>
      <c r="JO13" s="44">
        <f>(JM13-JN13)/JN13</f>
        <v>0.0229526663569976</v>
      </c>
      <c r="JP13" s="20">
        <v>279434593</v>
      </c>
      <c r="JQ13" s="20">
        <v>273164734</v>
      </c>
      <c r="JR13" s="44">
        <f>(JP13-JQ13)/JQ13</f>
        <v>0.0229526663569976</v>
      </c>
    </row>
    <row r="14" ht="1.5" hidden="1" customHeight="1" spans="1:278">
      <c r="A14" s="2"/>
      <c r="B14" s="2"/>
      <c r="C14" s="41"/>
      <c r="D14" s="41"/>
      <c r="E14" s="41"/>
      <c r="F14" s="20"/>
      <c r="G14" s="20"/>
      <c r="H14" s="44"/>
      <c r="I14" s="2"/>
      <c r="J14" s="20"/>
      <c r="K14" s="44"/>
      <c r="L14" s="2"/>
      <c r="M14" s="20"/>
      <c r="N14" s="44"/>
      <c r="O14" s="2"/>
      <c r="P14" s="20"/>
      <c r="Q14" s="44"/>
      <c r="R14" s="2"/>
      <c r="S14" s="20"/>
      <c r="T14" s="44"/>
      <c r="U14" s="2"/>
      <c r="V14" s="20"/>
      <c r="W14" s="44"/>
      <c r="X14" s="2"/>
      <c r="Y14" s="20"/>
      <c r="Z14" s="44"/>
      <c r="AA14" s="2"/>
      <c r="AB14" s="20"/>
      <c r="AC14" s="44"/>
      <c r="AD14" s="2"/>
      <c r="AE14" s="20"/>
      <c r="AF14" s="44"/>
      <c r="AG14" s="2"/>
      <c r="AH14" s="20"/>
      <c r="AI14" s="44"/>
      <c r="AJ14" s="2"/>
      <c r="AK14" s="20"/>
      <c r="AL14" s="44"/>
      <c r="AM14" s="2"/>
      <c r="AN14" s="20"/>
      <c r="AO14" s="44"/>
      <c r="AP14" s="2"/>
      <c r="AQ14" s="20"/>
      <c r="AR14" s="44"/>
      <c r="AS14" s="2"/>
      <c r="AT14" s="20"/>
      <c r="AU14" s="44"/>
      <c r="AV14" s="2"/>
      <c r="AW14" s="20"/>
      <c r="AX14" s="44"/>
      <c r="AY14" s="2"/>
      <c r="AZ14" s="20"/>
      <c r="BA14" s="44"/>
      <c r="BB14" s="2"/>
      <c r="BC14" s="20"/>
      <c r="BD14" s="44"/>
      <c r="BE14" s="2"/>
      <c r="BF14" s="20"/>
      <c r="BG14" s="44"/>
      <c r="BH14" s="2"/>
      <c r="BI14" s="20"/>
      <c r="BJ14" s="44"/>
      <c r="BK14" s="2"/>
      <c r="BL14" s="20"/>
      <c r="BM14" s="44"/>
      <c r="BN14" s="2"/>
      <c r="BO14" s="20"/>
      <c r="BP14" s="44"/>
      <c r="BQ14" s="2"/>
      <c r="BR14" s="20"/>
      <c r="BS14" s="44"/>
      <c r="BT14" s="2"/>
      <c r="BU14" s="20"/>
      <c r="BV14" s="44"/>
      <c r="BW14" s="2"/>
      <c r="BX14" s="20"/>
      <c r="BY14" s="44"/>
      <c r="BZ14" s="2"/>
      <c r="CA14" s="20"/>
      <c r="CB14" s="44"/>
      <c r="CC14" s="2"/>
      <c r="CD14" s="20"/>
      <c r="CE14" s="44"/>
      <c r="CF14" s="2"/>
      <c r="CG14" s="20"/>
      <c r="CH14" s="44"/>
      <c r="CI14" s="2"/>
      <c r="CJ14" s="20"/>
      <c r="CK14" s="44"/>
      <c r="CL14" s="2"/>
      <c r="CM14" s="20"/>
      <c r="CN14" s="44"/>
      <c r="CO14" s="2"/>
      <c r="CP14" s="20"/>
      <c r="CQ14" s="44"/>
      <c r="CR14" s="2"/>
      <c r="CS14" s="20"/>
      <c r="CT14" s="44"/>
      <c r="CU14" s="2"/>
      <c r="CV14" s="20"/>
      <c r="CW14" s="44"/>
      <c r="CX14" s="2"/>
      <c r="CY14" s="20"/>
      <c r="CZ14" s="44"/>
      <c r="DA14" s="2"/>
      <c r="DB14" s="20"/>
      <c r="DC14" s="44"/>
      <c r="DD14" s="2"/>
      <c r="DE14" s="20"/>
      <c r="DF14" s="44"/>
      <c r="DG14" s="2"/>
      <c r="DH14" s="20"/>
      <c r="DI14" s="44"/>
      <c r="DJ14" s="2"/>
      <c r="DK14" s="20"/>
      <c r="DL14" s="44"/>
      <c r="DM14" s="2"/>
      <c r="DN14" s="20"/>
      <c r="DO14" s="44"/>
      <c r="DP14" s="2"/>
      <c r="DQ14" s="20"/>
      <c r="DR14" s="44"/>
      <c r="DS14" s="2"/>
      <c r="DT14" s="20"/>
      <c r="DU14" s="44"/>
      <c r="DV14" s="2"/>
      <c r="DW14" s="20"/>
      <c r="DX14" s="44"/>
      <c r="DY14" s="2"/>
      <c r="DZ14" s="20"/>
      <c r="EA14" s="44"/>
      <c r="EB14" s="2"/>
      <c r="EC14" s="20"/>
      <c r="ED14" s="44"/>
      <c r="EE14" s="2"/>
      <c r="EF14" s="20"/>
      <c r="EG14" s="44"/>
      <c r="EH14" s="2"/>
      <c r="EI14" s="20"/>
      <c r="EJ14" s="44"/>
      <c r="EK14" s="2"/>
      <c r="EL14" s="20"/>
      <c r="EM14" s="44"/>
      <c r="EN14" s="2"/>
      <c r="EO14" s="20"/>
      <c r="EP14" s="44"/>
      <c r="EQ14" s="2"/>
      <c r="ER14" s="20"/>
      <c r="ES14" s="44"/>
      <c r="ET14" s="2"/>
      <c r="EU14" s="20"/>
      <c r="EV14" s="44"/>
      <c r="EW14" s="2"/>
      <c r="EX14" s="20"/>
      <c r="EY14" s="44"/>
      <c r="EZ14" s="2"/>
      <c r="FA14" s="20"/>
      <c r="FB14" s="44"/>
      <c r="FC14" s="2"/>
      <c r="FD14" s="20"/>
      <c r="FE14" s="44"/>
      <c r="FF14" s="2"/>
      <c r="FG14" s="20"/>
      <c r="FH14" s="44"/>
      <c r="FI14" s="2"/>
      <c r="FJ14" s="20"/>
      <c r="FK14" s="44"/>
      <c r="FL14" s="2"/>
      <c r="FM14" s="20"/>
      <c r="FN14" s="44"/>
      <c r="FO14" s="2"/>
      <c r="FP14" s="20"/>
      <c r="FQ14" s="44"/>
      <c r="FR14" s="2"/>
      <c r="FS14" s="20"/>
      <c r="FT14" s="44"/>
      <c r="FU14" s="2"/>
      <c r="FV14" s="20"/>
      <c r="FW14" s="44"/>
      <c r="FX14" s="2"/>
      <c r="FY14" s="20"/>
      <c r="FZ14" s="44"/>
      <c r="GA14" s="2"/>
      <c r="GB14" s="20"/>
      <c r="GC14" s="44"/>
      <c r="GD14" s="2"/>
      <c r="GE14" s="20"/>
      <c r="GF14" s="44"/>
      <c r="GG14" s="2"/>
      <c r="GH14" s="20"/>
      <c r="GI14" s="44"/>
      <c r="GJ14" s="2"/>
      <c r="GK14" s="20"/>
      <c r="GL14" s="44"/>
      <c r="GM14" s="2"/>
      <c r="GN14" s="20"/>
      <c r="GO14" s="44"/>
      <c r="GP14" s="2"/>
      <c r="GQ14" s="20"/>
      <c r="GR14" s="44"/>
      <c r="GS14" s="2"/>
      <c r="GT14" s="20"/>
      <c r="GU14" s="44"/>
      <c r="GV14" s="2"/>
      <c r="GW14" s="20"/>
      <c r="GX14" s="44"/>
      <c r="GY14" s="2"/>
      <c r="GZ14" s="20"/>
      <c r="HA14" s="44"/>
      <c r="HB14" s="2"/>
      <c r="HC14" s="20"/>
      <c r="HD14" s="44"/>
      <c r="HE14" s="2"/>
      <c r="HF14" s="20"/>
      <c r="HG14" s="44"/>
      <c r="HH14" s="2"/>
      <c r="HI14" s="20"/>
      <c r="HJ14" s="44"/>
      <c r="HK14" s="2"/>
      <c r="HL14" s="20"/>
      <c r="HM14" s="44"/>
      <c r="HN14" s="2"/>
      <c r="HO14" s="20"/>
      <c r="HP14" s="44"/>
      <c r="HQ14" s="2"/>
      <c r="HR14" s="20"/>
      <c r="HS14" s="44"/>
      <c r="HT14" s="2"/>
      <c r="HU14" s="20"/>
      <c r="HV14" s="44"/>
      <c r="HW14" s="2"/>
      <c r="HX14" s="20"/>
      <c r="HY14" s="44"/>
      <c r="HZ14" s="2"/>
      <c r="IA14" s="20"/>
      <c r="IB14" s="44"/>
      <c r="IC14" s="2"/>
      <c r="ID14" s="20"/>
      <c r="IE14" s="44"/>
      <c r="IF14" s="2"/>
      <c r="IG14" s="20"/>
      <c r="IH14" s="44"/>
      <c r="II14" s="2"/>
      <c r="IJ14" s="20"/>
      <c r="IK14" s="44"/>
      <c r="IL14" s="2"/>
      <c r="IM14" s="20"/>
      <c r="IN14" s="44"/>
      <c r="IO14" s="2"/>
      <c r="IP14" s="20"/>
      <c r="IQ14" s="44"/>
      <c r="IR14" s="2"/>
      <c r="IS14" s="20"/>
      <c r="IT14" s="44"/>
      <c r="IU14" s="2"/>
      <c r="IV14" s="20"/>
      <c r="IW14" s="44"/>
      <c r="IX14" s="2"/>
      <c r="IY14" s="20"/>
      <c r="IZ14" s="44"/>
      <c r="JA14" s="2"/>
      <c r="JB14" s="20"/>
      <c r="JC14" s="44"/>
      <c r="JD14" s="2"/>
      <c r="JE14" s="20"/>
      <c r="JF14" s="44"/>
      <c r="JG14" s="2"/>
      <c r="JH14" s="20"/>
      <c r="JI14" s="44"/>
      <c r="JJ14" s="2"/>
      <c r="JK14" s="20"/>
      <c r="JL14" s="44"/>
      <c r="JM14" s="2"/>
      <c r="JN14" s="20"/>
      <c r="JO14" s="44"/>
      <c r="JP14" s="2"/>
      <c r="JQ14" s="20"/>
      <c r="JR14" s="44"/>
    </row>
    <row r="15" hidden="1" spans="1:278">
      <c r="A15" s="2"/>
      <c r="C15" s="6"/>
      <c r="D15" s="2"/>
      <c r="E15" s="2"/>
      <c r="F15" s="83"/>
      <c r="G15" s="2"/>
      <c r="H15" s="80"/>
      <c r="I15" s="83"/>
      <c r="J15" s="2"/>
      <c r="K15" s="80"/>
      <c r="L15" s="83"/>
      <c r="M15" s="2"/>
      <c r="N15" s="80"/>
      <c r="O15" s="83"/>
      <c r="P15" s="2"/>
      <c r="Q15" s="80"/>
      <c r="R15" s="83"/>
      <c r="S15" s="2"/>
      <c r="T15" s="80"/>
      <c r="U15" s="83"/>
      <c r="V15" s="2"/>
      <c r="W15" s="80"/>
      <c r="X15" s="83"/>
      <c r="Y15" s="2"/>
      <c r="Z15" s="80"/>
      <c r="AA15" s="83"/>
      <c r="AB15" s="2"/>
      <c r="AC15" s="80"/>
      <c r="AD15" s="83"/>
      <c r="AE15" s="2"/>
      <c r="AF15" s="80"/>
      <c r="AG15" s="83"/>
      <c r="AH15" s="2"/>
      <c r="AI15" s="80"/>
      <c r="AJ15" s="83"/>
      <c r="AK15" s="2"/>
      <c r="AL15" s="80"/>
      <c r="AM15" s="83"/>
      <c r="AN15" s="2"/>
      <c r="AO15" s="80"/>
      <c r="AP15" s="83"/>
      <c r="AQ15" s="2"/>
      <c r="AR15" s="80"/>
      <c r="AS15" s="83"/>
      <c r="AT15" s="2"/>
      <c r="AU15" s="80"/>
      <c r="AV15" s="83"/>
      <c r="AW15" s="2"/>
      <c r="AX15" s="80"/>
      <c r="AY15" s="83"/>
      <c r="AZ15" s="2"/>
      <c r="BA15" s="80"/>
      <c r="BB15" s="83"/>
      <c r="BC15" s="2"/>
      <c r="BD15" s="80"/>
      <c r="BE15" s="83"/>
      <c r="BF15" s="2"/>
      <c r="BG15" s="80"/>
      <c r="BH15" s="83"/>
      <c r="BI15" s="2"/>
      <c r="BJ15" s="80"/>
      <c r="BK15" s="83"/>
      <c r="BL15" s="2"/>
      <c r="BM15" s="80"/>
      <c r="BN15" s="83"/>
      <c r="BO15" s="2"/>
      <c r="BP15" s="80"/>
      <c r="BQ15" s="83"/>
      <c r="BR15" s="2"/>
      <c r="BS15" s="80"/>
      <c r="BT15" s="83"/>
      <c r="BU15" s="2"/>
      <c r="BV15" s="80"/>
      <c r="BW15" s="83"/>
      <c r="BX15" s="2"/>
      <c r="BY15" s="80"/>
      <c r="BZ15" s="83"/>
      <c r="CA15" s="2"/>
      <c r="CB15" s="80"/>
      <c r="CC15" s="83"/>
      <c r="CD15" s="2"/>
      <c r="CE15" s="80"/>
      <c r="CF15" s="83"/>
      <c r="CG15" s="2"/>
      <c r="CH15" s="80"/>
      <c r="CI15" s="83"/>
      <c r="CJ15" s="2"/>
      <c r="CK15" s="80"/>
      <c r="CL15" s="83"/>
      <c r="CM15" s="2"/>
      <c r="CN15" s="80"/>
      <c r="CO15" s="83"/>
      <c r="CP15" s="2"/>
      <c r="CQ15" s="80"/>
      <c r="CR15" s="83"/>
      <c r="CS15" s="2"/>
      <c r="CT15" s="80"/>
      <c r="CU15" s="83" t="s">
        <v>444</v>
      </c>
      <c r="CV15" s="2"/>
      <c r="CW15" s="80"/>
      <c r="CX15" s="83"/>
      <c r="CY15" s="2"/>
      <c r="CZ15" s="80"/>
      <c r="DA15" s="83"/>
      <c r="DB15" s="2"/>
      <c r="DC15" s="80"/>
      <c r="DD15" s="83"/>
      <c r="DE15" s="2"/>
      <c r="DF15" s="80"/>
      <c r="DG15" s="83"/>
      <c r="DH15" s="2"/>
      <c r="DI15" s="80"/>
      <c r="DJ15" s="83"/>
      <c r="DK15" s="2"/>
      <c r="DL15" s="80"/>
      <c r="DM15" s="83"/>
      <c r="DN15" s="2"/>
      <c r="DO15" s="80"/>
      <c r="DP15" s="83"/>
      <c r="DQ15" s="2"/>
      <c r="DR15" s="80"/>
      <c r="DS15" s="83"/>
      <c r="DT15" s="2"/>
      <c r="DU15" s="80"/>
      <c r="DV15" s="83"/>
      <c r="DW15" s="2"/>
      <c r="DX15" s="80"/>
      <c r="DY15" s="83"/>
      <c r="DZ15" s="2"/>
      <c r="EA15" s="80"/>
      <c r="EB15" s="83"/>
      <c r="EC15" s="2"/>
      <c r="ED15" s="80"/>
      <c r="EE15" s="83"/>
      <c r="EF15" s="2"/>
      <c r="EG15" s="80"/>
      <c r="EH15" s="83"/>
      <c r="EI15" s="2"/>
      <c r="EJ15" s="80"/>
      <c r="EK15" s="83"/>
      <c r="EL15" s="2"/>
      <c r="EM15" s="80"/>
      <c r="EN15" s="83"/>
      <c r="EO15" s="2"/>
      <c r="EP15" s="80"/>
      <c r="EQ15" s="83"/>
      <c r="ER15" s="2"/>
      <c r="ES15" s="80"/>
      <c r="ET15" s="83"/>
      <c r="EU15" s="2"/>
      <c r="EV15" s="80"/>
      <c r="EW15" s="83"/>
      <c r="EX15" s="2"/>
      <c r="EY15" s="80"/>
      <c r="EZ15" s="83"/>
      <c r="FA15" s="2"/>
      <c r="FB15" s="80"/>
      <c r="FC15" s="83"/>
      <c r="FD15" s="2"/>
      <c r="FE15" s="80"/>
      <c r="FF15" s="83"/>
      <c r="FG15" s="2"/>
      <c r="FH15" s="80"/>
      <c r="FI15" s="83"/>
      <c r="FJ15" s="2"/>
      <c r="FK15" s="80"/>
      <c r="FL15" s="83"/>
      <c r="FM15" s="2"/>
      <c r="FN15" s="80"/>
      <c r="FO15" s="83"/>
      <c r="FP15" s="2"/>
      <c r="FQ15" s="80"/>
      <c r="FR15" s="83"/>
      <c r="FS15" s="2"/>
      <c r="FT15" s="80"/>
      <c r="FU15" s="83"/>
      <c r="FV15" s="2"/>
      <c r="FW15" s="80"/>
      <c r="FX15" s="83"/>
      <c r="FY15" s="2"/>
      <c r="FZ15" s="80"/>
      <c r="GA15" s="83"/>
      <c r="GB15" s="2"/>
      <c r="GC15" s="80"/>
      <c r="GD15" s="83"/>
      <c r="GE15" s="2"/>
      <c r="GF15" s="80"/>
      <c r="GG15" s="83"/>
      <c r="GH15" s="2"/>
      <c r="GI15" s="80"/>
      <c r="GJ15" s="83"/>
      <c r="GK15" s="2"/>
      <c r="GL15" s="80"/>
      <c r="GM15" s="83"/>
      <c r="GN15" s="2"/>
      <c r="GO15" s="80"/>
      <c r="GP15" s="83"/>
      <c r="GQ15" s="2"/>
      <c r="GR15" s="80"/>
      <c r="GS15" s="83"/>
      <c r="GT15" s="2"/>
      <c r="GU15" s="80"/>
      <c r="GV15" s="83"/>
      <c r="GW15" s="2"/>
      <c r="GX15" s="80"/>
      <c r="GY15" s="83"/>
      <c r="GZ15" s="2"/>
      <c r="HA15" s="80"/>
      <c r="HB15" s="83"/>
      <c r="HC15" s="2"/>
      <c r="HD15" s="80"/>
      <c r="HE15" s="83"/>
      <c r="HF15" s="2"/>
      <c r="HG15" s="80"/>
      <c r="HH15" s="83"/>
      <c r="HI15" s="2"/>
      <c r="HJ15" s="80"/>
      <c r="HK15" s="83"/>
      <c r="HL15" s="2"/>
      <c r="HM15" s="80"/>
      <c r="HN15" s="83" t="s">
        <v>445</v>
      </c>
      <c r="HO15" s="2"/>
      <c r="HP15" s="80"/>
      <c r="HQ15" s="83" t="s">
        <v>445</v>
      </c>
      <c r="HR15" s="2"/>
      <c r="HS15" s="80"/>
      <c r="HT15" s="83" t="s">
        <v>445</v>
      </c>
      <c r="HU15" s="2"/>
      <c r="HV15" s="80"/>
      <c r="HW15" s="83" t="s">
        <v>445</v>
      </c>
      <c r="HX15" s="2"/>
      <c r="HY15" s="80"/>
      <c r="HZ15" s="83" t="s">
        <v>445</v>
      </c>
      <c r="IA15" s="2"/>
      <c r="IB15" s="80"/>
      <c r="IC15" s="83" t="s">
        <v>445</v>
      </c>
      <c r="ID15" s="2"/>
      <c r="IE15" s="80"/>
      <c r="IF15" s="83" t="s">
        <v>445</v>
      </c>
      <c r="IG15" s="2"/>
      <c r="IH15" s="80"/>
      <c r="II15" s="83" t="s">
        <v>445</v>
      </c>
      <c r="IJ15" s="2"/>
      <c r="IK15" s="80"/>
      <c r="IL15" s="83" t="s">
        <v>445</v>
      </c>
      <c r="IM15" s="2"/>
      <c r="IN15" s="80"/>
      <c r="IO15" s="83" t="s">
        <v>445</v>
      </c>
      <c r="IP15" s="2"/>
      <c r="IQ15" s="80"/>
      <c r="IR15" s="83" t="s">
        <v>445</v>
      </c>
      <c r="IS15" s="2"/>
      <c r="IT15" s="80"/>
      <c r="IU15" s="83" t="s">
        <v>445</v>
      </c>
      <c r="IV15" s="2"/>
      <c r="IW15" s="80"/>
      <c r="IX15" s="83" t="s">
        <v>445</v>
      </c>
      <c r="IY15" s="2"/>
      <c r="IZ15" s="80"/>
      <c r="JA15" s="83" t="s">
        <v>445</v>
      </c>
      <c r="JB15" s="2"/>
      <c r="JC15" s="80"/>
      <c r="JD15" s="83" t="s">
        <v>445</v>
      </c>
      <c r="JE15" s="2"/>
      <c r="JF15" s="80"/>
      <c r="JG15" s="83" t="s">
        <v>445</v>
      </c>
      <c r="JH15" s="2"/>
      <c r="JI15" s="80"/>
      <c r="JJ15" s="83" t="s">
        <v>445</v>
      </c>
      <c r="JK15" s="2"/>
      <c r="JL15" s="80"/>
      <c r="JM15" s="83" t="s">
        <v>445</v>
      </c>
      <c r="JN15" s="2"/>
      <c r="JO15" s="80"/>
      <c r="JP15" s="83" t="s">
        <v>445</v>
      </c>
      <c r="JQ15" s="2"/>
      <c r="JR15" s="80"/>
    </row>
    <row r="16" spans="1:278">
      <c r="A16" s="2">
        <v>5</v>
      </c>
      <c r="B16" s="2" t="s">
        <v>94</v>
      </c>
      <c r="C16" s="37" t="s">
        <v>161</v>
      </c>
      <c r="D16" s="2" t="s">
        <v>175</v>
      </c>
      <c r="E16" s="2" t="s">
        <v>234</v>
      </c>
      <c r="F16" s="20">
        <f>F3</f>
        <v>677026247.78</v>
      </c>
      <c r="G16" s="20">
        <f>F13</f>
        <v>11295161920</v>
      </c>
      <c r="H16" s="38">
        <f>(F16/G16)*100</f>
        <v>5.99394902503531</v>
      </c>
      <c r="I16" s="20">
        <f>I3</f>
        <v>-2755953717.947</v>
      </c>
      <c r="J16" s="20">
        <v>9909112999</v>
      </c>
      <c r="K16" s="38">
        <f>(I16/J16)*100</f>
        <v>-27.8123149693128</v>
      </c>
      <c r="L16" s="20">
        <f>L3</f>
        <v>287449453</v>
      </c>
      <c r="M16" s="20">
        <f>L13</f>
        <v>7077335000</v>
      </c>
      <c r="N16" s="38">
        <f>(L16/M16)*100</f>
        <v>4.06154934025308</v>
      </c>
      <c r="O16" s="20">
        <f>O3</f>
        <v>1111971920.171</v>
      </c>
      <c r="P16" s="20">
        <f>O13</f>
        <v>6881183848</v>
      </c>
      <c r="Q16" s="96">
        <f>(O16/P16)*100</f>
        <v>16.1596019628831</v>
      </c>
      <c r="R16" s="20">
        <f>R3</f>
        <v>369122458.976</v>
      </c>
      <c r="S16" s="20">
        <f>R13</f>
        <v>6461246873</v>
      </c>
      <c r="T16" s="38">
        <f>(R16/S16)*100</f>
        <v>5.71286728755829</v>
      </c>
      <c r="U16" s="20">
        <f>U3</f>
        <v>116954967.28</v>
      </c>
      <c r="V16" s="20">
        <f>U13</f>
        <v>2321437410</v>
      </c>
      <c r="W16" s="38">
        <f>(U16/V16)*100</f>
        <v>5.03804094722502</v>
      </c>
      <c r="X16" s="20">
        <f>X3</f>
        <v>-194660656</v>
      </c>
      <c r="Y16" s="20">
        <f>X13</f>
        <v>2321437410</v>
      </c>
      <c r="Z16" s="38">
        <f>(X16/Y16)*100</f>
        <v>-8.38535017836212</v>
      </c>
      <c r="AA16" s="20">
        <f>AA3</f>
        <v>-36645836.25</v>
      </c>
      <c r="AB16" s="20">
        <f>AA13</f>
        <v>2321437410</v>
      </c>
      <c r="AC16" s="38">
        <f>(AA16/AB16)*100</f>
        <v>-1.57858385895487</v>
      </c>
      <c r="AD16" s="20">
        <f>AD3</f>
        <v>471212255.478</v>
      </c>
      <c r="AE16" s="20">
        <f>AD13</f>
        <v>6674455407</v>
      </c>
      <c r="AF16" s="38">
        <f>(AD16/AE16)*100</f>
        <v>7.05993563135959</v>
      </c>
      <c r="AG16" s="20">
        <f>AG3</f>
        <v>281857056.782</v>
      </c>
      <c r="AH16" s="20">
        <f>AG13</f>
        <v>3471390152</v>
      </c>
      <c r="AI16" s="38">
        <f>(AG16/AH16)*100</f>
        <v>8.11942894461492</v>
      </c>
      <c r="AJ16" s="20">
        <f>AJ3</f>
        <v>497911315.044</v>
      </c>
      <c r="AK16" s="20">
        <f>AJ13</f>
        <v>3850293298</v>
      </c>
      <c r="AL16" s="96">
        <f>(AJ16/AK16)*100</f>
        <v>12.9317762702035</v>
      </c>
      <c r="AM16" s="20">
        <f>AM3</f>
        <v>-180228193.018</v>
      </c>
      <c r="AN16" s="20">
        <f>AM13</f>
        <v>3850293298</v>
      </c>
      <c r="AO16" s="38">
        <f>(AM16/AN16)*100</f>
        <v>-4.68089517002816</v>
      </c>
      <c r="AP16" s="20">
        <f>AP3</f>
        <v>619930857.197</v>
      </c>
      <c r="AQ16" s="20">
        <f>AP13</f>
        <v>3796642117</v>
      </c>
      <c r="AR16" s="96">
        <f>(AP16/AQ16)*100</f>
        <v>16.3283985714949</v>
      </c>
      <c r="AS16" s="20">
        <f>AS3</f>
        <v>108107322.411</v>
      </c>
      <c r="AT16" s="20">
        <f>AS13</f>
        <v>2162737997</v>
      </c>
      <c r="AU16" s="38">
        <f>(AS16/AT16)*100</f>
        <v>4.99863240766838</v>
      </c>
      <c r="AV16" s="20">
        <f>AV3</f>
        <v>30651460.552</v>
      </c>
      <c r="AW16" s="20">
        <f>AV13</f>
        <v>2162737997</v>
      </c>
      <c r="AX16" s="38">
        <f>(AV16/AW16)*100</f>
        <v>1.41725260269702</v>
      </c>
      <c r="AY16" s="20">
        <f>AY3</f>
        <v>200300301.736</v>
      </c>
      <c r="AZ16" s="20">
        <f>AY13</f>
        <v>1992306837</v>
      </c>
      <c r="BA16" s="96">
        <f>(AY16/AZ16)*100</f>
        <v>10.0536874148166</v>
      </c>
      <c r="BB16" s="20">
        <f>BB3</f>
        <v>-323743270.61</v>
      </c>
      <c r="BC16" s="20">
        <f>BB13</f>
        <v>1992306837</v>
      </c>
      <c r="BD16" s="38">
        <f>(BB16/BC16)*100</f>
        <v>-16.2496692074545</v>
      </c>
      <c r="BE16" s="20">
        <f>BE3</f>
        <v>20093027.487</v>
      </c>
      <c r="BF16" s="20">
        <f>BE13</f>
        <v>1992306837</v>
      </c>
      <c r="BG16" s="38">
        <f>(BE16/BF16)*100</f>
        <v>1.00853077015265</v>
      </c>
      <c r="BH16" s="20">
        <f>BH3</f>
        <v>455750727.16</v>
      </c>
      <c r="BI16" s="20">
        <f>BH13</f>
        <v>4215884164</v>
      </c>
      <c r="BJ16" s="96">
        <f>(BH16/BI16)*100</f>
        <v>10.810323752529</v>
      </c>
      <c r="BK16" s="20">
        <f>BK3</f>
        <v>42921690.894</v>
      </c>
      <c r="BL16" s="20">
        <f>BK13</f>
        <v>4215884164</v>
      </c>
      <c r="BM16" s="38">
        <f>(BK16/BL16)*100</f>
        <v>1.01809464454726</v>
      </c>
      <c r="BN16" s="20">
        <f>BN3</f>
        <v>141846886.744</v>
      </c>
      <c r="BO16" s="20">
        <f>BN13</f>
        <v>2532722344</v>
      </c>
      <c r="BP16" s="38">
        <f>(BN16/BO16)*100</f>
        <v>5.60056995904167</v>
      </c>
      <c r="BQ16" s="20">
        <f>BQ3</f>
        <v>-99331.161</v>
      </c>
      <c r="BR16" s="20">
        <f>BQ13</f>
        <v>2532722344</v>
      </c>
      <c r="BS16" s="38">
        <f>(BQ16/BR16)*100</f>
        <v>-0.00392191276850045</v>
      </c>
      <c r="BT16" s="20">
        <f>BT3</f>
        <v>-23524384.1</v>
      </c>
      <c r="BU16" s="20">
        <f>BT13</f>
        <v>2532722344</v>
      </c>
      <c r="BV16" s="38">
        <f>(BT16/BU16)*100</f>
        <v>-0.928818121565085</v>
      </c>
      <c r="BW16" s="20">
        <f>BW3</f>
        <v>179063770.863</v>
      </c>
      <c r="BX16" s="20">
        <f>BW13</f>
        <v>3160635582</v>
      </c>
      <c r="BY16" s="38">
        <f>(BW16/BX16)*100</f>
        <v>5.66543551818433</v>
      </c>
      <c r="BZ16" s="20">
        <f>BZ3</f>
        <v>-435451689.855</v>
      </c>
      <c r="CA16" s="20">
        <f>BZ13</f>
        <v>3160635582</v>
      </c>
      <c r="CB16" s="38">
        <f>(BZ16/CA16)*100</f>
        <v>-13.7773456811953</v>
      </c>
      <c r="CC16" s="20">
        <f>CC3</f>
        <v>115204848.919</v>
      </c>
      <c r="CD16" s="20">
        <f>CC13</f>
        <v>1005463472</v>
      </c>
      <c r="CE16" s="96">
        <f>(CC16/CD16)*100</f>
        <v>11.457885057708</v>
      </c>
      <c r="CF16" s="20">
        <f>CF3</f>
        <v>-57189699</v>
      </c>
      <c r="CG16" s="20">
        <f>CF13</f>
        <v>1005463472</v>
      </c>
      <c r="CH16" s="38">
        <f>(CF16/CG16)*100</f>
        <v>-5.68789424903146</v>
      </c>
      <c r="CI16" s="20">
        <f>CI3</f>
        <v>40928.432</v>
      </c>
      <c r="CJ16" s="20">
        <f>CI13</f>
        <v>1332071</v>
      </c>
      <c r="CK16" s="38">
        <f>(CI16/CJ16)*100</f>
        <v>3.07254132850276</v>
      </c>
      <c r="CL16" s="20">
        <f>CL3</f>
        <v>116146472.121</v>
      </c>
      <c r="CM16" s="20">
        <f>CL13</f>
        <v>854311288</v>
      </c>
      <c r="CN16" s="96">
        <f>(CL16/CM16)*100</f>
        <v>13.5953338967236</v>
      </c>
      <c r="CO16" s="20">
        <f>CO3</f>
        <v>56293692.391</v>
      </c>
      <c r="CP16" s="20">
        <f>CO13</f>
        <v>692201177</v>
      </c>
      <c r="CQ16" s="38">
        <f>(CO16/CP16)*100</f>
        <v>8.13256236214114</v>
      </c>
      <c r="CR16" s="20">
        <f>CR3</f>
        <v>-51871219.619</v>
      </c>
      <c r="CS16" s="20">
        <f>CR13</f>
        <v>692201177</v>
      </c>
      <c r="CT16" s="38">
        <f>(CR16/CS16)*100</f>
        <v>-7.49366244128764</v>
      </c>
      <c r="CU16" s="20">
        <f>CU3</f>
        <v>90735418.473</v>
      </c>
      <c r="CV16" s="20">
        <f>CU13</f>
        <v>1218549363</v>
      </c>
      <c r="CW16" s="38">
        <f>(CU16/CV16)*100</f>
        <v>7.44618324280393</v>
      </c>
      <c r="CX16" s="20">
        <f>CX3</f>
        <v>42085507.992</v>
      </c>
      <c r="CY16" s="20">
        <f>CX13</f>
        <v>1258391642</v>
      </c>
      <c r="CZ16" s="38">
        <f>(CX16/CY16)*100</f>
        <v>3.34438870915514</v>
      </c>
      <c r="DA16" s="20">
        <f>DA3</f>
        <v>25337222.777</v>
      </c>
      <c r="DB16" s="20">
        <f>DA13</f>
        <v>920243202</v>
      </c>
      <c r="DC16" s="38">
        <f>(DA16/DB16)*100</f>
        <v>2.7533181143782</v>
      </c>
      <c r="DD16" s="20">
        <f>DD3</f>
        <v>7458284.296</v>
      </c>
      <c r="DE16" s="20">
        <f>DD13</f>
        <v>920243202</v>
      </c>
      <c r="DF16" s="38">
        <f>(DD16/DE16)*100</f>
        <v>0.810468828217435</v>
      </c>
      <c r="DG16" s="20">
        <f>DG3</f>
        <v>163713134.815</v>
      </c>
      <c r="DH16" s="20">
        <f>DG13</f>
        <v>1397794822</v>
      </c>
      <c r="DI16" s="96">
        <f>(DG16/DH16)*100</f>
        <v>11.7122436167531</v>
      </c>
      <c r="DJ16" s="20">
        <f>DJ3</f>
        <v>-62083264.636</v>
      </c>
      <c r="DK16" s="20">
        <f>DJ13</f>
        <v>1397794822</v>
      </c>
      <c r="DL16" s="38">
        <f>(DJ16/DK16)*100</f>
        <v>-4.44151485317206</v>
      </c>
      <c r="DM16" s="20">
        <f>DM3</f>
        <v>88445487.099</v>
      </c>
      <c r="DN16" s="20">
        <f>DM13</f>
        <v>1244470115</v>
      </c>
      <c r="DO16" s="38">
        <f>(DM16/DN16)*100</f>
        <v>7.10708003614856</v>
      </c>
      <c r="DP16" s="20">
        <f>DP3</f>
        <v>77065370.173</v>
      </c>
      <c r="DQ16" s="20">
        <f>DP13</f>
        <v>1222184231</v>
      </c>
      <c r="DR16" s="38">
        <f>(DP16/DQ16)*100</f>
        <v>6.30554446852457</v>
      </c>
      <c r="DS16" s="20">
        <f>DS3</f>
        <v>-10852496.864</v>
      </c>
      <c r="DT16" s="20">
        <f>DS13</f>
        <v>1222184231</v>
      </c>
      <c r="DU16" s="38">
        <f>(DS16/DT16)*100</f>
        <v>-0.887959162680442</v>
      </c>
      <c r="DV16" s="20">
        <f>DV3</f>
        <v>117555333.151</v>
      </c>
      <c r="DW16" s="20">
        <f>DV13</f>
        <v>1053848028</v>
      </c>
      <c r="DX16" s="96">
        <f>(DV16/DW16)*100</f>
        <v>11.154865789719</v>
      </c>
      <c r="DY16" s="20">
        <f>DY3</f>
        <v>46561094.149</v>
      </c>
      <c r="DZ16" s="20">
        <f>DY13</f>
        <v>1053848028</v>
      </c>
      <c r="EA16" s="38">
        <f>(DY16/DZ16)*100</f>
        <v>4.41819815684088</v>
      </c>
      <c r="EB16" s="20">
        <f>EB3</f>
        <v>58200230.304</v>
      </c>
      <c r="EC16" s="20">
        <f>EB13</f>
        <v>1379106236</v>
      </c>
      <c r="ED16" s="38">
        <f>(EB16/EC16)*100</f>
        <v>4.22014118889098</v>
      </c>
      <c r="EE16" s="20">
        <f>EE3</f>
        <v>-32753338.951</v>
      </c>
      <c r="EF16" s="20">
        <f>EE13</f>
        <v>1379106236</v>
      </c>
      <c r="EG16" s="38">
        <f>(EE16/EF16)*100</f>
        <v>-2.3749685191765</v>
      </c>
      <c r="EH16" s="20">
        <f>EH3</f>
        <v>4769665.952</v>
      </c>
      <c r="EI16" s="20">
        <f>EH13</f>
        <v>1379106236</v>
      </c>
      <c r="EJ16" s="38">
        <f>(EH16/EI16)*100</f>
        <v>0.34585196031265</v>
      </c>
      <c r="EK16" s="20">
        <f>EK3</f>
        <v>34318567.546</v>
      </c>
      <c r="EL16" s="20">
        <f>EK13</f>
        <v>1379106236</v>
      </c>
      <c r="EM16" s="38">
        <f>(EK16/EL16)*100</f>
        <v>2.48846438730772</v>
      </c>
      <c r="EN16" s="20">
        <f>EN3</f>
        <v>74238143.823</v>
      </c>
      <c r="EO16" s="20">
        <f>EN13</f>
        <v>801854904</v>
      </c>
      <c r="EP16" s="38">
        <f>(EN16/EO16)*100</f>
        <v>9.25830140249414</v>
      </c>
      <c r="EQ16" s="20">
        <f>EQ3</f>
        <v>60894345.94</v>
      </c>
      <c r="ER16" s="20">
        <f>EQ13</f>
        <v>639591938</v>
      </c>
      <c r="ES16" s="38">
        <f>(EQ16/ER16)*100</f>
        <v>9.52081199309926</v>
      </c>
      <c r="ET16" s="20">
        <f>ET3</f>
        <v>1927597.98</v>
      </c>
      <c r="EU16" s="20">
        <f>ET13</f>
        <v>801854904</v>
      </c>
      <c r="EV16" s="38">
        <f>(ET16/EU16)*100</f>
        <v>0.240392366547153</v>
      </c>
      <c r="EW16" s="20">
        <f>EW3</f>
        <v>85576355.228</v>
      </c>
      <c r="EX16" s="20">
        <f>EW13</f>
        <v>853660070</v>
      </c>
      <c r="EY16" s="96">
        <f>(EW16/EX16)*100</f>
        <v>10.024640748161</v>
      </c>
      <c r="EZ16" s="20">
        <f>EZ3</f>
        <v>44897700.768</v>
      </c>
      <c r="FA16" s="20">
        <f>EZ13</f>
        <v>1800815548</v>
      </c>
      <c r="FB16" s="38">
        <f>(EZ16/FA16)*100</f>
        <v>2.49318709058591</v>
      </c>
      <c r="FC16" s="20">
        <f>FC3</f>
        <v>-32848363.189</v>
      </c>
      <c r="FD16" s="20">
        <f>FC13</f>
        <v>1800815548</v>
      </c>
      <c r="FE16" s="38">
        <f>(FC16/FD16)*100</f>
        <v>-1.82408260665462</v>
      </c>
      <c r="FF16" s="20">
        <f>FF3</f>
        <v>-65642.252</v>
      </c>
      <c r="FG16" s="20">
        <f>FF13</f>
        <v>1800815548</v>
      </c>
      <c r="FH16" s="38">
        <f>(FF16/FG16)*100</f>
        <v>-0.00364514022954226</v>
      </c>
      <c r="FI16" s="20">
        <f>FI3</f>
        <v>-49527483.033</v>
      </c>
      <c r="FJ16" s="20">
        <f>FI13</f>
        <v>741304032</v>
      </c>
      <c r="FK16" s="38">
        <f>(FI16/FJ16)*100</f>
        <v>-6.68112958989005</v>
      </c>
      <c r="FL16" s="20">
        <f>FL3</f>
        <v>5751740.372</v>
      </c>
      <c r="FM16" s="20">
        <f>FL13</f>
        <v>741304032</v>
      </c>
      <c r="FN16" s="38">
        <f>(FL16/FM16)*100</f>
        <v>0.775894926199457</v>
      </c>
      <c r="FO16" s="20">
        <f>FO3</f>
        <v>93594427.542</v>
      </c>
      <c r="FP16" s="20">
        <f>FO13</f>
        <v>741304032</v>
      </c>
      <c r="FQ16" s="96">
        <f>(FO16/FP16)*100</f>
        <v>12.6256466310438</v>
      </c>
      <c r="FR16" s="20">
        <f>FR3</f>
        <v>48894289.371</v>
      </c>
      <c r="FS16" s="20">
        <f>FR13</f>
        <v>689683890</v>
      </c>
      <c r="FT16" s="38">
        <f>(FR16/FS16)*100</f>
        <v>7.08937675360229</v>
      </c>
      <c r="FU16" s="20">
        <f>FU3</f>
        <v>10400066</v>
      </c>
      <c r="FV16" s="20">
        <f>FU13</f>
        <v>620082000</v>
      </c>
      <c r="FW16" s="219">
        <f>(FU16/FV16)*100</f>
        <v>1.67720817569289</v>
      </c>
      <c r="FX16" s="20">
        <f>FX3</f>
        <v>-26059054.274</v>
      </c>
      <c r="FY16" s="20">
        <f>FX13</f>
        <v>620082000</v>
      </c>
      <c r="FZ16" s="38">
        <f>(FX16/FY16)*100</f>
        <v>-4.20251745317555</v>
      </c>
      <c r="GA16" s="20">
        <f>GA3</f>
        <v>-123090850</v>
      </c>
      <c r="GB16" s="20">
        <f>GA13</f>
        <v>620082000</v>
      </c>
      <c r="GC16" s="38">
        <f>(GA16/GB16)*100</f>
        <v>-19.8507374831071</v>
      </c>
      <c r="GD16" s="20">
        <f>GD3</f>
        <v>40252066.467</v>
      </c>
      <c r="GE16" s="20">
        <f>GD13</f>
        <v>645418543</v>
      </c>
      <c r="GF16" s="38">
        <f>(GD16/GE16)*100</f>
        <v>6.23658351678315</v>
      </c>
      <c r="GG16" s="20">
        <f>GG3</f>
        <v>3298623.138</v>
      </c>
      <c r="GH16" s="20">
        <f>GG13</f>
        <v>645418543</v>
      </c>
      <c r="GI16" s="38">
        <f>(GG16/GH16)*100</f>
        <v>0.51108279639248</v>
      </c>
      <c r="GJ16" s="20">
        <f>GJ3</f>
        <v>16492261.237</v>
      </c>
      <c r="GK16" s="20">
        <f>GJ13</f>
        <v>645418543</v>
      </c>
      <c r="GL16" s="38">
        <f>(GJ16/GK16)*100</f>
        <v>2.55528159453578</v>
      </c>
      <c r="GM16" s="20">
        <f>GM3</f>
        <v>-68797129.75</v>
      </c>
      <c r="GN16" s="20">
        <f>GM13</f>
        <v>645418543</v>
      </c>
      <c r="GO16" s="38">
        <f>(GM16/GN16)*100</f>
        <v>-10.6593048024652</v>
      </c>
      <c r="GP16" s="20">
        <f>GP3</f>
        <v>-68797129.75</v>
      </c>
      <c r="GQ16" s="20">
        <f>GP13</f>
        <v>645418543</v>
      </c>
      <c r="GR16" s="38">
        <f>(GP16/GQ16)*100</f>
        <v>-10.6593048024652</v>
      </c>
      <c r="GS16" s="20">
        <f>GS3</f>
        <v>-39423216.398</v>
      </c>
      <c r="GT16" s="20">
        <f>GS13</f>
        <v>645418543</v>
      </c>
      <c r="GU16" s="38">
        <f>(GS16/GT16)*100</f>
        <v>-6.10816296271178</v>
      </c>
      <c r="GV16" s="20">
        <f>GV3</f>
        <v>-4360676.225</v>
      </c>
      <c r="GW16" s="20">
        <f>GV13</f>
        <v>645418543</v>
      </c>
      <c r="GX16" s="38">
        <f>(GV16/GW16)*100</f>
        <v>-0.675635410896461</v>
      </c>
      <c r="GY16" s="20">
        <f>GY3</f>
        <v>-523491939.622</v>
      </c>
      <c r="GZ16" s="20">
        <f>GY13</f>
        <v>645418543</v>
      </c>
      <c r="HA16" s="38">
        <f>(GY16/GZ16)*100</f>
        <v>-81.1089091411494</v>
      </c>
      <c r="HB16" s="20">
        <f>HB3</f>
        <v>29414829.787</v>
      </c>
      <c r="HC16" s="20">
        <f>HB13</f>
        <v>245183190</v>
      </c>
      <c r="HD16" s="96">
        <f>(HB16/HC16)*100</f>
        <v>11.9970825842506</v>
      </c>
      <c r="HE16" s="20">
        <f>HE3</f>
        <v>-17835441.358</v>
      </c>
      <c r="HF16" s="20">
        <f>HE13</f>
        <v>245183190</v>
      </c>
      <c r="HG16" s="38">
        <f>(HE16/HF16)*100</f>
        <v>-7.27433286025849</v>
      </c>
      <c r="HH16" s="20">
        <f>HH3</f>
        <v>29245573.445</v>
      </c>
      <c r="HI16" s="20">
        <f>HH13</f>
        <v>752403522</v>
      </c>
      <c r="HJ16" s="38">
        <f>(HH16/HI16)*100</f>
        <v>3.88695328900919</v>
      </c>
      <c r="HK16" s="20">
        <f>HK3</f>
        <v>-244266420.791</v>
      </c>
      <c r="HL16" s="20">
        <f>HK13</f>
        <v>752403522</v>
      </c>
      <c r="HM16" s="38">
        <f>(HK16/HL16)*100</f>
        <v>-32.4648162387257</v>
      </c>
      <c r="HN16" s="20">
        <f>HN3</f>
        <v>62586829.38</v>
      </c>
      <c r="HO16" s="20">
        <f>HN13</f>
        <v>508965708</v>
      </c>
      <c r="HP16" s="96">
        <f>(HN16/HO16)*100</f>
        <v>12.2968656623129</v>
      </c>
      <c r="HQ16" s="20">
        <f>HQ3</f>
        <v>59466646.954</v>
      </c>
      <c r="HR16" s="20">
        <f>HQ13</f>
        <v>555710604</v>
      </c>
      <c r="HS16" s="96">
        <f>(HQ16/HR16)*100</f>
        <v>10.7010099368196</v>
      </c>
      <c r="HT16" s="20">
        <f>HT3</f>
        <v>6502524.629</v>
      </c>
      <c r="HU16" s="20">
        <f>HT13</f>
        <v>555710604</v>
      </c>
      <c r="HV16" s="38">
        <f>(HT16/HU16)*100</f>
        <v>1.17012786551037</v>
      </c>
      <c r="HW16" s="20">
        <f>HW3</f>
        <v>-65601504.856</v>
      </c>
      <c r="HX16" s="20">
        <f>HW13</f>
        <v>555710604</v>
      </c>
      <c r="HY16" s="38">
        <f>(HW16/HX16)*100</f>
        <v>-11.8049762563106</v>
      </c>
      <c r="HZ16" s="20">
        <f>HZ3</f>
        <v>66416725</v>
      </c>
      <c r="IA16" s="20">
        <f>HZ13</f>
        <v>469114000</v>
      </c>
      <c r="IB16" s="96">
        <f>(HZ16/IA16)*100</f>
        <v>14.1579072464262</v>
      </c>
      <c r="IC16" s="20">
        <f>IC3</f>
        <v>13464589.011</v>
      </c>
      <c r="ID16" s="20">
        <f>IC13</f>
        <v>184948055</v>
      </c>
      <c r="IE16" s="38">
        <f>(IC16/ID16)*100</f>
        <v>7.28020038437279</v>
      </c>
      <c r="IF16" s="20">
        <f>IF3</f>
        <v>-3023409.292</v>
      </c>
      <c r="IG16" s="20">
        <f>IF13</f>
        <v>184948055</v>
      </c>
      <c r="IH16" s="38">
        <f>(IF16/IG16)*100</f>
        <v>-1.63473429985517</v>
      </c>
      <c r="II16" s="20">
        <f>II3</f>
        <v>-53590945.58</v>
      </c>
      <c r="IJ16" s="20">
        <f>II13</f>
        <v>184948055</v>
      </c>
      <c r="IK16" s="38">
        <f>(II16/IJ16)*100</f>
        <v>-28.9762147431072</v>
      </c>
      <c r="IL16" s="20">
        <f>IL3</f>
        <v>-836997.365</v>
      </c>
      <c r="IM16" s="20">
        <f>IL13</f>
        <v>184948055</v>
      </c>
      <c r="IN16" s="38">
        <f>(IL16/IM16)*100</f>
        <v>-0.452558079077934</v>
      </c>
      <c r="IO16" s="20">
        <f>IO3</f>
        <v>18640069.484</v>
      </c>
      <c r="IP16" s="20">
        <f>IO13</f>
        <v>206694486</v>
      </c>
      <c r="IQ16" s="38">
        <f>(IO16/IP16)*100</f>
        <v>9.01817452643609</v>
      </c>
      <c r="IR16" s="20">
        <f>IR3</f>
        <v>-40857805.661</v>
      </c>
      <c r="IS16" s="20">
        <f>IR13</f>
        <v>206694486</v>
      </c>
      <c r="IT16" s="38">
        <f>(IR16/IS16)*100</f>
        <v>-19.7672451025133</v>
      </c>
      <c r="IU16" s="20">
        <f>IU3</f>
        <v>-23775097.406</v>
      </c>
      <c r="IV16" s="20">
        <f>IU13</f>
        <v>206694486</v>
      </c>
      <c r="IW16" s="38">
        <f>(IU16/IV16)*100</f>
        <v>-11.5025310380075</v>
      </c>
      <c r="IX16" s="20">
        <f>IX3</f>
        <v>749176.659</v>
      </c>
      <c r="IY16" s="20">
        <f>IX13</f>
        <v>206694486</v>
      </c>
      <c r="IZ16" s="38">
        <f>(IX16/IY16)*100</f>
        <v>0.362456044908716</v>
      </c>
      <c r="JA16" s="20">
        <f>JA3</f>
        <v>19542767.753</v>
      </c>
      <c r="JB16" s="20">
        <f>JA13</f>
        <v>392408803</v>
      </c>
      <c r="JC16" s="38">
        <f>(JA16/JB16)*100</f>
        <v>4.98020625520982</v>
      </c>
      <c r="JD16" s="20">
        <f>JD3</f>
        <v>14751740.476</v>
      </c>
      <c r="JE16" s="20">
        <f>JD13</f>
        <v>279434593</v>
      </c>
      <c r="JF16" s="38">
        <f>(JD16/JE16)*100</f>
        <v>5.27913896329937</v>
      </c>
      <c r="JG16" s="20">
        <f>JG3</f>
        <v>3953792.638</v>
      </c>
      <c r="JH16" s="20">
        <f>JG13</f>
        <v>279434593</v>
      </c>
      <c r="JI16" s="38">
        <f>(JG16/JH16)*100</f>
        <v>1.41492597446587</v>
      </c>
      <c r="JJ16" s="20">
        <f>JJ3</f>
        <v>5729721.878</v>
      </c>
      <c r="JK16" s="20">
        <f>JJ13</f>
        <v>279434593</v>
      </c>
      <c r="JL16" s="38">
        <f>(JJ16/JK16)*100</f>
        <v>2.05046977773435</v>
      </c>
      <c r="JM16" s="20">
        <f>JM3</f>
        <v>-21725329.976</v>
      </c>
      <c r="JN16" s="20">
        <f>JM13</f>
        <v>279434593</v>
      </c>
      <c r="JO16" s="38">
        <f>(JM16/JN16)*100</f>
        <v>-7.77474604799557</v>
      </c>
      <c r="JP16" s="20">
        <f>JP3</f>
        <v>-2095476</v>
      </c>
      <c r="JQ16" s="20">
        <f>JP13</f>
        <v>279434593</v>
      </c>
      <c r="JR16" s="38">
        <f>(JP16/JQ16)*100</f>
        <v>-0.749898563919035</v>
      </c>
    </row>
    <row r="17" ht="9" customHeight="1" spans="1:278">
      <c r="A17" s="2"/>
      <c r="B17" s="2"/>
      <c r="C17" s="2" t="s">
        <v>176</v>
      </c>
      <c r="D17" s="2"/>
      <c r="E17" s="2"/>
      <c r="F17" s="20"/>
      <c r="G17" s="2"/>
      <c r="H17" s="38"/>
      <c r="I17" s="20"/>
      <c r="J17" s="2"/>
      <c r="K17" s="38"/>
      <c r="L17" s="20"/>
      <c r="M17" s="2"/>
      <c r="N17" s="38"/>
      <c r="O17" s="20"/>
      <c r="P17" s="2"/>
      <c r="Q17" s="96"/>
      <c r="R17" s="20"/>
      <c r="S17" s="2"/>
      <c r="T17" s="38"/>
      <c r="U17" s="20"/>
      <c r="V17" s="2"/>
      <c r="W17" s="38"/>
      <c r="X17" s="20"/>
      <c r="Y17" s="2"/>
      <c r="Z17" s="38"/>
      <c r="AA17" s="20"/>
      <c r="AB17" s="2"/>
      <c r="AC17" s="38"/>
      <c r="AD17" s="20"/>
      <c r="AE17" s="2"/>
      <c r="AF17" s="38"/>
      <c r="AG17" s="20"/>
      <c r="AH17" s="2"/>
      <c r="AI17" s="38"/>
      <c r="AJ17" s="20"/>
      <c r="AK17" s="2"/>
      <c r="AL17" s="96"/>
      <c r="AM17" s="20"/>
      <c r="AN17" s="2"/>
      <c r="AO17" s="38"/>
      <c r="AP17" s="20"/>
      <c r="AQ17" s="2"/>
      <c r="AR17" s="96"/>
      <c r="AS17" s="20"/>
      <c r="AT17" s="2"/>
      <c r="AU17" s="38"/>
      <c r="AV17" s="20"/>
      <c r="AW17" s="2"/>
      <c r="AX17" s="38"/>
      <c r="AY17" s="20"/>
      <c r="AZ17" s="2"/>
      <c r="BA17" s="96"/>
      <c r="BB17" s="20"/>
      <c r="BC17" s="2"/>
      <c r="BD17" s="38"/>
      <c r="BE17" s="20"/>
      <c r="BF17" s="2"/>
      <c r="BG17" s="38"/>
      <c r="BH17" s="20"/>
      <c r="BI17" s="2"/>
      <c r="BJ17" s="96"/>
      <c r="BK17" s="20"/>
      <c r="BL17" s="2"/>
      <c r="BM17" s="38"/>
      <c r="BN17" s="20"/>
      <c r="BO17" s="2"/>
      <c r="BP17" s="38"/>
      <c r="BQ17" s="20"/>
      <c r="BR17" s="2"/>
      <c r="BS17" s="38"/>
      <c r="BT17" s="20"/>
      <c r="BU17" s="2"/>
      <c r="BV17" s="38"/>
      <c r="BW17" s="20"/>
      <c r="BX17" s="2"/>
      <c r="BY17" s="38"/>
      <c r="BZ17" s="20"/>
      <c r="CA17" s="2"/>
      <c r="CB17" s="38"/>
      <c r="CC17" s="20"/>
      <c r="CD17" s="2"/>
      <c r="CE17" s="96"/>
      <c r="CF17" s="20"/>
      <c r="CG17" s="2"/>
      <c r="CH17" s="38"/>
      <c r="CI17" s="20"/>
      <c r="CJ17" s="2"/>
      <c r="CK17" s="38"/>
      <c r="CL17" s="20"/>
      <c r="CM17" s="2"/>
      <c r="CN17" s="96"/>
      <c r="CO17" s="20"/>
      <c r="CP17" s="2"/>
      <c r="CQ17" s="38"/>
      <c r="CR17" s="20"/>
      <c r="CS17" s="2"/>
      <c r="CT17" s="38"/>
      <c r="CU17" s="20"/>
      <c r="CV17" s="2"/>
      <c r="CW17" s="38"/>
      <c r="CX17" s="20"/>
      <c r="CY17" s="2"/>
      <c r="CZ17" s="38"/>
      <c r="DA17" s="20"/>
      <c r="DB17" s="2"/>
      <c r="DC17" s="38"/>
      <c r="DD17" s="20"/>
      <c r="DE17" s="2"/>
      <c r="DF17" s="38"/>
      <c r="DG17" s="20"/>
      <c r="DH17" s="2"/>
      <c r="DI17" s="96"/>
      <c r="DJ17" s="20"/>
      <c r="DK17" s="2"/>
      <c r="DL17" s="38"/>
      <c r="DM17" s="20"/>
      <c r="DN17" s="2"/>
      <c r="DO17" s="38"/>
      <c r="DP17" s="20"/>
      <c r="DQ17" s="2"/>
      <c r="DR17" s="38"/>
      <c r="DS17" s="20"/>
      <c r="DT17" s="2"/>
      <c r="DU17" s="38"/>
      <c r="DV17" s="20"/>
      <c r="DW17" s="2"/>
      <c r="DX17" s="96"/>
      <c r="DY17" s="20"/>
      <c r="DZ17" s="2"/>
      <c r="EA17" s="38"/>
      <c r="EB17" s="20"/>
      <c r="EC17" s="2"/>
      <c r="ED17" s="38"/>
      <c r="EE17" s="20"/>
      <c r="EF17" s="2"/>
      <c r="EG17" s="38"/>
      <c r="EH17" s="20"/>
      <c r="EI17" s="2"/>
      <c r="EJ17" s="38"/>
      <c r="EK17" s="20"/>
      <c r="EL17" s="2"/>
      <c r="EM17" s="38"/>
      <c r="EN17" s="20"/>
      <c r="EO17" s="2"/>
      <c r="EP17" s="38"/>
      <c r="EQ17" s="20"/>
      <c r="ER17" s="2"/>
      <c r="ES17" s="38"/>
      <c r="ET17" s="20"/>
      <c r="EU17" s="2"/>
      <c r="EV17" s="38"/>
      <c r="EW17" s="20"/>
      <c r="EX17" s="2"/>
      <c r="EY17" s="96"/>
      <c r="EZ17" s="20"/>
      <c r="FA17" s="2"/>
      <c r="FB17" s="38"/>
      <c r="FC17" s="20"/>
      <c r="FD17" s="2"/>
      <c r="FE17" s="38"/>
      <c r="FF17" s="20"/>
      <c r="FG17" s="2"/>
      <c r="FH17" s="38"/>
      <c r="FI17" s="20"/>
      <c r="FJ17" s="2"/>
      <c r="FK17" s="38"/>
      <c r="FL17" s="20"/>
      <c r="FM17" s="2"/>
      <c r="FN17" s="38"/>
      <c r="FO17" s="20"/>
      <c r="FP17" s="2"/>
      <c r="FQ17" s="96"/>
      <c r="FR17" s="20"/>
      <c r="FS17" s="2"/>
      <c r="FT17" s="38"/>
      <c r="FU17" s="20"/>
      <c r="FV17" s="2"/>
      <c r="FW17" s="219"/>
      <c r="FX17" s="20"/>
      <c r="FY17" s="2"/>
      <c r="FZ17" s="38"/>
      <c r="GA17" s="20"/>
      <c r="GB17" s="2"/>
      <c r="GC17" s="38"/>
      <c r="GD17" s="20"/>
      <c r="GE17" s="2"/>
      <c r="GF17" s="38"/>
      <c r="GG17" s="20"/>
      <c r="GH17" s="2"/>
      <c r="GI17" s="38"/>
      <c r="GJ17" s="20"/>
      <c r="GK17" s="2"/>
      <c r="GL17" s="38"/>
      <c r="GM17" s="20"/>
      <c r="GN17" s="2"/>
      <c r="GO17" s="38"/>
      <c r="GP17" s="20"/>
      <c r="GQ17" s="2"/>
      <c r="GR17" s="38"/>
      <c r="GS17" s="20"/>
      <c r="GT17" s="2"/>
      <c r="GU17" s="38"/>
      <c r="GV17" s="20"/>
      <c r="GW17" s="2"/>
      <c r="GX17" s="38"/>
      <c r="GY17" s="20"/>
      <c r="GZ17" s="2"/>
      <c r="HA17" s="38"/>
      <c r="HB17" s="20"/>
      <c r="HC17" s="2"/>
      <c r="HD17" s="96"/>
      <c r="HE17" s="20"/>
      <c r="HF17" s="2"/>
      <c r="HG17" s="38"/>
      <c r="HH17" s="20"/>
      <c r="HI17" s="2"/>
      <c r="HJ17" s="38"/>
      <c r="HK17" s="20"/>
      <c r="HL17" s="2"/>
      <c r="HM17" s="38"/>
      <c r="HN17" s="20"/>
      <c r="HO17" s="2"/>
      <c r="HP17" s="96"/>
      <c r="HQ17" s="20"/>
      <c r="HR17" s="2"/>
      <c r="HS17" s="96"/>
      <c r="HT17" s="20"/>
      <c r="HU17" s="2"/>
      <c r="HV17" s="38"/>
      <c r="HW17" s="20"/>
      <c r="HX17" s="2"/>
      <c r="HY17" s="38"/>
      <c r="HZ17" s="20"/>
      <c r="IA17" s="2"/>
      <c r="IB17" s="96"/>
      <c r="IC17" s="20"/>
      <c r="ID17" s="2"/>
      <c r="IE17" s="38"/>
      <c r="IF17" s="20"/>
      <c r="IG17" s="2"/>
      <c r="IH17" s="38"/>
      <c r="II17" s="20"/>
      <c r="IJ17" s="2"/>
      <c r="IK17" s="38"/>
      <c r="IL17" s="20"/>
      <c r="IM17" s="2"/>
      <c r="IN17" s="38"/>
      <c r="IO17" s="20"/>
      <c r="IP17" s="2"/>
      <c r="IQ17" s="38"/>
      <c r="IR17" s="20"/>
      <c r="IS17" s="2"/>
      <c r="IT17" s="38"/>
      <c r="IU17" s="20"/>
      <c r="IV17" s="2"/>
      <c r="IW17" s="38"/>
      <c r="IX17" s="20"/>
      <c r="IY17" s="2"/>
      <c r="IZ17" s="38"/>
      <c r="JA17" s="20"/>
      <c r="JB17" s="2"/>
      <c r="JC17" s="38"/>
      <c r="JD17" s="20"/>
      <c r="JE17" s="2"/>
      <c r="JF17" s="38"/>
      <c r="JG17" s="20"/>
      <c r="JH17" s="2"/>
      <c r="JI17" s="38"/>
      <c r="JJ17" s="20"/>
      <c r="JK17" s="2"/>
      <c r="JL17" s="38"/>
      <c r="JM17" s="20"/>
      <c r="JN17" s="2"/>
      <c r="JO17" s="38"/>
      <c r="JP17" s="20"/>
      <c r="JQ17" s="2"/>
      <c r="JR17" s="38"/>
    </row>
    <row r="18" hidden="1" spans="1:278">
      <c r="A18" s="2"/>
      <c r="D18" s="2"/>
      <c r="E18" s="2"/>
      <c r="F18" s="20"/>
      <c r="G18" s="20"/>
      <c r="H18" s="80"/>
      <c r="I18" s="20"/>
      <c r="J18" s="20"/>
      <c r="K18" s="80"/>
      <c r="L18" s="20"/>
      <c r="M18" s="20"/>
      <c r="N18" s="80"/>
      <c r="O18" s="20"/>
      <c r="P18" s="20"/>
      <c r="Q18" s="80"/>
      <c r="R18" s="20"/>
      <c r="S18" s="20"/>
      <c r="T18" s="80"/>
      <c r="U18" s="20"/>
      <c r="V18" s="20"/>
      <c r="W18" s="80"/>
      <c r="X18" s="20"/>
      <c r="Y18" s="20"/>
      <c r="Z18" s="80"/>
      <c r="AA18" s="20"/>
      <c r="AB18" s="20"/>
      <c r="AC18" s="80"/>
      <c r="AD18" s="20"/>
      <c r="AE18" s="20"/>
      <c r="AF18" s="80"/>
      <c r="AG18" s="20"/>
      <c r="AH18" s="20"/>
      <c r="AI18" s="80"/>
      <c r="AJ18" s="20"/>
      <c r="AK18" s="20"/>
      <c r="AL18" s="80"/>
      <c r="AM18" s="20"/>
      <c r="AN18" s="20"/>
      <c r="AO18" s="80"/>
      <c r="AP18" s="20"/>
      <c r="AQ18" s="20"/>
      <c r="AR18" s="80"/>
      <c r="AS18" s="20"/>
      <c r="AT18" s="20"/>
      <c r="AU18" s="80"/>
      <c r="AV18" s="20"/>
      <c r="AW18" s="20"/>
      <c r="AX18" s="80"/>
      <c r="AY18" s="20"/>
      <c r="AZ18" s="20"/>
      <c r="BA18" s="80"/>
      <c r="BB18" s="20"/>
      <c r="BC18" s="20"/>
      <c r="BD18" s="80"/>
      <c r="BE18" s="20"/>
      <c r="BF18" s="20"/>
      <c r="BG18" s="80"/>
      <c r="BH18" s="20"/>
      <c r="BI18" s="20"/>
      <c r="BJ18" s="80"/>
      <c r="BK18" s="20"/>
      <c r="BL18" s="20"/>
      <c r="BM18" s="80"/>
      <c r="BN18" s="20"/>
      <c r="BO18" s="20"/>
      <c r="BP18" s="80"/>
      <c r="BQ18" s="20"/>
      <c r="BR18" s="20"/>
      <c r="BS18" s="80"/>
      <c r="BT18" s="20"/>
      <c r="BU18" s="20"/>
      <c r="BV18" s="80"/>
      <c r="BW18" s="20"/>
      <c r="BX18" s="20"/>
      <c r="BY18" s="80"/>
      <c r="BZ18" s="20"/>
      <c r="CA18" s="20"/>
      <c r="CB18" s="80"/>
      <c r="CC18" s="20"/>
      <c r="CD18" s="20"/>
      <c r="CE18" s="80"/>
      <c r="CF18" s="20"/>
      <c r="CG18" s="20"/>
      <c r="CH18" s="80"/>
      <c r="CI18" s="20"/>
      <c r="CJ18" s="20"/>
      <c r="CK18" s="80"/>
      <c r="CL18" s="20"/>
      <c r="CM18" s="20"/>
      <c r="CN18" s="80"/>
      <c r="CO18" s="20"/>
      <c r="CP18" s="20"/>
      <c r="CQ18" s="80"/>
      <c r="CR18" s="20"/>
      <c r="CS18" s="20"/>
      <c r="CT18" s="80"/>
      <c r="CU18" s="20"/>
      <c r="CV18" s="20"/>
      <c r="CW18" s="80"/>
      <c r="CX18" s="20"/>
      <c r="CY18" s="52" t="s">
        <v>446</v>
      </c>
      <c r="CZ18" s="80"/>
      <c r="DA18" s="20"/>
      <c r="DB18" s="52" t="s">
        <v>446</v>
      </c>
      <c r="DC18" s="80"/>
      <c r="DD18" s="20"/>
      <c r="DE18" s="52"/>
      <c r="DF18" s="80"/>
      <c r="DG18" s="20"/>
      <c r="DH18" s="52"/>
      <c r="DI18" s="80"/>
      <c r="DJ18" s="20"/>
      <c r="DK18" s="52"/>
      <c r="DL18" s="80"/>
      <c r="DM18" s="20"/>
      <c r="DN18" s="52"/>
      <c r="DO18" s="80"/>
      <c r="DP18" s="20"/>
      <c r="DQ18" s="52"/>
      <c r="DR18" s="80"/>
      <c r="DS18" s="20"/>
      <c r="DT18" s="52"/>
      <c r="DU18" s="80"/>
      <c r="DV18" s="20"/>
      <c r="DW18" s="52"/>
      <c r="DX18" s="80"/>
      <c r="DY18" s="20"/>
      <c r="DZ18" s="52"/>
      <c r="EA18" s="80"/>
      <c r="EB18" s="20"/>
      <c r="EC18" s="52"/>
      <c r="ED18" s="80"/>
      <c r="EE18" s="20"/>
      <c r="EF18" s="52"/>
      <c r="EG18" s="80"/>
      <c r="EH18" s="20"/>
      <c r="EI18" s="52"/>
      <c r="EJ18" s="80"/>
      <c r="EK18" s="20"/>
      <c r="EL18" s="52"/>
      <c r="EM18" s="80"/>
      <c r="EN18" s="20"/>
      <c r="EO18" s="52"/>
      <c r="EP18" s="80"/>
      <c r="EQ18" s="20"/>
      <c r="ER18" s="52"/>
      <c r="ES18" s="80"/>
      <c r="ET18" s="20"/>
      <c r="EU18" s="52"/>
      <c r="EV18" s="80"/>
      <c r="EW18" s="20"/>
      <c r="EX18" s="52"/>
      <c r="EY18" s="80"/>
      <c r="EZ18" s="20"/>
      <c r="FA18" s="52"/>
      <c r="FB18" s="300" t="s">
        <v>446</v>
      </c>
      <c r="FC18" s="20"/>
      <c r="FD18" s="52"/>
      <c r="FE18" s="264"/>
      <c r="FF18" s="20"/>
      <c r="FG18" s="52"/>
      <c r="FH18" s="264"/>
      <c r="FI18" s="20"/>
      <c r="FJ18" s="52"/>
      <c r="FK18" s="264"/>
      <c r="FL18" s="20"/>
      <c r="FM18" s="52"/>
      <c r="FN18" s="264"/>
      <c r="FO18" s="20"/>
      <c r="FP18" s="52"/>
      <c r="FQ18" s="264"/>
      <c r="FR18" s="20"/>
      <c r="FS18" s="52"/>
      <c r="FT18" s="264"/>
      <c r="FU18" s="293" t="s">
        <v>289</v>
      </c>
      <c r="FV18" s="293"/>
      <c r="FW18" s="264"/>
      <c r="FX18" s="293"/>
      <c r="FY18" s="293"/>
      <c r="FZ18" s="264"/>
      <c r="GA18" s="293"/>
      <c r="GB18" s="293"/>
      <c r="GC18" s="264"/>
      <c r="GD18" s="293"/>
      <c r="GE18" s="293"/>
      <c r="GF18" s="264"/>
      <c r="GG18" s="293"/>
      <c r="GH18" s="293"/>
      <c r="GI18" s="264"/>
      <c r="GJ18" s="293"/>
      <c r="GK18" s="293"/>
      <c r="GL18" s="264"/>
      <c r="GM18" s="293"/>
      <c r="GN18" s="293"/>
      <c r="GO18" s="264"/>
      <c r="GP18" s="293"/>
      <c r="GQ18" s="293"/>
      <c r="GR18" s="264"/>
      <c r="GS18" s="293"/>
      <c r="GT18" s="293"/>
      <c r="GU18" s="264"/>
      <c r="GV18" s="293"/>
      <c r="GW18" s="293"/>
      <c r="GX18" s="264"/>
      <c r="GY18" s="293"/>
      <c r="GZ18" s="293"/>
      <c r="HA18" s="264"/>
      <c r="HB18" s="293"/>
      <c r="HC18" s="293"/>
      <c r="HD18" s="264"/>
      <c r="HE18" s="293"/>
      <c r="HF18" s="293"/>
      <c r="HG18" s="264"/>
      <c r="HH18" s="293"/>
      <c r="HI18" s="293"/>
      <c r="HJ18" s="264"/>
      <c r="HK18" s="293"/>
      <c r="HL18" s="293"/>
      <c r="HM18" s="264"/>
      <c r="HN18" s="293"/>
      <c r="HO18" s="293"/>
      <c r="HP18" s="264"/>
      <c r="HQ18" s="293"/>
      <c r="HR18" s="293"/>
      <c r="HS18" s="264"/>
      <c r="HT18" s="293"/>
      <c r="HU18" s="293"/>
      <c r="HV18" s="264"/>
      <c r="HW18" s="293"/>
      <c r="HX18" s="293"/>
      <c r="HY18" s="264"/>
      <c r="HZ18" s="293"/>
      <c r="IA18" s="293"/>
      <c r="IB18" s="264"/>
      <c r="IC18" s="293"/>
      <c r="ID18" s="293"/>
      <c r="IE18" s="264"/>
      <c r="IF18" s="293"/>
      <c r="IG18" s="293"/>
      <c r="IH18" s="264"/>
      <c r="II18" s="293"/>
      <c r="IJ18" s="293"/>
      <c r="IK18" s="264"/>
      <c r="IL18" s="293"/>
      <c r="IM18" s="293"/>
      <c r="IN18" s="264"/>
      <c r="IO18" s="293"/>
      <c r="IP18" s="293"/>
      <c r="IQ18" s="264"/>
      <c r="IR18" s="293"/>
      <c r="IS18" s="293"/>
      <c r="IT18" s="264"/>
      <c r="IU18" s="293"/>
      <c r="IV18" s="293"/>
      <c r="IW18" s="264"/>
      <c r="IX18" s="293"/>
      <c r="IY18" s="293"/>
      <c r="IZ18" s="264"/>
      <c r="JA18" s="293"/>
      <c r="JB18" s="293"/>
      <c r="JC18" s="264"/>
      <c r="JD18" s="293"/>
      <c r="JE18" s="293"/>
      <c r="JF18" s="264"/>
      <c r="JG18" s="293"/>
      <c r="JH18" s="293"/>
      <c r="JI18" s="264"/>
      <c r="JJ18" s="293"/>
      <c r="JK18" s="293"/>
      <c r="JL18" s="264"/>
      <c r="JM18" s="293"/>
      <c r="JN18" s="293"/>
      <c r="JO18" s="264"/>
      <c r="JP18" s="293"/>
      <c r="JQ18" s="293"/>
      <c r="JR18" s="264"/>
    </row>
    <row r="19" spans="1:278">
      <c r="A19" s="2">
        <v>6</v>
      </c>
      <c r="B19" s="2" t="s">
        <v>180</v>
      </c>
      <c r="C19" s="37" t="s">
        <v>176</v>
      </c>
      <c r="D19" s="2" t="s">
        <v>181</v>
      </c>
      <c r="E19" s="2" t="s">
        <v>181</v>
      </c>
      <c r="F19" s="20">
        <f>F13</f>
        <v>11295161920</v>
      </c>
      <c r="G19" s="20">
        <f>G3</f>
        <v>87823960</v>
      </c>
      <c r="H19" s="38">
        <f>F19/G19</f>
        <v>128.611393974947</v>
      </c>
      <c r="I19" s="20">
        <f>I13</f>
        <v>9909112999</v>
      </c>
      <c r="J19" s="20">
        <f>J3</f>
        <v>211800000</v>
      </c>
      <c r="K19" s="38">
        <f>I19/J19</f>
        <v>46.7852360670444</v>
      </c>
      <c r="L19" s="20">
        <f>L13</f>
        <v>7077335000</v>
      </c>
      <c r="M19" s="20">
        <f>M3</f>
        <v>34090650</v>
      </c>
      <c r="N19" s="38">
        <f>L19/M19</f>
        <v>207.603404452541</v>
      </c>
      <c r="O19" s="20">
        <f>O13</f>
        <v>6881183848</v>
      </c>
      <c r="P19" s="20">
        <f>P3</f>
        <v>37800000</v>
      </c>
      <c r="Q19" s="38">
        <f>O19/P19</f>
        <v>182.041900740741</v>
      </c>
      <c r="R19" s="20">
        <f>R13</f>
        <v>6461246873</v>
      </c>
      <c r="S19" s="20">
        <f>S3</f>
        <v>37379937</v>
      </c>
      <c r="T19" s="38">
        <f>R19/S19</f>
        <v>172.853337687541</v>
      </c>
      <c r="U19" s="20">
        <f>U13</f>
        <v>2321437410</v>
      </c>
      <c r="V19" s="20">
        <f>V3</f>
        <v>22050000</v>
      </c>
      <c r="W19" s="38">
        <f>U19/V19</f>
        <v>105.280608163265</v>
      </c>
      <c r="X19" s="20">
        <f>X13</f>
        <v>2321437410</v>
      </c>
      <c r="Y19" s="20">
        <f>Y3</f>
        <v>68421000</v>
      </c>
      <c r="Z19" s="38">
        <f>X19/Y19</f>
        <v>33.9287267067129</v>
      </c>
      <c r="AA19" s="20">
        <f>AA13</f>
        <v>2321437410</v>
      </c>
      <c r="AB19" s="20">
        <f>AB3</f>
        <v>60000000</v>
      </c>
      <c r="AC19" s="38">
        <f>AA19/AB19</f>
        <v>38.6906235</v>
      </c>
      <c r="AD19" s="20">
        <f>AD13</f>
        <v>6674455407</v>
      </c>
      <c r="AE19" s="20">
        <f>AE3</f>
        <v>60759278</v>
      </c>
      <c r="AF19" s="38">
        <f>AD19/AE19</f>
        <v>109.85080183145</v>
      </c>
      <c r="AG19" s="20">
        <f>AG13</f>
        <v>3471390152</v>
      </c>
      <c r="AH19" s="20">
        <f>AH3</f>
        <v>33325000</v>
      </c>
      <c r="AI19" s="38">
        <f>AG19/AH19</f>
        <v>104.167746496624</v>
      </c>
      <c r="AJ19" s="20">
        <f>AJ13</f>
        <v>3850293298</v>
      </c>
      <c r="AK19" s="20">
        <f>AK3</f>
        <v>34375000</v>
      </c>
      <c r="AL19" s="38">
        <f>AJ19/AK19</f>
        <v>112.008532305455</v>
      </c>
      <c r="AM19" s="20">
        <f>AM13</f>
        <v>3850293298</v>
      </c>
      <c r="AN19" s="20">
        <f>AN3</f>
        <v>32000000</v>
      </c>
      <c r="AO19" s="38">
        <f>AM19/AN19</f>
        <v>120.3216655625</v>
      </c>
      <c r="AP19" s="20">
        <f>AP13</f>
        <v>3796642117</v>
      </c>
      <c r="AQ19" s="20">
        <f>AQ3</f>
        <v>26027157</v>
      </c>
      <c r="AR19" s="38">
        <f>AP19/AQ19</f>
        <v>145.872333155711</v>
      </c>
      <c r="AS19" s="20">
        <f>AS13</f>
        <v>2162737997</v>
      </c>
      <c r="AT19" s="20">
        <f>AT3</f>
        <v>18389793</v>
      </c>
      <c r="AU19" s="38">
        <f>AS19/AT19</f>
        <v>117.60534754252</v>
      </c>
      <c r="AV19" s="20">
        <f>AV13</f>
        <v>2162737997</v>
      </c>
      <c r="AW19" s="20">
        <f>AW3</f>
        <v>37025584</v>
      </c>
      <c r="AX19" s="38">
        <f>AV19/AW19</f>
        <v>58.4119887751129</v>
      </c>
      <c r="AY19" s="20">
        <f>AY13</f>
        <v>1992306837</v>
      </c>
      <c r="AZ19" s="20">
        <f>AZ3</f>
        <v>13636370</v>
      </c>
      <c r="BA19" s="38">
        <f>AY19/AZ19</f>
        <v>146.102433198865</v>
      </c>
      <c r="BB19" s="20">
        <f>BB13</f>
        <v>1992306837</v>
      </c>
      <c r="BC19" s="20">
        <f>BC3</f>
        <v>36500000</v>
      </c>
      <c r="BD19" s="38">
        <f>BB19/BC19</f>
        <v>54.5837489589041</v>
      </c>
      <c r="BE19" s="20">
        <f>BE13</f>
        <v>1992306837</v>
      </c>
      <c r="BF19" s="20">
        <f>BF3</f>
        <v>19125000</v>
      </c>
      <c r="BG19" s="38">
        <f>BE19/BF19</f>
        <v>104.172906509804</v>
      </c>
      <c r="BH19" s="20">
        <f>BH13</f>
        <v>4215884164</v>
      </c>
      <c r="BI19" s="20">
        <f>BI3</f>
        <v>38480030</v>
      </c>
      <c r="BJ19" s="38">
        <f>BH19/BI19</f>
        <v>109.560313856304</v>
      </c>
      <c r="BK19" s="20">
        <f>BK13</f>
        <v>4215884164</v>
      </c>
      <c r="BL19" s="20">
        <f>BL3</f>
        <v>38959421</v>
      </c>
      <c r="BM19" s="38">
        <f>BK19/BL19</f>
        <v>108.212187342312</v>
      </c>
      <c r="BN19" s="20">
        <f>BN13</f>
        <v>2532722344</v>
      </c>
      <c r="BO19" s="20">
        <f>BO3</f>
        <v>22799299</v>
      </c>
      <c r="BP19" s="38">
        <f>BN19/BO19</f>
        <v>111.087728793767</v>
      </c>
      <c r="BQ19" s="20">
        <f>BQ13</f>
        <v>2532722344</v>
      </c>
      <c r="BR19" s="20">
        <f>BR3</f>
        <v>29000</v>
      </c>
      <c r="BS19" s="38">
        <f>BQ19/BR19</f>
        <v>87335.2532413793</v>
      </c>
      <c r="BT19" s="20">
        <f>BT13</f>
        <v>2532722344</v>
      </c>
      <c r="BU19" s="20">
        <f>BU3</f>
        <v>17891627</v>
      </c>
      <c r="BV19" s="38">
        <f>BT19/BU19</f>
        <v>141.559084816602</v>
      </c>
      <c r="BW19" s="20">
        <f>BW13</f>
        <v>3160635582</v>
      </c>
      <c r="BX19" s="20">
        <f>BX3</f>
        <v>29000000</v>
      </c>
      <c r="BY19" s="38">
        <f>BW19/BX19</f>
        <v>108.987433862069</v>
      </c>
      <c r="BZ19" s="20">
        <f>BZ13</f>
        <v>3160635582</v>
      </c>
      <c r="CA19" s="20">
        <f>CA3</f>
        <v>36559400</v>
      </c>
      <c r="CB19" s="38">
        <f>BZ19/CA19</f>
        <v>86.4520638194281</v>
      </c>
      <c r="CC19" s="20">
        <f>CC13</f>
        <v>1005463472</v>
      </c>
      <c r="CD19" s="20">
        <f>CD3</f>
        <v>8500000</v>
      </c>
      <c r="CE19" s="38">
        <f>CC19/CD19</f>
        <v>118.289820235294</v>
      </c>
      <c r="CF19" s="20">
        <f>CF13</f>
        <v>1005463472</v>
      </c>
      <c r="CG19" s="20">
        <f>CG3</f>
        <v>15000000</v>
      </c>
      <c r="CH19" s="38">
        <f>CF19/CG19</f>
        <v>67.0308981333333</v>
      </c>
      <c r="CI19" s="20">
        <f>CI13</f>
        <v>1332071</v>
      </c>
      <c r="CJ19" s="20">
        <f>CJ3</f>
        <v>12305</v>
      </c>
      <c r="CK19" s="38">
        <f>CI19/CJ19</f>
        <v>108.254449410809</v>
      </c>
      <c r="CL19" s="20">
        <f>CL13</f>
        <v>854311288</v>
      </c>
      <c r="CM19" s="20">
        <f>CM3</f>
        <v>7484000</v>
      </c>
      <c r="CN19" s="38">
        <f>CL19/CM19</f>
        <v>114.15169535008</v>
      </c>
      <c r="CO19" s="20">
        <f>CO13</f>
        <v>692201177</v>
      </c>
      <c r="CP19" s="20">
        <f>CP3</f>
        <v>5949473</v>
      </c>
      <c r="CQ19" s="38">
        <f>CO19/CP19</f>
        <v>116.346637256779</v>
      </c>
      <c r="CR19" s="20">
        <f>CR13</f>
        <v>692201177</v>
      </c>
      <c r="CS19" s="20">
        <f>CS3</f>
        <v>10542604</v>
      </c>
      <c r="CT19" s="38">
        <f>CR19/CS19</f>
        <v>65.6575146899191</v>
      </c>
      <c r="CU19" s="20">
        <f>CU13</f>
        <v>1218549363</v>
      </c>
      <c r="CV19" s="20">
        <f>CV3</f>
        <v>15930000</v>
      </c>
      <c r="CW19" s="38">
        <f>CU19/CV19</f>
        <v>76.4939964218456</v>
      </c>
      <c r="CX19" s="20">
        <f>CX13</f>
        <v>1258391642</v>
      </c>
      <c r="CY19" s="20">
        <f>CY3</f>
        <v>11732000</v>
      </c>
      <c r="CZ19" s="38">
        <f>CX19/CY19</f>
        <v>107.261476474599</v>
      </c>
      <c r="DA19" s="20">
        <f>DA13</f>
        <v>920243202</v>
      </c>
      <c r="DB19" s="20">
        <f>DB3</f>
        <v>10000000</v>
      </c>
      <c r="DC19" s="38">
        <f>DA19/DB19</f>
        <v>92.0243202</v>
      </c>
      <c r="DD19" s="20">
        <f>DD13</f>
        <v>920243202</v>
      </c>
      <c r="DE19" s="20">
        <f>DE3</f>
        <v>23233518</v>
      </c>
      <c r="DF19" s="38">
        <f>DD19/DE19</f>
        <v>39.6084313189247</v>
      </c>
      <c r="DG19" s="20">
        <f>DG13</f>
        <v>1397794822</v>
      </c>
      <c r="DH19" s="20">
        <f>DH3</f>
        <v>13500000</v>
      </c>
      <c r="DI19" s="38">
        <f>DG19/DH19</f>
        <v>103.540357185185</v>
      </c>
      <c r="DJ19" s="20">
        <f>DJ13</f>
        <v>1397794822</v>
      </c>
      <c r="DK19" s="20">
        <f>DK3</f>
        <v>28000000</v>
      </c>
      <c r="DL19" s="38">
        <f>DJ19/DK19</f>
        <v>49.9212436428571</v>
      </c>
      <c r="DM19" s="20">
        <f>DM13</f>
        <v>1244470115</v>
      </c>
      <c r="DN19" s="20">
        <f>DN3</f>
        <v>11298000</v>
      </c>
      <c r="DO19" s="38">
        <f>DM19/DN19</f>
        <v>110.14959417596</v>
      </c>
      <c r="DP19" s="20">
        <f>DP13</f>
        <v>1222184231</v>
      </c>
      <c r="DQ19" s="20">
        <f>DQ3</f>
        <v>10654170</v>
      </c>
      <c r="DR19" s="38">
        <f>DP19/DQ19</f>
        <v>114.714166471907</v>
      </c>
      <c r="DS19" s="20">
        <f>DS13</f>
        <v>1222184231</v>
      </c>
      <c r="DT19" s="20">
        <f>DT3</f>
        <v>24671629</v>
      </c>
      <c r="DU19" s="38">
        <f>DS19/DT19</f>
        <v>49.538043515489</v>
      </c>
      <c r="DV19" s="20">
        <f>DV13</f>
        <v>1053848028</v>
      </c>
      <c r="DW19" s="20">
        <f>DW3</f>
        <v>9339495</v>
      </c>
      <c r="DX19" s="38">
        <f>DV19/DW19</f>
        <v>112.83779561957</v>
      </c>
      <c r="DY19" s="20">
        <f>DY13</f>
        <v>1053848028</v>
      </c>
      <c r="DZ19" s="20">
        <f>DZ3</f>
        <v>19800000</v>
      </c>
      <c r="EA19" s="38">
        <f>DY19/DZ19</f>
        <v>53.2246478787879</v>
      </c>
      <c r="EB19" s="20">
        <f>EB13</f>
        <v>1379106236</v>
      </c>
      <c r="EC19" s="20">
        <f>EC3</f>
        <v>12098625</v>
      </c>
      <c r="ED19" s="38">
        <f>EB19/EC19</f>
        <v>113.988675242021</v>
      </c>
      <c r="EE19" s="20">
        <f>EE13</f>
        <v>1379106236</v>
      </c>
      <c r="EF19" s="20">
        <f>EF3</f>
        <v>22500000</v>
      </c>
      <c r="EG19" s="38">
        <f>EE19/EF19</f>
        <v>61.2936104888889</v>
      </c>
      <c r="EH19" s="20">
        <f>EH13</f>
        <v>1379106236</v>
      </c>
      <c r="EI19" s="20">
        <f>EI3</f>
        <v>5358150</v>
      </c>
      <c r="EJ19" s="38">
        <f>EH19/EI19</f>
        <v>257.384775715499</v>
      </c>
      <c r="EK19" s="20">
        <f>EK13</f>
        <v>1379106236</v>
      </c>
      <c r="EL19" s="20">
        <f>EL3</f>
        <v>18000000</v>
      </c>
      <c r="EM19" s="38">
        <f>EK19/EL19</f>
        <v>76.6170131111111</v>
      </c>
      <c r="EN19" s="20">
        <f>EN13</f>
        <v>801854904</v>
      </c>
      <c r="EO19" s="20">
        <f>EO3</f>
        <v>7600000</v>
      </c>
      <c r="EP19" s="38">
        <f>EN19/EO19</f>
        <v>105.507224210526</v>
      </c>
      <c r="EQ19" s="20">
        <f>EQ13</f>
        <v>639591938</v>
      </c>
      <c r="ER19" s="20">
        <f>ER3</f>
        <v>5350000</v>
      </c>
      <c r="ES19" s="38">
        <f>EQ19/ER19</f>
        <v>119.549894953271</v>
      </c>
      <c r="ET19" s="20">
        <f>ET13</f>
        <v>801854904</v>
      </c>
      <c r="EU19" s="20">
        <f>EU3</f>
        <v>7000000</v>
      </c>
      <c r="EV19" s="38">
        <f>ET19/EU19</f>
        <v>114.550700571429</v>
      </c>
      <c r="EW19" s="20">
        <f>EW13</f>
        <v>853660070</v>
      </c>
      <c r="EX19" s="20">
        <f>EX3</f>
        <v>10950000</v>
      </c>
      <c r="EY19" s="38">
        <f>EW19/EX19</f>
        <v>77.9598237442922</v>
      </c>
      <c r="EZ19" s="20">
        <f>EZ13</f>
        <v>1800815548</v>
      </c>
      <c r="FA19" s="20">
        <f>FA3</f>
        <v>20000000</v>
      </c>
      <c r="FB19" s="38">
        <f>EZ19/FA19</f>
        <v>90.0407774</v>
      </c>
      <c r="FC19" s="20">
        <f>FC13</f>
        <v>1800815548</v>
      </c>
      <c r="FD19" s="20">
        <f>FD3</f>
        <v>16500000</v>
      </c>
      <c r="FE19" s="38">
        <f>FC19/FD19</f>
        <v>109.140336242424</v>
      </c>
      <c r="FF19" s="20">
        <f>FF13</f>
        <v>1800815548</v>
      </c>
      <c r="FG19" s="20">
        <f>FG3</f>
        <v>10000</v>
      </c>
      <c r="FH19" s="38">
        <f>FF19/FG19</f>
        <v>180081.5548</v>
      </c>
      <c r="FI19" s="20">
        <f>FI13</f>
        <v>741304032</v>
      </c>
      <c r="FJ19" s="20">
        <f>FJ3</f>
        <v>6127938</v>
      </c>
      <c r="FK19" s="38">
        <f>FI19/FJ19</f>
        <v>120.971203037629</v>
      </c>
      <c r="FL19" s="20">
        <f>FL13</f>
        <v>741304032</v>
      </c>
      <c r="FM19" s="20">
        <f>FM3</f>
        <v>11000000</v>
      </c>
      <c r="FN19" s="38">
        <f>FL19/FM19</f>
        <v>67.3912756363636</v>
      </c>
      <c r="FO19" s="20">
        <f>FO13</f>
        <v>741304032</v>
      </c>
      <c r="FP19" s="20">
        <f>FP3</f>
        <v>5673222</v>
      </c>
      <c r="FQ19" s="38">
        <f>FO19/FP19</f>
        <v>130.667199697103</v>
      </c>
      <c r="FR19" s="20">
        <f>FR13</f>
        <v>689683890</v>
      </c>
      <c r="FS19" s="20">
        <f>FS3</f>
        <v>6467671</v>
      </c>
      <c r="FT19" s="38">
        <f>FR19/FS19</f>
        <v>106.635586442168</v>
      </c>
      <c r="FU19" s="20">
        <f>FU13</f>
        <v>620082000</v>
      </c>
      <c r="FV19" s="20">
        <f>FV3</f>
        <v>6326000</v>
      </c>
      <c r="FW19" s="38">
        <f>FU19/FV19</f>
        <v>98.0211824217515</v>
      </c>
      <c r="FX19" s="20">
        <f>FX13</f>
        <v>620082000</v>
      </c>
      <c r="FY19" s="20">
        <f>FY3</f>
        <v>5440534</v>
      </c>
      <c r="FZ19" s="38">
        <f>FX19/FY19</f>
        <v>113.974473829223</v>
      </c>
      <c r="GA19" s="20">
        <f>GA13</f>
        <v>620082000</v>
      </c>
      <c r="GB19" s="20">
        <f>GB3</f>
        <v>14764000</v>
      </c>
      <c r="GC19" s="38">
        <f>GA19/GB19</f>
        <v>41.9995936060688</v>
      </c>
      <c r="GD19" s="20">
        <f>GD13</f>
        <v>645418543</v>
      </c>
      <c r="GE19" s="20">
        <f>GE3</f>
        <v>8025000</v>
      </c>
      <c r="GF19" s="38">
        <f>GD19/GE19</f>
        <v>80.4259866666667</v>
      </c>
      <c r="GG19" s="20">
        <f>GG13</f>
        <v>645418543</v>
      </c>
      <c r="GH19" s="20">
        <f>GH3</f>
        <v>3921568</v>
      </c>
      <c r="GI19" s="38">
        <f>GG19/GH19</f>
        <v>164.581754798081</v>
      </c>
      <c r="GJ19" s="20">
        <f>GJ13</f>
        <v>645418543</v>
      </c>
      <c r="GK19" s="20">
        <f>GK3</f>
        <v>6200000</v>
      </c>
      <c r="GL19" s="38">
        <f>GJ19/GK19</f>
        <v>104.099765</v>
      </c>
      <c r="GM19" s="20">
        <f>GM13</f>
        <v>645418543</v>
      </c>
      <c r="GN19" s="20">
        <f>GN3</f>
        <v>9625000</v>
      </c>
      <c r="GO19" s="38">
        <f>GM19/GN19</f>
        <v>67.056472</v>
      </c>
      <c r="GP19" s="20">
        <f>GP13</f>
        <v>645418543</v>
      </c>
      <c r="GQ19" s="20">
        <f>GQ3</f>
        <v>9625000</v>
      </c>
      <c r="GR19" s="38">
        <f>GP19/GQ19</f>
        <v>67.056472</v>
      </c>
      <c r="GS19" s="20">
        <f>GS13</f>
        <v>645418543</v>
      </c>
      <c r="GT19" s="20">
        <f>GT3</f>
        <v>6000000</v>
      </c>
      <c r="GU19" s="38">
        <f>GS19/GT19</f>
        <v>107.569757166667</v>
      </c>
      <c r="GV19" s="20">
        <f>GV13</f>
        <v>645418543</v>
      </c>
      <c r="GW19" s="20">
        <f>GW3</f>
        <v>4925000</v>
      </c>
      <c r="GX19" s="38">
        <f>GV19/GW19</f>
        <v>131.04945035533</v>
      </c>
      <c r="GY19" s="20">
        <f>GY13</f>
        <v>645418543</v>
      </c>
      <c r="GZ19" s="20">
        <f>GZ3</f>
        <v>12500000</v>
      </c>
      <c r="HA19" s="38">
        <f>GY19/GZ19</f>
        <v>51.63348344</v>
      </c>
      <c r="HB19" s="20">
        <f>HB13</f>
        <v>245183190</v>
      </c>
      <c r="HC19" s="20">
        <f>HC3</f>
        <v>4000000</v>
      </c>
      <c r="HD19" s="38">
        <f>HB19/HC19</f>
        <v>61.2957975</v>
      </c>
      <c r="HE19" s="20">
        <f>HE13</f>
        <v>245183190</v>
      </c>
      <c r="HF19" s="20">
        <f>HF3</f>
        <v>5364860</v>
      </c>
      <c r="HG19" s="38">
        <f>HE19/HF19</f>
        <v>45.7016939864228</v>
      </c>
      <c r="HH19" s="20">
        <f>HH13</f>
        <v>752403522</v>
      </c>
      <c r="HI19" s="20">
        <f>HI3</f>
        <v>7500000</v>
      </c>
      <c r="HJ19" s="38">
        <f>HH19/HI19</f>
        <v>100.3204696</v>
      </c>
      <c r="HK19" s="20">
        <f>HK13</f>
        <v>752403522</v>
      </c>
      <c r="HL19" s="20">
        <f>HL3</f>
        <v>5425833</v>
      </c>
      <c r="HM19" s="38">
        <f>HK19/HL19</f>
        <v>138.670600809129</v>
      </c>
      <c r="HN19" s="20">
        <f>HN13</f>
        <v>508965708</v>
      </c>
      <c r="HO19" s="20">
        <f>HO3</f>
        <v>4431000</v>
      </c>
      <c r="HP19" s="38">
        <f>HN19/HO19</f>
        <v>114.864750169262</v>
      </c>
      <c r="HQ19" s="20">
        <f>HQ13</f>
        <v>555710604</v>
      </c>
      <c r="HR19" s="20">
        <f>HR3</f>
        <v>5000000</v>
      </c>
      <c r="HS19" s="38">
        <f>HQ19/HR19</f>
        <v>111.1421208</v>
      </c>
      <c r="HT19" s="20">
        <f>HT13</f>
        <v>555710604</v>
      </c>
      <c r="HU19" s="20">
        <f>HU3</f>
        <v>4000000</v>
      </c>
      <c r="HV19" s="38">
        <f>HT19/HU19</f>
        <v>138.927651</v>
      </c>
      <c r="HW19" s="20">
        <f>HW13</f>
        <v>555710604</v>
      </c>
      <c r="HX19" s="20">
        <f>HX3</f>
        <v>4657143</v>
      </c>
      <c r="HY19" s="38">
        <f>HW19/HX19</f>
        <v>119.324359161829</v>
      </c>
      <c r="HZ19" s="20">
        <f>HZ13</f>
        <v>469114000</v>
      </c>
      <c r="IA19" s="20">
        <f>IA3</f>
        <v>3881970</v>
      </c>
      <c r="IB19" s="38">
        <f>HZ19/IA19</f>
        <v>120.844313583052</v>
      </c>
      <c r="IC19" s="20">
        <f>IC13</f>
        <v>184948055</v>
      </c>
      <c r="ID19" s="20">
        <f>ID3</f>
        <v>1340542</v>
      </c>
      <c r="IE19" s="38">
        <f>IC19/ID19</f>
        <v>137.965132759735</v>
      </c>
      <c r="IF19" s="20">
        <f>IF13</f>
        <v>184948055</v>
      </c>
      <c r="IG19" s="20">
        <f>IG3</f>
        <v>5000000</v>
      </c>
      <c r="IH19" s="38">
        <f>IF19/IG19</f>
        <v>36.989611</v>
      </c>
      <c r="II19" s="20">
        <f>II13</f>
        <v>184948055</v>
      </c>
      <c r="IJ19" s="20">
        <f>IJ3</f>
        <v>3869775</v>
      </c>
      <c r="IK19" s="38">
        <f>II19/IJ19</f>
        <v>47.7929737517039</v>
      </c>
      <c r="IL19" s="20">
        <f>IL13</f>
        <v>184948055</v>
      </c>
      <c r="IM19" s="20">
        <f>IM3</f>
        <v>5098040</v>
      </c>
      <c r="IN19" s="38">
        <f>IL19/IM19</f>
        <v>36.2782667456513</v>
      </c>
      <c r="IO19" s="20">
        <f>IO13</f>
        <v>206694486</v>
      </c>
      <c r="IP19" s="20">
        <f>IP3</f>
        <v>2800000</v>
      </c>
      <c r="IQ19" s="38">
        <f>IO19/IP19</f>
        <v>73.8194592857143</v>
      </c>
      <c r="IR19" s="20">
        <f>IR13</f>
        <v>206694486</v>
      </c>
      <c r="IS19" s="20">
        <f>IS3</f>
        <v>3400000</v>
      </c>
      <c r="IT19" s="38">
        <f>IR19/IS19</f>
        <v>60.7924958823529</v>
      </c>
      <c r="IU19" s="20">
        <f>IU13</f>
        <v>206694486</v>
      </c>
      <c r="IV19" s="20">
        <f>IV3</f>
        <v>3714000</v>
      </c>
      <c r="IW19" s="38">
        <f>IU19/IV19</f>
        <v>55.6527964458805</v>
      </c>
      <c r="IX19" s="20">
        <f>IX13</f>
        <v>206694486</v>
      </c>
      <c r="IY19" s="20">
        <f>IY3</f>
        <v>4000000</v>
      </c>
      <c r="IZ19" s="38">
        <f>IX19/IY19</f>
        <v>51.6736215</v>
      </c>
      <c r="JA19" s="20">
        <f>JA13</f>
        <v>392408803</v>
      </c>
      <c r="JB19" s="20">
        <f>JB3</f>
        <v>3763198</v>
      </c>
      <c r="JC19" s="38">
        <f>JA19/JB19</f>
        <v>104.275353834691</v>
      </c>
      <c r="JD19" s="20">
        <f>JD13</f>
        <v>279434593</v>
      </c>
      <c r="JE19" s="20">
        <f>JE3</f>
        <v>3000000</v>
      </c>
      <c r="JF19" s="38">
        <f>JD19/JE19</f>
        <v>93.1448643333333</v>
      </c>
      <c r="JG19" s="20">
        <f>JG13</f>
        <v>279434593</v>
      </c>
      <c r="JH19" s="20">
        <f>JH3</f>
        <v>2500000</v>
      </c>
      <c r="JI19" s="38">
        <f>JG19/JH19</f>
        <v>111.7738372</v>
      </c>
      <c r="JJ19" s="20">
        <f>JJ13</f>
        <v>279434593</v>
      </c>
      <c r="JK19" s="20">
        <f>JK3</f>
        <v>2000000</v>
      </c>
      <c r="JL19" s="38">
        <f>JJ19/JK19</f>
        <v>139.7172965</v>
      </c>
      <c r="JM19" s="20">
        <f>JM13</f>
        <v>279434593</v>
      </c>
      <c r="JN19" s="20">
        <f>JN3</f>
        <v>2200000</v>
      </c>
      <c r="JO19" s="38">
        <f>JM19/JN19</f>
        <v>127.015724090909</v>
      </c>
      <c r="JP19" s="20">
        <f>JP13</f>
        <v>279434593</v>
      </c>
      <c r="JQ19" s="20">
        <f>JQ3</f>
        <v>2640000</v>
      </c>
      <c r="JR19" s="38">
        <f>JP19/JQ19</f>
        <v>105.846436742424</v>
      </c>
    </row>
    <row r="20" ht="6.5" customHeight="1" spans="1:278">
      <c r="A20" s="2"/>
      <c r="B20" s="2"/>
      <c r="C20" s="6" t="s">
        <v>163</v>
      </c>
      <c r="D20" s="2"/>
      <c r="E20" s="2"/>
      <c r="F20" s="20"/>
      <c r="G20" s="20"/>
      <c r="H20" s="38"/>
      <c r="I20" s="20"/>
      <c r="J20" s="20"/>
      <c r="K20" s="38"/>
      <c r="L20" s="20"/>
      <c r="M20" s="20"/>
      <c r="N20" s="38"/>
      <c r="O20" s="20"/>
      <c r="P20" s="20"/>
      <c r="Q20" s="38"/>
      <c r="R20" s="20"/>
      <c r="S20" s="20"/>
      <c r="T20" s="38"/>
      <c r="U20" s="20"/>
      <c r="V20" s="20"/>
      <c r="W20" s="38"/>
      <c r="X20" s="20"/>
      <c r="Y20" s="20"/>
      <c r="Z20" s="38"/>
      <c r="AA20" s="20"/>
      <c r="AB20" s="20"/>
      <c r="AC20" s="38"/>
      <c r="AD20" s="20"/>
      <c r="AE20" s="20"/>
      <c r="AF20" s="38"/>
      <c r="AG20" s="20"/>
      <c r="AH20" s="20"/>
      <c r="AI20" s="38"/>
      <c r="AJ20" s="20"/>
      <c r="AK20" s="20"/>
      <c r="AL20" s="38"/>
      <c r="AM20" s="20"/>
      <c r="AN20" s="20"/>
      <c r="AO20" s="38"/>
      <c r="AP20" s="20"/>
      <c r="AQ20" s="20"/>
      <c r="AR20" s="38"/>
      <c r="AS20" s="20"/>
      <c r="AT20" s="20"/>
      <c r="AU20" s="38"/>
      <c r="AV20" s="20"/>
      <c r="AW20" s="20"/>
      <c r="AX20" s="38"/>
      <c r="AY20" s="20"/>
      <c r="AZ20" s="20"/>
      <c r="BA20" s="38"/>
      <c r="BB20" s="20"/>
      <c r="BC20" s="20"/>
      <c r="BD20" s="38"/>
      <c r="BE20" s="20"/>
      <c r="BF20" s="20"/>
      <c r="BG20" s="38"/>
      <c r="BH20" s="20"/>
      <c r="BI20" s="20"/>
      <c r="BJ20" s="38"/>
      <c r="BK20" s="20"/>
      <c r="BL20" s="20"/>
      <c r="BM20" s="38"/>
      <c r="BN20" s="20"/>
      <c r="BO20" s="20"/>
      <c r="BP20" s="38"/>
      <c r="BQ20" s="20"/>
      <c r="BR20" s="20"/>
      <c r="BS20" s="38"/>
      <c r="BT20" s="20"/>
      <c r="BU20" s="20"/>
      <c r="BV20" s="38"/>
      <c r="BW20" s="20"/>
      <c r="BX20" s="20"/>
      <c r="BY20" s="38"/>
      <c r="BZ20" s="20"/>
      <c r="CA20" s="20"/>
      <c r="CB20" s="38"/>
      <c r="CC20" s="20"/>
      <c r="CD20" s="20"/>
      <c r="CE20" s="38"/>
      <c r="CF20" s="20"/>
      <c r="CG20" s="20"/>
      <c r="CH20" s="38"/>
      <c r="CI20" s="20"/>
      <c r="CJ20" s="20"/>
      <c r="CK20" s="38"/>
      <c r="CL20" s="20"/>
      <c r="CM20" s="20"/>
      <c r="CN20" s="38"/>
      <c r="CO20" s="20"/>
      <c r="CP20" s="20"/>
      <c r="CQ20" s="38"/>
      <c r="CR20" s="20"/>
      <c r="CS20" s="20"/>
      <c r="CT20" s="38"/>
      <c r="CU20" s="20"/>
      <c r="CV20" s="20"/>
      <c r="CW20" s="38"/>
      <c r="CX20" s="20"/>
      <c r="CY20" s="20"/>
      <c r="CZ20" s="38"/>
      <c r="DA20" s="20"/>
      <c r="DB20" s="20"/>
      <c r="DC20" s="38"/>
      <c r="DD20" s="20"/>
      <c r="DE20" s="20"/>
      <c r="DF20" s="38"/>
      <c r="DG20" s="20"/>
      <c r="DH20" s="20"/>
      <c r="DI20" s="38"/>
      <c r="DJ20" s="20"/>
      <c r="DK20" s="20"/>
      <c r="DL20" s="38"/>
      <c r="DM20" s="20"/>
      <c r="DN20" s="20"/>
      <c r="DO20" s="38"/>
      <c r="DP20" s="20"/>
      <c r="DQ20" s="20"/>
      <c r="DR20" s="38"/>
      <c r="DS20" s="20"/>
      <c r="DT20" s="20"/>
      <c r="DU20" s="38"/>
      <c r="DV20" s="20"/>
      <c r="DW20" s="20"/>
      <c r="DX20" s="38"/>
      <c r="DY20" s="20"/>
      <c r="DZ20" s="20"/>
      <c r="EA20" s="38"/>
      <c r="EB20" s="20"/>
      <c r="EC20" s="20"/>
      <c r="ED20" s="38"/>
      <c r="EE20" s="20"/>
      <c r="EF20" s="20"/>
      <c r="EG20" s="38"/>
      <c r="EH20" s="20"/>
      <c r="EI20" s="20"/>
      <c r="EJ20" s="38"/>
      <c r="EK20" s="20"/>
      <c r="EL20" s="20"/>
      <c r="EM20" s="38"/>
      <c r="EN20" s="20"/>
      <c r="EO20" s="20"/>
      <c r="EP20" s="38"/>
      <c r="EQ20" s="20"/>
      <c r="ER20" s="20"/>
      <c r="ES20" s="38"/>
      <c r="ET20" s="20"/>
      <c r="EU20" s="20"/>
      <c r="EV20" s="38"/>
      <c r="EW20" s="20"/>
      <c r="EX20" s="20"/>
      <c r="EY20" s="38"/>
      <c r="EZ20" s="20"/>
      <c r="FA20" s="20"/>
      <c r="FB20" s="38"/>
      <c r="FC20" s="20"/>
      <c r="FD20" s="20"/>
      <c r="FE20" s="38"/>
      <c r="FF20" s="20"/>
      <c r="FG20" s="20"/>
      <c r="FH20" s="38"/>
      <c r="FI20" s="20"/>
      <c r="FJ20" s="20"/>
      <c r="FK20" s="38"/>
      <c r="FL20" s="20"/>
      <c r="FM20" s="20"/>
      <c r="FN20" s="38"/>
      <c r="FO20" s="20"/>
      <c r="FP20" s="20"/>
      <c r="FQ20" s="38"/>
      <c r="FR20" s="20"/>
      <c r="FS20" s="20"/>
      <c r="FT20" s="38"/>
      <c r="FU20" s="20"/>
      <c r="FV20" s="20"/>
      <c r="FW20" s="38"/>
      <c r="FX20" s="20"/>
      <c r="FY20" s="20"/>
      <c r="FZ20" s="38"/>
      <c r="GA20" s="20"/>
      <c r="GB20" s="20"/>
      <c r="GC20" s="38"/>
      <c r="GD20" s="20"/>
      <c r="GE20" s="20"/>
      <c r="GF20" s="38"/>
      <c r="GG20" s="20"/>
      <c r="GH20" s="20"/>
      <c r="GI20" s="38"/>
      <c r="GJ20" s="20"/>
      <c r="GK20" s="20"/>
      <c r="GL20" s="38"/>
      <c r="GM20" s="20"/>
      <c r="GN20" s="20"/>
      <c r="GO20" s="38"/>
      <c r="GP20" s="20"/>
      <c r="GQ20" s="20"/>
      <c r="GR20" s="38"/>
      <c r="GS20" s="20"/>
      <c r="GT20" s="20"/>
      <c r="GU20" s="38"/>
      <c r="GV20" s="20"/>
      <c r="GW20" s="20"/>
      <c r="GX20" s="38"/>
      <c r="GY20" s="20"/>
      <c r="GZ20" s="20"/>
      <c r="HA20" s="38"/>
      <c r="HB20" s="20"/>
      <c r="HC20" s="20"/>
      <c r="HD20" s="38"/>
      <c r="HE20" s="20"/>
      <c r="HF20" s="20"/>
      <c r="HG20" s="38"/>
      <c r="HH20" s="20"/>
      <c r="HI20" s="20"/>
      <c r="HJ20" s="38"/>
      <c r="HK20" s="20"/>
      <c r="HL20" s="20"/>
      <c r="HM20" s="38"/>
      <c r="HN20" s="20"/>
      <c r="HO20" s="20"/>
      <c r="HP20" s="38"/>
      <c r="HQ20" s="20"/>
      <c r="HR20" s="20"/>
      <c r="HS20" s="38"/>
      <c r="HT20" s="20"/>
      <c r="HU20" s="20"/>
      <c r="HV20" s="38"/>
      <c r="HW20" s="20"/>
      <c r="HX20" s="20"/>
      <c r="HY20" s="38"/>
      <c r="HZ20" s="20"/>
      <c r="IA20" s="20"/>
      <c r="IB20" s="38"/>
      <c r="IC20" s="20"/>
      <c r="ID20" s="20"/>
      <c r="IE20" s="38"/>
      <c r="IF20" s="20"/>
      <c r="IG20" s="20"/>
      <c r="IH20" s="38"/>
      <c r="II20" s="20"/>
      <c r="IJ20" s="20"/>
      <c r="IK20" s="38"/>
      <c r="IL20" s="20"/>
      <c r="IM20" s="20"/>
      <c r="IN20" s="38"/>
      <c r="IO20" s="20"/>
      <c r="IP20" s="20"/>
      <c r="IQ20" s="38"/>
      <c r="IR20" s="20"/>
      <c r="IS20" s="20"/>
      <c r="IT20" s="38"/>
      <c r="IU20" s="20"/>
      <c r="IV20" s="20"/>
      <c r="IW20" s="38"/>
      <c r="IX20" s="20"/>
      <c r="IY20" s="20"/>
      <c r="IZ20" s="38"/>
      <c r="JA20" s="20"/>
      <c r="JB20" s="20"/>
      <c r="JC20" s="38"/>
      <c r="JD20" s="20"/>
      <c r="JE20" s="20"/>
      <c r="JF20" s="38"/>
      <c r="JG20" s="20"/>
      <c r="JH20" s="20"/>
      <c r="JI20" s="38"/>
      <c r="JJ20" s="20"/>
      <c r="JK20" s="20"/>
      <c r="JL20" s="38"/>
      <c r="JM20" s="20"/>
      <c r="JN20" s="20"/>
      <c r="JO20" s="38"/>
      <c r="JP20" s="20"/>
      <c r="JQ20" s="20"/>
      <c r="JR20" s="38"/>
    </row>
    <row r="21" hidden="1" spans="1:278">
      <c r="A21" s="2"/>
      <c r="B21" s="2"/>
      <c r="C21" s="6"/>
      <c r="D21" s="2"/>
      <c r="E21" s="2"/>
      <c r="F21" s="20"/>
      <c r="G21" s="20"/>
      <c r="H21" s="38"/>
      <c r="I21" s="20"/>
      <c r="J21" s="20"/>
      <c r="K21" s="38"/>
      <c r="L21" s="20"/>
      <c r="M21" s="20"/>
      <c r="N21" s="38"/>
      <c r="O21" s="20"/>
      <c r="P21" s="20"/>
      <c r="Q21" s="38"/>
      <c r="R21" s="20"/>
      <c r="S21" s="20"/>
      <c r="T21" s="38"/>
      <c r="U21" s="20"/>
      <c r="V21" s="20"/>
      <c r="W21" s="38"/>
      <c r="X21" s="20"/>
      <c r="Y21" s="20"/>
      <c r="Z21" s="38"/>
      <c r="AA21" s="20"/>
      <c r="AB21" s="20"/>
      <c r="AC21" s="38"/>
      <c r="AD21" s="20"/>
      <c r="AE21" s="20"/>
      <c r="AF21" s="38"/>
      <c r="AG21" s="20"/>
      <c r="AH21" s="20"/>
      <c r="AI21" s="38"/>
      <c r="AJ21" s="20"/>
      <c r="AK21" s="20"/>
      <c r="AL21" s="38"/>
      <c r="AM21" s="20"/>
      <c r="AN21" s="20"/>
      <c r="AO21" s="38"/>
      <c r="AP21" s="20"/>
      <c r="AQ21" s="20"/>
      <c r="AR21" s="38"/>
      <c r="AS21" s="20"/>
      <c r="AT21" s="20"/>
      <c r="AU21" s="38"/>
      <c r="AV21" s="20"/>
      <c r="AW21" s="20"/>
      <c r="AX21" s="38"/>
      <c r="AY21" s="20"/>
      <c r="AZ21" s="20"/>
      <c r="BA21" s="38"/>
      <c r="BB21" s="20"/>
      <c r="BC21" s="20"/>
      <c r="BD21" s="38"/>
      <c r="BE21" s="20"/>
      <c r="BF21" s="20"/>
      <c r="BG21" s="38"/>
      <c r="BH21" s="20"/>
      <c r="BI21" s="20"/>
      <c r="BJ21" s="38"/>
      <c r="BK21" s="20"/>
      <c r="BL21" s="20"/>
      <c r="BM21" s="38"/>
      <c r="BN21" s="20"/>
      <c r="BO21" s="20"/>
      <c r="BP21" s="38"/>
      <c r="BQ21" s="20"/>
      <c r="BR21" s="20"/>
      <c r="BS21" s="38"/>
      <c r="BT21" s="20"/>
      <c r="BU21" s="20"/>
      <c r="BV21" s="38"/>
      <c r="BW21" s="20"/>
      <c r="BX21" s="20"/>
      <c r="BY21" s="38"/>
      <c r="BZ21" s="20"/>
      <c r="CA21" s="20"/>
      <c r="CB21" s="38"/>
      <c r="CC21" s="20"/>
      <c r="CD21" s="20"/>
      <c r="CE21" s="38"/>
      <c r="CF21" s="20"/>
      <c r="CG21" s="20"/>
      <c r="CH21" s="38"/>
      <c r="CI21" s="20"/>
      <c r="CJ21" s="20"/>
      <c r="CK21" s="38"/>
      <c r="CL21" s="20"/>
      <c r="CM21" s="20"/>
      <c r="CN21" s="38"/>
      <c r="CO21" s="20"/>
      <c r="CP21" s="20"/>
      <c r="CQ21" s="38"/>
      <c r="CR21" s="20"/>
      <c r="CS21" s="20"/>
      <c r="CT21" s="38"/>
      <c r="CU21" s="20"/>
      <c r="CV21" s="52" t="s">
        <v>404</v>
      </c>
      <c r="CW21" s="38"/>
      <c r="CX21" s="20"/>
      <c r="CY21" s="52"/>
      <c r="CZ21" s="38"/>
      <c r="DA21" s="20"/>
      <c r="DB21" s="52"/>
      <c r="DC21" s="38"/>
      <c r="DD21" s="20"/>
      <c r="DE21" s="52"/>
      <c r="DF21" s="38"/>
      <c r="DG21" s="20"/>
      <c r="DH21" s="52"/>
      <c r="DI21" s="38"/>
      <c r="DJ21" s="20"/>
      <c r="DK21" s="52"/>
      <c r="DL21" s="38"/>
      <c r="DM21" s="20"/>
      <c r="DN21" s="52"/>
      <c r="DO21" s="38"/>
      <c r="DP21" s="20"/>
      <c r="DQ21" s="52"/>
      <c r="DR21" s="38"/>
      <c r="DS21" s="20"/>
      <c r="DT21" s="52"/>
      <c r="DU21" s="38"/>
      <c r="DV21" s="20"/>
      <c r="DW21" s="52"/>
      <c r="DX21" s="38"/>
      <c r="DY21" s="20"/>
      <c r="DZ21" s="52"/>
      <c r="EA21" s="38"/>
      <c r="EB21" s="20"/>
      <c r="EC21" s="52"/>
      <c r="ED21" s="38"/>
      <c r="EE21" s="20"/>
      <c r="EF21" s="52"/>
      <c r="EG21" s="38"/>
      <c r="EH21" s="20"/>
      <c r="EI21" s="52"/>
      <c r="EJ21" s="38"/>
      <c r="EK21" s="20"/>
      <c r="EL21" s="52"/>
      <c r="EM21" s="38"/>
      <c r="EN21" s="20"/>
      <c r="EO21" s="52"/>
      <c r="EP21" s="38"/>
      <c r="EQ21" s="20"/>
      <c r="ER21" s="52"/>
      <c r="ES21" s="38"/>
      <c r="ET21" s="20"/>
      <c r="EU21" s="52"/>
      <c r="EV21" s="38"/>
      <c r="EW21" s="52"/>
      <c r="EX21" s="52" t="s">
        <v>404</v>
      </c>
      <c r="EY21" s="52"/>
      <c r="EZ21" s="52"/>
      <c r="FA21" s="52"/>
      <c r="FB21" s="301"/>
      <c r="FC21" s="52"/>
      <c r="FD21" s="52"/>
      <c r="FE21" s="301"/>
      <c r="FF21" s="52"/>
      <c r="FG21" s="52"/>
      <c r="FH21" s="301"/>
      <c r="FI21" s="52"/>
      <c r="FJ21" s="52"/>
      <c r="FK21" s="301"/>
      <c r="FL21" s="52"/>
      <c r="FM21" s="52"/>
      <c r="FN21" s="301"/>
      <c r="FO21" s="52"/>
      <c r="FP21" s="52"/>
      <c r="FQ21" s="301"/>
      <c r="FR21" s="52"/>
      <c r="FS21" s="52"/>
      <c r="FT21" s="301"/>
      <c r="FU21" s="52"/>
      <c r="FV21" s="52"/>
      <c r="FW21" s="301"/>
      <c r="FX21" s="52"/>
      <c r="FY21" s="52"/>
      <c r="FZ21" s="301"/>
      <c r="GA21" s="52"/>
      <c r="GB21" s="52"/>
      <c r="GC21" s="301"/>
      <c r="GD21" s="52"/>
      <c r="GE21" s="52"/>
      <c r="GF21" s="301"/>
      <c r="GG21" s="52"/>
      <c r="GH21" s="52"/>
      <c r="GI21" s="301"/>
      <c r="GJ21" s="52"/>
      <c r="GK21" s="52"/>
      <c r="GL21" s="301"/>
      <c r="GM21" s="52"/>
      <c r="GN21" s="52"/>
      <c r="GO21" s="301"/>
      <c r="GP21" s="52"/>
      <c r="GQ21" s="52"/>
      <c r="GR21" s="301"/>
      <c r="GS21" s="52"/>
      <c r="GT21" s="52"/>
      <c r="GU21" s="301"/>
      <c r="GV21" s="52"/>
      <c r="GW21" s="52"/>
      <c r="GX21" s="301"/>
      <c r="GY21" s="52"/>
      <c r="GZ21" s="52"/>
      <c r="HA21" s="301"/>
      <c r="HB21" s="52"/>
      <c r="HC21" s="52" t="s">
        <v>404</v>
      </c>
      <c r="HD21" s="301"/>
      <c r="HE21" s="52"/>
      <c r="HF21" s="52"/>
      <c r="HG21" s="301"/>
      <c r="HH21" s="52"/>
      <c r="HI21" s="52"/>
      <c r="HJ21" s="301"/>
      <c r="HK21" s="52"/>
      <c r="HL21" s="52"/>
      <c r="HM21" s="301"/>
      <c r="HN21" s="52"/>
      <c r="HO21" s="52"/>
      <c r="HP21" s="301"/>
      <c r="HQ21" s="52"/>
      <c r="HR21" s="52"/>
      <c r="HS21" s="301"/>
      <c r="HT21" s="52"/>
      <c r="HU21" s="52"/>
      <c r="HV21" s="301"/>
      <c r="HW21" s="52"/>
      <c r="HX21" s="52"/>
      <c r="HY21" s="301"/>
      <c r="HZ21" s="52"/>
      <c r="IA21" s="52"/>
      <c r="IB21" s="301"/>
      <c r="IC21" s="52"/>
      <c r="ID21" s="52"/>
      <c r="IE21" s="301"/>
      <c r="IF21" s="52"/>
      <c r="IG21" s="52"/>
      <c r="IH21" s="301"/>
      <c r="II21" s="52"/>
      <c r="IJ21" s="52"/>
      <c r="IK21" s="301"/>
      <c r="IL21" s="52"/>
      <c r="IM21" s="52"/>
      <c r="IN21" s="301"/>
      <c r="IO21" s="52"/>
      <c r="IP21" s="52" t="s">
        <v>404</v>
      </c>
      <c r="IQ21" s="301"/>
      <c r="IR21" s="52"/>
      <c r="IS21" s="52" t="s">
        <v>404</v>
      </c>
      <c r="IT21" s="301"/>
      <c r="IU21" s="52"/>
      <c r="IV21" s="52" t="s">
        <v>404</v>
      </c>
      <c r="IW21" s="301"/>
      <c r="IX21" s="52"/>
      <c r="IY21" s="52" t="s">
        <v>404</v>
      </c>
      <c r="IZ21" s="301"/>
      <c r="JA21" s="52"/>
      <c r="JB21" s="52"/>
      <c r="JC21" s="301"/>
      <c r="JD21" s="52"/>
      <c r="JE21" s="52"/>
      <c r="JF21" s="301"/>
      <c r="JG21" s="52"/>
      <c r="JH21" s="52"/>
      <c r="JI21" s="301"/>
      <c r="JJ21" s="52"/>
      <c r="JK21" s="52"/>
      <c r="JL21" s="301"/>
      <c r="JM21" s="52"/>
      <c r="JN21" s="52"/>
      <c r="JO21" s="301"/>
      <c r="JP21" s="52"/>
      <c r="JQ21" s="52"/>
      <c r="JR21" s="301"/>
    </row>
    <row r="22" spans="1:278">
      <c r="A22" s="2">
        <v>7</v>
      </c>
      <c r="B22" s="2" t="s">
        <v>182</v>
      </c>
      <c r="C22" s="37" t="s">
        <v>183</v>
      </c>
      <c r="D22" s="50" t="s">
        <v>184</v>
      </c>
      <c r="E22" s="50" t="s">
        <v>466</v>
      </c>
      <c r="F22" s="20">
        <f>F7</f>
        <v>520</v>
      </c>
      <c r="G22" s="42">
        <f>H19</f>
        <v>128.611393974947</v>
      </c>
      <c r="H22" s="96">
        <f>F22/G22</f>
        <v>4.04318765179774</v>
      </c>
      <c r="I22" s="20">
        <f>I7</f>
        <v>197</v>
      </c>
      <c r="J22" s="42">
        <f>K19</f>
        <v>46.7852360670444</v>
      </c>
      <c r="K22" s="96">
        <f>I22/J22</f>
        <v>4.21073006274232</v>
      </c>
      <c r="L22" s="20">
        <f>L7</f>
        <v>860</v>
      </c>
      <c r="M22" s="42">
        <f>N19</f>
        <v>207.603404452541</v>
      </c>
      <c r="N22" s="96">
        <f>L22/M22</f>
        <v>4.14251395475839</v>
      </c>
      <c r="O22" s="20">
        <f>O7</f>
        <v>603</v>
      </c>
      <c r="P22" s="42">
        <f>Q19</f>
        <v>182.041900740741</v>
      </c>
      <c r="Q22" s="96">
        <f>O22/P22</f>
        <v>3.31242421413066</v>
      </c>
      <c r="R22" s="20">
        <f>R7</f>
        <v>587</v>
      </c>
      <c r="S22" s="42">
        <f>T19</f>
        <v>172.853337687541</v>
      </c>
      <c r="T22" s="96">
        <f>R22/S22</f>
        <v>3.39594252476104</v>
      </c>
      <c r="U22" s="20">
        <f>U7</f>
        <v>985</v>
      </c>
      <c r="V22" s="42">
        <f>W19</f>
        <v>105.280608163265</v>
      </c>
      <c r="W22" s="38">
        <f>U22/V22</f>
        <v>9.35594899368835</v>
      </c>
      <c r="X22" s="20">
        <f>X7</f>
        <v>333</v>
      </c>
      <c r="Y22" s="42">
        <f>Z19</f>
        <v>33.9287267067129</v>
      </c>
      <c r="Z22" s="38">
        <f>X22/Y22</f>
        <v>9.81469192400066</v>
      </c>
      <c r="AA22" s="20">
        <f>AA7</f>
        <v>313</v>
      </c>
      <c r="AB22" s="42">
        <f>AC19</f>
        <v>38.6906235</v>
      </c>
      <c r="AC22" s="38">
        <f>AA22/AB22</f>
        <v>8.08981535280764</v>
      </c>
      <c r="AD22" s="20">
        <f>AD7</f>
        <v>297</v>
      </c>
      <c r="AE22" s="42">
        <f>AF19</f>
        <v>109.85080183145</v>
      </c>
      <c r="AF22" s="96">
        <f>AD22/AE22</f>
        <v>2.703667110739</v>
      </c>
      <c r="AG22" s="20">
        <f>AG7</f>
        <v>506</v>
      </c>
      <c r="AH22" s="42">
        <f>AI19</f>
        <v>104.167746496624</v>
      </c>
      <c r="AI22" s="38">
        <f>AG22/AH22</f>
        <v>4.85754964485479</v>
      </c>
      <c r="AJ22" s="20">
        <f>AJ7</f>
        <v>462</v>
      </c>
      <c r="AK22" s="42">
        <f>AL19</f>
        <v>112.008532305455</v>
      </c>
      <c r="AL22" s="96">
        <f>AJ22/AK22</f>
        <v>4.12468577608084</v>
      </c>
      <c r="AM22" s="20">
        <f>AM7</f>
        <v>492</v>
      </c>
      <c r="AN22" s="42">
        <f>AO19</f>
        <v>120.3216655625</v>
      </c>
      <c r="AO22" s="38">
        <f>AM22/AN22</f>
        <v>4.08903914103844</v>
      </c>
      <c r="AP22" s="20">
        <f>AP7</f>
        <v>608</v>
      </c>
      <c r="AQ22" s="42">
        <f>AR19</f>
        <v>145.872333155711</v>
      </c>
      <c r="AR22" s="96">
        <f>AP22/AQ22</f>
        <v>4.16802821238892</v>
      </c>
      <c r="AS22" s="20">
        <f>AS7</f>
        <v>763</v>
      </c>
      <c r="AT22" s="42">
        <f>AU19</f>
        <v>117.60534754252</v>
      </c>
      <c r="AU22" s="38">
        <f>AS22/AT22</f>
        <v>6.48780022289496</v>
      </c>
      <c r="AV22" s="20">
        <f>AV7</f>
        <v>379</v>
      </c>
      <c r="AW22" s="42">
        <f>AX19</f>
        <v>58.4119887751129</v>
      </c>
      <c r="AX22" s="38">
        <f>AV22/AW22</f>
        <v>6.48839404285918</v>
      </c>
      <c r="AY22" s="20">
        <f>AY7</f>
        <v>895</v>
      </c>
      <c r="AZ22" s="42">
        <f>BA19</f>
        <v>146.102433198865</v>
      </c>
      <c r="BA22" s="38">
        <f>AY22/AZ22</f>
        <v>6.12583911440946</v>
      </c>
      <c r="BB22" s="20">
        <f>BB7</f>
        <v>318</v>
      </c>
      <c r="BC22" s="42">
        <f>BD19</f>
        <v>54.5837489589041</v>
      </c>
      <c r="BD22" s="38">
        <f>BB22/BC22</f>
        <v>5.82590983699967</v>
      </c>
      <c r="BE22" s="20">
        <f>BE7</f>
        <v>597</v>
      </c>
      <c r="BF22" s="42">
        <f>BG19</f>
        <v>104.172906509804</v>
      </c>
      <c r="BG22" s="38">
        <f>BE22/BF22</f>
        <v>5.7308567073898</v>
      </c>
      <c r="BH22" s="20">
        <f>BH7</f>
        <v>284</v>
      </c>
      <c r="BI22" s="42">
        <f>BJ19</f>
        <v>109.560313856304</v>
      </c>
      <c r="BJ22" s="96">
        <f>BH22/BI22</f>
        <v>2.59217950372509</v>
      </c>
      <c r="BK22" s="20">
        <f>BK7</f>
        <v>253</v>
      </c>
      <c r="BL22" s="42">
        <f>BM19</f>
        <v>108.212187342312</v>
      </c>
      <c r="BM22" s="38">
        <f>BK22/BL22</f>
        <v>2.33799913127784</v>
      </c>
      <c r="BN22" s="20">
        <f>BN7</f>
        <v>253</v>
      </c>
      <c r="BO22" s="42">
        <f>BP19</f>
        <v>111.087728793767</v>
      </c>
      <c r="BP22" s="96">
        <f>BN22/BO22</f>
        <v>2.27747927468831</v>
      </c>
      <c r="BQ22" s="20">
        <f>BQ7</f>
        <v>311</v>
      </c>
      <c r="BR22" s="42">
        <f>BS19</f>
        <v>87335.2532413793</v>
      </c>
      <c r="BS22" s="96">
        <f>BQ22/BR22</f>
        <v>0.00356099041861653</v>
      </c>
      <c r="BT22" s="20">
        <f>BT7</f>
        <v>477</v>
      </c>
      <c r="BU22" s="42">
        <f>BV19</f>
        <v>141.559084816602</v>
      </c>
      <c r="BV22" s="96">
        <f>BT22/BU22</f>
        <v>3.36961771558485</v>
      </c>
      <c r="BW22" s="20">
        <f>BW7</f>
        <v>284</v>
      </c>
      <c r="BX22" s="42">
        <f>BY19</f>
        <v>108.987433862069</v>
      </c>
      <c r="BY22" s="96">
        <f>BW22/BX22</f>
        <v>2.60580499912881</v>
      </c>
      <c r="BZ22" s="20">
        <f>BZ7</f>
        <v>210</v>
      </c>
      <c r="CA22" s="42">
        <f>CB19</f>
        <v>86.4520638194281</v>
      </c>
      <c r="CB22" s="38">
        <f>BZ22/CA22</f>
        <v>2.42909180790207</v>
      </c>
      <c r="CC22" s="20">
        <f>CC7</f>
        <v>878</v>
      </c>
      <c r="CD22" s="42">
        <f>CE19</f>
        <v>118.289820235294</v>
      </c>
      <c r="CE22" s="38">
        <f>CC22/CD22</f>
        <v>7.42244766501075</v>
      </c>
      <c r="CF22" s="20">
        <f>CF7</f>
        <v>456</v>
      </c>
      <c r="CG22" s="42">
        <f>CH19</f>
        <v>67.0308981333333</v>
      </c>
      <c r="CH22" s="38">
        <f>CF22/CG22</f>
        <v>6.80283291285991</v>
      </c>
      <c r="CI22" s="20">
        <f>CI7</f>
        <v>551</v>
      </c>
      <c r="CJ22" s="42">
        <f>CK19</f>
        <v>108.254449410809</v>
      </c>
      <c r="CK22" s="38">
        <f>CI22/CJ22</f>
        <v>5.08986007502603</v>
      </c>
      <c r="CL22" s="20">
        <f>CL7</f>
        <v>882</v>
      </c>
      <c r="CM22" s="42">
        <f>CN19</f>
        <v>114.15169535008</v>
      </c>
      <c r="CN22" s="38">
        <f>CL22/CM22</f>
        <v>7.7265606725777</v>
      </c>
      <c r="CO22" s="20">
        <f>CO7</f>
        <v>1001</v>
      </c>
      <c r="CP22" s="42">
        <f>CQ19</f>
        <v>116.346637256779</v>
      </c>
      <c r="CQ22" s="38">
        <f>CO22/CP22</f>
        <v>8.60360061624108</v>
      </c>
      <c r="CR22" s="20">
        <f>CR7</f>
        <v>305</v>
      </c>
      <c r="CS22" s="42">
        <f>CT19</f>
        <v>65.6575146899191</v>
      </c>
      <c r="CT22" s="38">
        <f>CR22/CS22</f>
        <v>4.64531746960609</v>
      </c>
      <c r="CU22" s="20">
        <f>CU7</f>
        <v>391</v>
      </c>
      <c r="CV22" s="42">
        <f>CW19</f>
        <v>76.4939964218456</v>
      </c>
      <c r="CW22" s="38">
        <f>CU22/CV22</f>
        <v>5.11151225311502</v>
      </c>
      <c r="CX22" s="20">
        <f>CX7</f>
        <v>521</v>
      </c>
      <c r="CY22" s="42">
        <f>CZ19</f>
        <v>107.261476474599</v>
      </c>
      <c r="CZ22" s="38">
        <f>CX22/CY22</f>
        <v>4.85728909505901</v>
      </c>
      <c r="DA22" s="20">
        <f>DA7</f>
        <v>597</v>
      </c>
      <c r="DB22" s="42">
        <f>DC19</f>
        <v>92.0243202</v>
      </c>
      <c r="DC22" s="38">
        <f>DA22/DB22</f>
        <v>6.48741548649875</v>
      </c>
      <c r="DD22" s="20">
        <f>DD7</f>
        <v>254</v>
      </c>
      <c r="DE22" s="42">
        <f>DF19</f>
        <v>39.6084313189247</v>
      </c>
      <c r="DF22" s="38">
        <f>DD22/DE22</f>
        <v>6.41277605656249</v>
      </c>
      <c r="DG22" s="20">
        <f>DG7</f>
        <v>254</v>
      </c>
      <c r="DH22" s="42">
        <f>DI19</f>
        <v>103.540357185185</v>
      </c>
      <c r="DI22" s="96">
        <f>DG22/DH22</f>
        <v>2.45314973702199</v>
      </c>
      <c r="DJ22" s="20">
        <f>DJ7</f>
        <v>197</v>
      </c>
      <c r="DK22" s="42">
        <f>DL19</f>
        <v>49.9212436428571</v>
      </c>
      <c r="DL22" s="38">
        <f>DJ22/DK22</f>
        <v>3.94621579160493</v>
      </c>
      <c r="DM22" s="20">
        <f>DM7</f>
        <v>468</v>
      </c>
      <c r="DN22" s="42">
        <f>DO19</f>
        <v>110.14959417596</v>
      </c>
      <c r="DO22" s="38">
        <f>DM22/DN22</f>
        <v>4.24876735589589</v>
      </c>
      <c r="DP22" s="20">
        <f>DP7</f>
        <v>494</v>
      </c>
      <c r="DQ22" s="42">
        <f>DR19</f>
        <v>114.714166471907</v>
      </c>
      <c r="DR22" s="96">
        <f>DP22/DQ22</f>
        <v>4.30635565940304</v>
      </c>
      <c r="DS22" s="20">
        <f>DS7</f>
        <v>211</v>
      </c>
      <c r="DT22" s="42">
        <f>DU19</f>
        <v>49.538043515489</v>
      </c>
      <c r="DU22" s="38">
        <f>DS22/DT22</f>
        <v>4.25935271210352</v>
      </c>
      <c r="DV22" s="20">
        <f>DV7</f>
        <v>533</v>
      </c>
      <c r="DW22" s="42">
        <f>DX19</f>
        <v>112.83779561957</v>
      </c>
      <c r="DX22" s="38">
        <f>DV22/DW22</f>
        <v>4.72359458170377</v>
      </c>
      <c r="DY22" s="20">
        <f>DY7</f>
        <v>247</v>
      </c>
      <c r="DZ22" s="42">
        <f>EA19</f>
        <v>53.2246478787879</v>
      </c>
      <c r="EA22" s="38">
        <f>DY22/DZ22</f>
        <v>4.64070707546079</v>
      </c>
      <c r="EB22" s="20">
        <f>EB7</f>
        <v>411</v>
      </c>
      <c r="EC22" s="42">
        <f>ED19</f>
        <v>113.988675242021</v>
      </c>
      <c r="ED22" s="96">
        <f>EB22/EC22</f>
        <v>3.60562134025475</v>
      </c>
      <c r="EE22" s="20">
        <f>EE7</f>
        <v>212</v>
      </c>
      <c r="EF22" s="42">
        <f>EG19</f>
        <v>61.2936104888889</v>
      </c>
      <c r="EG22" s="38">
        <f>EE22/EF22</f>
        <v>3.45876182377004</v>
      </c>
      <c r="EH22" s="20">
        <f>EH7</f>
        <v>416</v>
      </c>
      <c r="EI22" s="42">
        <f>EJ19</f>
        <v>257.384775715499</v>
      </c>
      <c r="EJ22" s="38">
        <f>EH22/EI22</f>
        <v>1.61625721196434</v>
      </c>
      <c r="EK22" s="20">
        <f>EK7</f>
        <v>265</v>
      </c>
      <c r="EL22" s="42">
        <f>EM19</f>
        <v>76.6170131111111</v>
      </c>
      <c r="EM22" s="38">
        <f>EK22/EL22</f>
        <v>3.45876182377004</v>
      </c>
      <c r="EN22" s="20">
        <f>EN7</f>
        <v>600</v>
      </c>
      <c r="EO22" s="42">
        <f>EP19</f>
        <v>105.507224210526</v>
      </c>
      <c r="EP22" s="38">
        <f>EN22/EO22</f>
        <v>5.68681438157046</v>
      </c>
      <c r="EQ22" s="20">
        <f>EQ7</f>
        <v>851</v>
      </c>
      <c r="ER22" s="42">
        <f>ES19</f>
        <v>119.549894953271</v>
      </c>
      <c r="ES22" s="38">
        <f>EQ22/ER22</f>
        <v>7.11836677340983</v>
      </c>
      <c r="ET22" s="20">
        <f>ET7</f>
        <v>614</v>
      </c>
      <c r="EU22" s="42">
        <f>EV19</f>
        <v>114.550700571429</v>
      </c>
      <c r="EV22" s="38">
        <f>ET22/EU22</f>
        <v>5.36007197631356</v>
      </c>
      <c r="EW22" s="20">
        <f>EW7</f>
        <v>373</v>
      </c>
      <c r="EX22" s="42">
        <f>EY19</f>
        <v>77.9598237442922</v>
      </c>
      <c r="EY22" s="38">
        <f>EW22/EX22</f>
        <v>4.7845156913571</v>
      </c>
      <c r="EZ22" s="20">
        <f>EZ7</f>
        <v>208</v>
      </c>
      <c r="FA22" s="42">
        <f>FB19</f>
        <v>90.0407774</v>
      </c>
      <c r="FB22" s="96">
        <f>EZ22/FA22</f>
        <v>2.3100644619712</v>
      </c>
      <c r="FC22" s="20">
        <f>FC7</f>
        <v>208</v>
      </c>
      <c r="FD22" s="42">
        <f>FE19</f>
        <v>109.140336242424</v>
      </c>
      <c r="FE22" s="38">
        <f>FC22/FD22</f>
        <v>1.90580318112624</v>
      </c>
      <c r="FF22" s="20">
        <f>FF7</f>
        <v>418</v>
      </c>
      <c r="FG22" s="42">
        <f>FH19</f>
        <v>180081.5548</v>
      </c>
      <c r="FH22" s="38">
        <f>FF22/FG22</f>
        <v>0.0023211705411153</v>
      </c>
      <c r="FI22" s="20">
        <f>FI7</f>
        <v>349</v>
      </c>
      <c r="FJ22" s="42">
        <f>FK19</f>
        <v>120.971203037629</v>
      </c>
      <c r="FK22" s="38">
        <f>FI22/FJ22</f>
        <v>2.88498412214221</v>
      </c>
      <c r="FL22" s="20">
        <f>FL7</f>
        <v>387</v>
      </c>
      <c r="FM22" s="42">
        <f>FN19</f>
        <v>67.3912756363636</v>
      </c>
      <c r="FN22" s="38">
        <f>FL22/FM22</f>
        <v>5.74258309173745</v>
      </c>
      <c r="FO22" s="20">
        <f>FO7</f>
        <v>716</v>
      </c>
      <c r="FP22" s="42">
        <f>FQ19</f>
        <v>130.667199697103</v>
      </c>
      <c r="FQ22" s="38">
        <f>FO22/FP22</f>
        <v>5.47956948384708</v>
      </c>
      <c r="FR22" s="20">
        <f>FR7</f>
        <v>589</v>
      </c>
      <c r="FS22" s="42">
        <f>FT19</f>
        <v>106.635586442168</v>
      </c>
      <c r="FT22" s="38">
        <f>FR22/FS22</f>
        <v>5.52348441689714</v>
      </c>
      <c r="FU22" s="20">
        <f>FU7</f>
        <v>388</v>
      </c>
      <c r="FV22" s="42">
        <f>FW19</f>
        <v>98.0211824217515</v>
      </c>
      <c r="FW22" s="38">
        <f>FU22/FV22</f>
        <v>3.95832809209105</v>
      </c>
      <c r="FX22" s="20">
        <f>FX7</f>
        <v>670</v>
      </c>
      <c r="FY22" s="42">
        <f>FZ19</f>
        <v>113.974473829223</v>
      </c>
      <c r="FZ22" s="38">
        <f>FX22/FY22</f>
        <v>5.87850926167829</v>
      </c>
      <c r="GA22" s="20">
        <f>GA7</f>
        <v>255</v>
      </c>
      <c r="GB22" s="42">
        <f>GC19</f>
        <v>41.9995936060688</v>
      </c>
      <c r="GC22" s="38">
        <f>GA22/GB22</f>
        <v>6.07148731941905</v>
      </c>
      <c r="GD22" s="20">
        <f>GD7</f>
        <v>466</v>
      </c>
      <c r="GE22" s="42">
        <f>GF19</f>
        <v>80.4259866666667</v>
      </c>
      <c r="GF22" s="38">
        <f>GD22/GE22</f>
        <v>5.79414713221216</v>
      </c>
      <c r="GG22" s="20">
        <f>GG7</f>
        <v>994</v>
      </c>
      <c r="GH22" s="42">
        <f>GI19</f>
        <v>164.581754798081</v>
      </c>
      <c r="GI22" s="38">
        <f>GG22/GH22</f>
        <v>6.03955159683102</v>
      </c>
      <c r="GJ22" s="20">
        <f>GJ7</f>
        <v>570</v>
      </c>
      <c r="GK22" s="42">
        <f>GL19</f>
        <v>104.099765</v>
      </c>
      <c r="GL22" s="38">
        <f>GJ22/GK22</f>
        <v>5.47551668344304</v>
      </c>
      <c r="GM22" s="20">
        <f>GM7</f>
        <v>370</v>
      </c>
      <c r="GN22" s="42">
        <f>GO19</f>
        <v>67.056472</v>
      </c>
      <c r="GO22" s="38">
        <f>GM22/GN22</f>
        <v>5.51773734830547</v>
      </c>
      <c r="GP22" s="20">
        <f>GP7</f>
        <v>422</v>
      </c>
      <c r="GQ22" s="42">
        <f>GR19</f>
        <v>67.056472</v>
      </c>
      <c r="GR22" s="38">
        <f>GP22/GQ22</f>
        <v>6.29320313779705</v>
      </c>
      <c r="GS22" s="20">
        <f>GS7</f>
        <v>550</v>
      </c>
      <c r="GT22" s="42">
        <f>GU19</f>
        <v>107.569757166667</v>
      </c>
      <c r="GU22" s="38">
        <f>GS22/GT22</f>
        <v>5.11296124939503</v>
      </c>
      <c r="GV22" s="20">
        <f>GV7</f>
        <v>665</v>
      </c>
      <c r="GW22" s="42">
        <f>GX19</f>
        <v>131.04945035533</v>
      </c>
      <c r="GX22" s="38">
        <f>GV22/GW22</f>
        <v>5.07442036724997</v>
      </c>
      <c r="GY22" s="20">
        <f>GY7</f>
        <v>265</v>
      </c>
      <c r="GZ22" s="42">
        <f>HA19</f>
        <v>51.63348344</v>
      </c>
      <c r="HA22" s="38">
        <f>GY22/GZ22</f>
        <v>5.13232852685486</v>
      </c>
      <c r="HB22" s="20">
        <f>HB7</f>
        <v>385</v>
      </c>
      <c r="HC22" s="42">
        <f>HD19</f>
        <v>61.2957975</v>
      </c>
      <c r="HD22" s="38">
        <f>HB22/HC22</f>
        <v>6.28101787891739</v>
      </c>
      <c r="HE22" s="20">
        <f>HE7</f>
        <v>560</v>
      </c>
      <c r="HF22" s="42">
        <f>HG19</f>
        <v>45.7016939864228</v>
      </c>
      <c r="HG22" s="38">
        <f>HE22/HF22</f>
        <v>12.2533751192323</v>
      </c>
      <c r="HH22" s="20">
        <f>HH7</f>
        <v>422</v>
      </c>
      <c r="HI22" s="42">
        <f>HJ19</f>
        <v>100.3204696</v>
      </c>
      <c r="HJ22" s="96">
        <f>HH22/HI22</f>
        <v>4.20651938415567</v>
      </c>
      <c r="HK22" s="20">
        <f>HK7</f>
        <v>531</v>
      </c>
      <c r="HL22" s="42">
        <f>HM19</f>
        <v>138.670600809129</v>
      </c>
      <c r="HM22" s="38">
        <f>HK22/HL22</f>
        <v>3.82921828348379</v>
      </c>
      <c r="HN22" s="20">
        <f>HN7</f>
        <v>600</v>
      </c>
      <c r="HO22" s="42">
        <f>HP19</f>
        <v>114.864750169262</v>
      </c>
      <c r="HP22" s="38">
        <f>HN22/HO22</f>
        <v>5.22353462760206</v>
      </c>
      <c r="HQ22" s="20">
        <f>HQ7</f>
        <v>554</v>
      </c>
      <c r="HR22" s="42">
        <f>HS19</f>
        <v>111.1421208</v>
      </c>
      <c r="HS22" s="38">
        <f>HQ22/HR22</f>
        <v>4.98460885947032</v>
      </c>
      <c r="HT22" s="20">
        <f>HT7</f>
        <v>659</v>
      </c>
      <c r="HU22" s="42">
        <f>HV19</f>
        <v>138.927651</v>
      </c>
      <c r="HV22" s="38">
        <f>HT22/HU22</f>
        <v>4.74347615652121</v>
      </c>
      <c r="HW22" s="20">
        <f>HW7</f>
        <v>293</v>
      </c>
      <c r="HX22" s="42">
        <f>HY19</f>
        <v>119.324359161829</v>
      </c>
      <c r="HY22" s="38">
        <f>HW22/HX22</f>
        <v>2.45549192183491</v>
      </c>
      <c r="HZ22" s="20">
        <f>HZ7</f>
        <v>682</v>
      </c>
      <c r="IA22" s="42">
        <f>IB19</f>
        <v>120.844313583052</v>
      </c>
      <c r="IB22" s="38">
        <f>HZ22/IA22</f>
        <v>5.64362508899756</v>
      </c>
      <c r="IC22" s="20">
        <f>IC7</f>
        <v>1906</v>
      </c>
      <c r="ID22" s="42">
        <f>IE19</f>
        <v>137.965132759735</v>
      </c>
      <c r="IE22" s="38">
        <f>IC22/ID22</f>
        <v>13.8150847382526</v>
      </c>
      <c r="IF22" s="20">
        <f>IF7</f>
        <v>513</v>
      </c>
      <c r="IG22" s="42">
        <f>IH19</f>
        <v>36.989611</v>
      </c>
      <c r="IH22" s="38">
        <f>IF22/IG22</f>
        <v>13.8687589874898</v>
      </c>
      <c r="II22" s="20">
        <f>II7</f>
        <v>322</v>
      </c>
      <c r="IJ22" s="42">
        <f>IK19</f>
        <v>47.7929737517039</v>
      </c>
      <c r="IK22" s="38">
        <f>II22/IJ22</f>
        <v>6.73739202069468</v>
      </c>
      <c r="IL22" s="20">
        <f>IL7</f>
        <v>468</v>
      </c>
      <c r="IM22" s="42">
        <f>IN19</f>
        <v>36.2782667456513</v>
      </c>
      <c r="IN22" s="38">
        <f>IL22/IM22</f>
        <v>12.9002855423378</v>
      </c>
      <c r="IO22" s="20">
        <f>IO7</f>
        <v>788</v>
      </c>
      <c r="IP22" s="42">
        <f>IQ19</f>
        <v>73.8194592857143</v>
      </c>
      <c r="IQ22" s="38">
        <f>IO22/IP22</f>
        <v>10.6746921153959</v>
      </c>
      <c r="IR22" s="20">
        <f>IR7</f>
        <v>608</v>
      </c>
      <c r="IS22" s="42">
        <f>IT19</f>
        <v>60.7924958823529</v>
      </c>
      <c r="IT22" s="38">
        <f>IR22/IS22</f>
        <v>10.0012343822273</v>
      </c>
      <c r="IU22" s="20">
        <f>IU7</f>
        <v>346</v>
      </c>
      <c r="IV22" s="42">
        <f>IW19</f>
        <v>55.6527964458805</v>
      </c>
      <c r="IW22" s="38">
        <f>IU22/IV22</f>
        <v>6.21711795446735</v>
      </c>
      <c r="IX22" s="20">
        <f>IX7</f>
        <v>503</v>
      </c>
      <c r="IY22" s="42">
        <f>IZ19</f>
        <v>51.6736215</v>
      </c>
      <c r="IZ22" s="38">
        <f>IX22/IY22</f>
        <v>9.73417355700529</v>
      </c>
      <c r="JA22" s="20">
        <f>JA7</f>
        <v>517</v>
      </c>
      <c r="JB22" s="42">
        <f>JC19</f>
        <v>104.275353834691</v>
      </c>
      <c r="JC22" s="38">
        <f>JA22/JB22</f>
        <v>4.95802681062688</v>
      </c>
      <c r="JD22" s="20">
        <f>JD7</f>
        <v>660</v>
      </c>
      <c r="JE22" s="42">
        <f>JF19</f>
        <v>93.1448643333333</v>
      </c>
      <c r="JF22" s="38">
        <f>JD22/JE22</f>
        <v>7.08573687582053</v>
      </c>
      <c r="JG22" s="20">
        <f>JG7</f>
        <v>756</v>
      </c>
      <c r="JH22" s="42">
        <f>JI19</f>
        <v>111.7738372</v>
      </c>
      <c r="JI22" s="38">
        <f>JG22/JH22</f>
        <v>6.76365792691959</v>
      </c>
      <c r="JJ22" s="20">
        <f>JJ7</f>
        <v>828</v>
      </c>
      <c r="JK22" s="42">
        <f>JL19</f>
        <v>139.7172965</v>
      </c>
      <c r="JL22" s="38">
        <f>JJ22/JK22</f>
        <v>5.92625265977717</v>
      </c>
      <c r="JM22" s="20">
        <f>JM7</f>
        <v>619</v>
      </c>
      <c r="JN22" s="42">
        <f>JO19</f>
        <v>127.015724090909</v>
      </c>
      <c r="JO22" s="38">
        <f>JM22/JN22</f>
        <v>4.8734123623699</v>
      </c>
      <c r="JP22" s="20">
        <f>JP7</f>
        <v>322</v>
      </c>
      <c r="JQ22" s="42">
        <f>JR19</f>
        <v>105.846436742424</v>
      </c>
      <c r="JR22" s="38">
        <f>JP22/JQ22</f>
        <v>3.04214303201895</v>
      </c>
    </row>
    <row r="23" ht="4" customHeight="1" spans="1:278">
      <c r="A23" s="2"/>
      <c r="B23" s="2"/>
      <c r="C23" s="2" t="s">
        <v>185</v>
      </c>
      <c r="D23" s="2"/>
      <c r="E23" s="2"/>
      <c r="F23" s="20"/>
      <c r="G23" s="42"/>
      <c r="H23" s="96"/>
      <c r="I23" s="20"/>
      <c r="J23" s="42"/>
      <c r="K23" s="96"/>
      <c r="L23" s="20"/>
      <c r="M23" s="42"/>
      <c r="N23" s="96"/>
      <c r="O23" s="20"/>
      <c r="P23" s="42"/>
      <c r="Q23" s="96"/>
      <c r="R23" s="20"/>
      <c r="S23" s="42"/>
      <c r="T23" s="96"/>
      <c r="U23" s="20"/>
      <c r="V23" s="42"/>
      <c r="W23" s="38"/>
      <c r="X23" s="20"/>
      <c r="Y23" s="42"/>
      <c r="Z23" s="38"/>
      <c r="AA23" s="20"/>
      <c r="AB23" s="42"/>
      <c r="AC23" s="38"/>
      <c r="AD23" s="20"/>
      <c r="AE23" s="42"/>
      <c r="AF23" s="96"/>
      <c r="AG23" s="20"/>
      <c r="AH23" s="42"/>
      <c r="AI23" s="38"/>
      <c r="AJ23" s="20"/>
      <c r="AK23" s="42"/>
      <c r="AL23" s="96"/>
      <c r="AM23" s="20"/>
      <c r="AN23" s="42"/>
      <c r="AO23" s="38"/>
      <c r="AP23" s="20"/>
      <c r="AQ23" s="42"/>
      <c r="AR23" s="96"/>
      <c r="AS23" s="20"/>
      <c r="AT23" s="42"/>
      <c r="AU23" s="38"/>
      <c r="AV23" s="20"/>
      <c r="AW23" s="42"/>
      <c r="AX23" s="38"/>
      <c r="AY23" s="20"/>
      <c r="AZ23" s="42"/>
      <c r="BA23" s="38"/>
      <c r="BB23" s="20"/>
      <c r="BC23" s="42"/>
      <c r="BD23" s="38"/>
      <c r="BE23" s="20"/>
      <c r="BF23" s="42"/>
      <c r="BG23" s="38"/>
      <c r="BH23" s="20"/>
      <c r="BI23" s="42"/>
      <c r="BJ23" s="96"/>
      <c r="BK23" s="20"/>
      <c r="BL23" s="42"/>
      <c r="BM23" s="38"/>
      <c r="BN23" s="20"/>
      <c r="BO23" s="42"/>
      <c r="BP23" s="96"/>
      <c r="BQ23" s="20"/>
      <c r="BR23" s="42"/>
      <c r="BS23" s="96"/>
      <c r="BT23" s="20"/>
      <c r="BU23" s="42"/>
      <c r="BV23" s="96"/>
      <c r="BW23" s="20"/>
      <c r="BX23" s="42"/>
      <c r="BY23" s="96"/>
      <c r="BZ23" s="20"/>
      <c r="CA23" s="42"/>
      <c r="CB23" s="38"/>
      <c r="CC23" s="20"/>
      <c r="CD23" s="42"/>
      <c r="CE23" s="38"/>
      <c r="CF23" s="20"/>
      <c r="CG23" s="42"/>
      <c r="CH23" s="38"/>
      <c r="CI23" s="20"/>
      <c r="CJ23" s="42"/>
      <c r="CK23" s="38"/>
      <c r="CL23" s="20"/>
      <c r="CM23" s="42"/>
      <c r="CN23" s="38"/>
      <c r="CO23" s="20"/>
      <c r="CP23" s="42"/>
      <c r="CQ23" s="38"/>
      <c r="CR23" s="20"/>
      <c r="CS23" s="42"/>
      <c r="CT23" s="38"/>
      <c r="CU23" s="20"/>
      <c r="CV23" s="42"/>
      <c r="CW23" s="38"/>
      <c r="CX23" s="20"/>
      <c r="CY23" s="42"/>
      <c r="CZ23" s="38"/>
      <c r="DA23" s="20"/>
      <c r="DB23" s="42"/>
      <c r="DC23" s="38"/>
      <c r="DD23" s="20"/>
      <c r="DE23" s="42"/>
      <c r="DF23" s="38"/>
      <c r="DG23" s="20"/>
      <c r="DH23" s="42"/>
      <c r="DI23" s="96"/>
      <c r="DJ23" s="20"/>
      <c r="DK23" s="42"/>
      <c r="DL23" s="38"/>
      <c r="DM23" s="20"/>
      <c r="DN23" s="42"/>
      <c r="DO23" s="38"/>
      <c r="DP23" s="20"/>
      <c r="DQ23" s="42"/>
      <c r="DR23" s="96"/>
      <c r="DS23" s="20"/>
      <c r="DT23" s="42"/>
      <c r="DU23" s="38"/>
      <c r="DV23" s="20"/>
      <c r="DW23" s="42"/>
      <c r="DX23" s="38"/>
      <c r="DY23" s="20"/>
      <c r="DZ23" s="42"/>
      <c r="EA23" s="38"/>
      <c r="EB23" s="20"/>
      <c r="EC23" s="42"/>
      <c r="ED23" s="96"/>
      <c r="EE23" s="20"/>
      <c r="EF23" s="42"/>
      <c r="EG23" s="38"/>
      <c r="EH23" s="20"/>
      <c r="EI23" s="42"/>
      <c r="EJ23" s="38"/>
      <c r="EK23" s="20"/>
      <c r="EL23" s="42"/>
      <c r="EM23" s="38"/>
      <c r="EN23" s="20"/>
      <c r="EO23" s="42"/>
      <c r="EP23" s="38"/>
      <c r="EQ23" s="20"/>
      <c r="ER23" s="42"/>
      <c r="ES23" s="38"/>
      <c r="ET23" s="20"/>
      <c r="EU23" s="42"/>
      <c r="EV23" s="38"/>
      <c r="EW23" s="20"/>
      <c r="EX23" s="42"/>
      <c r="EY23" s="38"/>
      <c r="EZ23" s="20"/>
      <c r="FA23" s="42"/>
      <c r="FB23" s="96"/>
      <c r="FC23" s="20"/>
      <c r="FD23" s="42"/>
      <c r="FE23" s="38"/>
      <c r="FF23" s="20"/>
      <c r="FG23" s="42"/>
      <c r="FH23" s="38"/>
      <c r="FI23" s="20"/>
      <c r="FJ23" s="42"/>
      <c r="FK23" s="38"/>
      <c r="FL23" s="20"/>
      <c r="FM23" s="42"/>
      <c r="FN23" s="38"/>
      <c r="FO23" s="20"/>
      <c r="FP23" s="42"/>
      <c r="FQ23" s="38"/>
      <c r="FR23" s="20"/>
      <c r="FS23" s="42"/>
      <c r="FT23" s="38"/>
      <c r="FU23" s="20"/>
      <c r="FV23" s="42"/>
      <c r="FW23" s="38"/>
      <c r="FX23" s="20"/>
      <c r="FY23" s="42"/>
      <c r="FZ23" s="38"/>
      <c r="GA23" s="20"/>
      <c r="GB23" s="42"/>
      <c r="GC23" s="38"/>
      <c r="GD23" s="20"/>
      <c r="GE23" s="42"/>
      <c r="GF23" s="38"/>
      <c r="GG23" s="20"/>
      <c r="GH23" s="42"/>
      <c r="GI23" s="38"/>
      <c r="GJ23" s="20"/>
      <c r="GK23" s="42"/>
      <c r="GL23" s="38"/>
      <c r="GM23" s="20"/>
      <c r="GN23" s="42"/>
      <c r="GO23" s="38"/>
      <c r="GP23" s="20"/>
      <c r="GQ23" s="42"/>
      <c r="GR23" s="38"/>
      <c r="GS23" s="20"/>
      <c r="GT23" s="42"/>
      <c r="GU23" s="38"/>
      <c r="GV23" s="20"/>
      <c r="GW23" s="42"/>
      <c r="GX23" s="38"/>
      <c r="GY23" s="20"/>
      <c r="GZ23" s="42"/>
      <c r="HA23" s="38"/>
      <c r="HB23" s="20"/>
      <c r="HC23" s="42"/>
      <c r="HD23" s="38"/>
      <c r="HE23" s="20"/>
      <c r="HF23" s="42"/>
      <c r="HG23" s="38"/>
      <c r="HH23" s="20"/>
      <c r="HI23" s="42"/>
      <c r="HJ23" s="96"/>
      <c r="HK23" s="20"/>
      <c r="HL23" s="42"/>
      <c r="HM23" s="38"/>
      <c r="HN23" s="20"/>
      <c r="HO23" s="42"/>
      <c r="HP23" s="38"/>
      <c r="HQ23" s="20"/>
      <c r="HR23" s="42"/>
      <c r="HS23" s="38"/>
      <c r="HT23" s="20"/>
      <c r="HU23" s="42"/>
      <c r="HV23" s="38"/>
      <c r="HW23" s="20"/>
      <c r="HX23" s="42"/>
      <c r="HY23" s="38"/>
      <c r="HZ23" s="20"/>
      <c r="IA23" s="42"/>
      <c r="IB23" s="38"/>
      <c r="IC23" s="20"/>
      <c r="ID23" s="42"/>
      <c r="IE23" s="38"/>
      <c r="IF23" s="20"/>
      <c r="IG23" s="42"/>
      <c r="IH23" s="38"/>
      <c r="II23" s="20"/>
      <c r="IJ23" s="42"/>
      <c r="IK23" s="38"/>
      <c r="IL23" s="20"/>
      <c r="IM23" s="42"/>
      <c r="IN23" s="38"/>
      <c r="IO23" s="20"/>
      <c r="IP23" s="42"/>
      <c r="IQ23" s="38"/>
      <c r="IR23" s="20"/>
      <c r="IS23" s="42"/>
      <c r="IT23" s="38"/>
      <c r="IU23" s="20"/>
      <c r="IV23" s="42"/>
      <c r="IW23" s="38"/>
      <c r="IX23" s="20"/>
      <c r="IY23" s="42"/>
      <c r="IZ23" s="38"/>
      <c r="JA23" s="20"/>
      <c r="JB23" s="42"/>
      <c r="JC23" s="38"/>
      <c r="JD23" s="20"/>
      <c r="JE23" s="42"/>
      <c r="JF23" s="38"/>
      <c r="JG23" s="20"/>
      <c r="JH23" s="42"/>
      <c r="JI23" s="38"/>
      <c r="JJ23" s="20"/>
      <c r="JK23" s="42"/>
      <c r="JL23" s="38"/>
      <c r="JM23" s="20"/>
      <c r="JN23" s="42"/>
      <c r="JO23" s="38"/>
      <c r="JP23" s="20"/>
      <c r="JQ23" s="42"/>
      <c r="JR23" s="38"/>
    </row>
    <row r="24" hidden="1" spans="1:278">
      <c r="A24" s="2"/>
      <c r="B24" s="2"/>
      <c r="C24" s="2"/>
      <c r="D24" s="2"/>
      <c r="E24" s="2"/>
      <c r="F24" s="20"/>
      <c r="G24" s="2"/>
      <c r="H24" s="85"/>
      <c r="I24" s="20"/>
      <c r="J24" s="2"/>
      <c r="K24" s="85"/>
      <c r="L24" s="20"/>
      <c r="M24" s="2"/>
      <c r="N24" s="85"/>
      <c r="O24" s="20"/>
      <c r="P24" s="2"/>
      <c r="Q24" s="85"/>
      <c r="R24" s="20"/>
      <c r="S24" s="2"/>
      <c r="T24" s="85"/>
      <c r="U24" s="20"/>
      <c r="V24" s="2"/>
      <c r="W24" s="85"/>
      <c r="X24" s="20"/>
      <c r="Y24" s="2"/>
      <c r="Z24" s="85"/>
      <c r="AA24" s="20"/>
      <c r="AB24" s="2"/>
      <c r="AC24" s="85"/>
      <c r="AD24" s="20"/>
      <c r="AE24" s="2"/>
      <c r="AF24" s="85"/>
      <c r="AG24" s="20"/>
      <c r="AH24" s="2"/>
      <c r="AI24" s="85"/>
      <c r="AJ24" s="20"/>
      <c r="AK24" s="2"/>
      <c r="AL24" s="85"/>
      <c r="AM24" s="20"/>
      <c r="AN24" s="2"/>
      <c r="AO24" s="85"/>
      <c r="AP24" s="20"/>
      <c r="AQ24" s="2"/>
      <c r="AR24" s="85"/>
      <c r="AS24" s="20"/>
      <c r="AT24" s="2"/>
      <c r="AU24" s="85"/>
      <c r="AV24" s="20"/>
      <c r="AW24" s="2"/>
      <c r="AX24" s="85"/>
      <c r="AY24" s="20"/>
      <c r="AZ24" s="2"/>
      <c r="BA24" s="85"/>
      <c r="BB24" s="20"/>
      <c r="BC24" s="2"/>
      <c r="BD24" s="85"/>
      <c r="BE24" s="20"/>
      <c r="BF24" s="2"/>
      <c r="BG24" s="85"/>
      <c r="BH24" s="20"/>
      <c r="BI24" s="2"/>
      <c r="BJ24" s="85"/>
      <c r="BK24" s="20"/>
      <c r="BL24" s="2"/>
      <c r="BM24" s="85"/>
      <c r="BN24" s="20"/>
      <c r="BO24" s="2"/>
      <c r="BP24" s="85"/>
      <c r="BQ24" s="20"/>
      <c r="BR24" s="2"/>
      <c r="BS24" s="85"/>
      <c r="BT24" s="20"/>
      <c r="BU24" s="2"/>
      <c r="BV24" s="85"/>
      <c r="BW24" s="20"/>
      <c r="BX24" s="2"/>
      <c r="BY24" s="85"/>
      <c r="BZ24" s="20"/>
      <c r="CA24" s="2"/>
      <c r="CB24" s="85"/>
      <c r="CC24" s="20"/>
      <c r="CD24" s="2"/>
      <c r="CE24" s="85"/>
      <c r="CF24" s="20"/>
      <c r="CG24" s="2"/>
      <c r="CH24" s="85"/>
      <c r="CI24" s="20"/>
      <c r="CJ24" s="2"/>
      <c r="CK24" s="85"/>
      <c r="CL24" s="20"/>
      <c r="CM24" s="2"/>
      <c r="CN24" s="85"/>
      <c r="CO24" s="20"/>
      <c r="CP24" s="2"/>
      <c r="CQ24" s="85"/>
      <c r="CR24" s="20"/>
      <c r="CS24" s="2"/>
      <c r="CT24" s="85"/>
      <c r="CU24" s="20"/>
      <c r="CV24" s="2"/>
      <c r="CW24" s="85"/>
      <c r="CX24" s="20"/>
      <c r="CY24" s="2"/>
      <c r="CZ24" s="85"/>
      <c r="DA24" s="20"/>
      <c r="DB24" s="2"/>
      <c r="DC24" s="85"/>
      <c r="DD24" s="20"/>
      <c r="DE24" s="2"/>
      <c r="DF24" s="85"/>
      <c r="DG24" s="20"/>
      <c r="DH24" s="2"/>
      <c r="DI24" s="85"/>
      <c r="DJ24" s="20"/>
      <c r="DK24" s="2"/>
      <c r="DL24" s="85"/>
      <c r="DM24" s="20"/>
      <c r="DN24" s="2"/>
      <c r="DO24" s="85"/>
      <c r="DP24" s="20"/>
      <c r="DQ24" s="2"/>
      <c r="DR24" s="85"/>
      <c r="DS24" s="20"/>
      <c r="DT24" s="2"/>
      <c r="DU24" s="85"/>
      <c r="DV24" s="20"/>
      <c r="DW24" s="2"/>
      <c r="DX24" s="85"/>
      <c r="DY24" s="20"/>
      <c r="DZ24" s="2"/>
      <c r="EA24" s="85"/>
      <c r="EB24" s="20"/>
      <c r="EC24" s="2"/>
      <c r="ED24" s="85"/>
      <c r="EE24" s="20"/>
      <c r="EF24" s="2"/>
      <c r="EG24" s="85"/>
      <c r="EH24" s="20"/>
      <c r="EI24" s="2"/>
      <c r="EJ24" s="85"/>
      <c r="EK24" s="20"/>
      <c r="EL24" s="2"/>
      <c r="EM24" s="85"/>
      <c r="EN24" s="20"/>
      <c r="EO24" s="2"/>
      <c r="EP24" s="85"/>
      <c r="EQ24" s="20"/>
      <c r="ER24" s="2"/>
      <c r="ES24" s="85"/>
      <c r="ET24" s="20"/>
      <c r="EU24" s="2"/>
      <c r="EV24" s="85"/>
      <c r="EW24" s="20"/>
      <c r="EX24" s="2"/>
      <c r="EY24" s="85"/>
      <c r="EZ24" s="20"/>
      <c r="FA24" s="2"/>
      <c r="FB24" s="85"/>
      <c r="FC24" s="20"/>
      <c r="FD24" s="2"/>
      <c r="FE24" s="85"/>
      <c r="FF24" s="20"/>
      <c r="FG24" s="2"/>
      <c r="FH24" s="85"/>
      <c r="FI24" s="20"/>
      <c r="FJ24" s="2"/>
      <c r="FK24" s="85"/>
      <c r="FL24" s="20"/>
      <c r="FM24" s="2"/>
      <c r="FN24" s="85"/>
      <c r="FO24" s="20"/>
      <c r="FP24" s="2"/>
      <c r="FQ24" s="85"/>
      <c r="FR24" s="20"/>
      <c r="FS24" s="2"/>
      <c r="FT24" s="85"/>
      <c r="FU24" s="20"/>
      <c r="FV24" s="2"/>
      <c r="FW24" s="85"/>
      <c r="FX24" s="20"/>
      <c r="FY24" s="2"/>
      <c r="FZ24" s="85"/>
      <c r="GA24" s="20"/>
      <c r="GB24" s="2"/>
      <c r="GC24" s="85"/>
      <c r="GD24" s="20"/>
      <c r="GE24" s="2"/>
      <c r="GF24" s="85"/>
      <c r="GG24" s="20"/>
      <c r="GH24" s="2"/>
      <c r="GI24" s="85"/>
      <c r="GJ24" s="20"/>
      <c r="GK24" s="2"/>
      <c r="GL24" s="85"/>
      <c r="GM24" s="20"/>
      <c r="GN24" s="2"/>
      <c r="GO24" s="85"/>
      <c r="GP24" s="20"/>
      <c r="GQ24" s="2"/>
      <c r="GR24" s="85"/>
      <c r="GS24" s="20"/>
      <c r="GT24" s="2"/>
      <c r="GU24" s="85"/>
      <c r="GV24" s="20"/>
      <c r="GW24" s="2"/>
      <c r="GX24" s="85"/>
      <c r="GY24" s="20"/>
      <c r="GZ24" s="2"/>
      <c r="HA24" s="85"/>
      <c r="HB24" s="20"/>
      <c r="HC24" s="2"/>
      <c r="HD24" s="85"/>
      <c r="HE24" s="20"/>
      <c r="HF24" s="2"/>
      <c r="HG24" s="85"/>
      <c r="HH24" s="20"/>
      <c r="HI24" s="2"/>
      <c r="HJ24" s="85"/>
      <c r="HK24" s="20"/>
      <c r="HL24" s="2"/>
      <c r="HM24" s="85"/>
      <c r="HN24" s="20"/>
      <c r="HO24" s="2"/>
      <c r="HP24" s="85"/>
      <c r="HQ24" s="20"/>
      <c r="HR24" s="2"/>
      <c r="HS24" s="85"/>
      <c r="HT24" s="20"/>
      <c r="HU24" s="2"/>
      <c r="HV24" s="85"/>
      <c r="HW24" s="20"/>
      <c r="HX24" s="2"/>
      <c r="HY24" s="85"/>
      <c r="HZ24" s="20"/>
      <c r="IA24" s="2"/>
      <c r="IB24" s="85"/>
      <c r="IC24" s="20"/>
      <c r="ID24" s="2"/>
      <c r="IE24" s="85"/>
      <c r="IF24" s="20"/>
      <c r="IG24" s="2"/>
      <c r="IH24" s="85"/>
      <c r="II24" s="20"/>
      <c r="IJ24" s="2"/>
      <c r="IK24" s="85"/>
      <c r="IL24" s="20"/>
      <c r="IM24" s="2"/>
      <c r="IN24" s="85"/>
      <c r="IO24" s="20"/>
      <c r="IP24" s="2"/>
      <c r="IQ24" s="85"/>
      <c r="IR24" s="20"/>
      <c r="IS24" s="2"/>
      <c r="IT24" s="85"/>
      <c r="IU24" s="20"/>
      <c r="IV24" s="2"/>
      <c r="IW24" s="85"/>
      <c r="IX24" s="20"/>
      <c r="IY24" s="2"/>
      <c r="IZ24" s="85"/>
      <c r="JA24" s="20"/>
      <c r="JB24" s="2"/>
      <c r="JC24" s="85"/>
      <c r="JD24" s="20"/>
      <c r="JE24" s="2"/>
      <c r="JF24" s="85"/>
      <c r="JG24" s="20"/>
      <c r="JH24" s="2"/>
      <c r="JI24" s="85"/>
      <c r="JJ24" s="20"/>
      <c r="JK24" s="2"/>
      <c r="JL24" s="85"/>
      <c r="JM24" s="20"/>
      <c r="JN24" s="2"/>
      <c r="JO24" s="85"/>
      <c r="JP24" s="20"/>
      <c r="JQ24" s="2"/>
      <c r="JR24" s="85"/>
    </row>
    <row r="25" spans="1:278">
      <c r="A25" s="2">
        <v>8</v>
      </c>
      <c r="B25" s="2" t="s">
        <v>186</v>
      </c>
      <c r="C25" s="37" t="s">
        <v>187</v>
      </c>
      <c r="D25" s="41" t="s">
        <v>295</v>
      </c>
      <c r="E25" s="41" t="s">
        <v>237</v>
      </c>
      <c r="F25" s="42">
        <v>12</v>
      </c>
      <c r="G25" s="20">
        <f>F7</f>
        <v>520</v>
      </c>
      <c r="H25" s="96">
        <f>(F25/G25)*100</f>
        <v>2.30769230769231</v>
      </c>
      <c r="I25" s="42">
        <v>0</v>
      </c>
      <c r="J25" s="20">
        <f>I7</f>
        <v>197</v>
      </c>
      <c r="K25" s="38">
        <f>(I25/J25)*100</f>
        <v>0</v>
      </c>
      <c r="L25" s="42">
        <v>5</v>
      </c>
      <c r="M25" s="20">
        <f>L7</f>
        <v>860</v>
      </c>
      <c r="N25" s="38">
        <f>(L25/M25)*100</f>
        <v>0.581395348837209</v>
      </c>
      <c r="O25" s="42">
        <v>8.42</v>
      </c>
      <c r="P25" s="20">
        <f>O7</f>
        <v>603</v>
      </c>
      <c r="Q25" s="96">
        <f>(O25/P25)*100</f>
        <v>1.39635157545605</v>
      </c>
      <c r="R25" s="42">
        <v>10.52</v>
      </c>
      <c r="S25" s="20">
        <f>R7</f>
        <v>587</v>
      </c>
      <c r="T25" s="96">
        <f>(R25/S25)*100</f>
        <v>1.79216354344123</v>
      </c>
      <c r="U25" s="42">
        <v>5.26</v>
      </c>
      <c r="V25" s="20">
        <f>U7</f>
        <v>985</v>
      </c>
      <c r="W25" s="38">
        <f>(U25/V25)*100</f>
        <v>0.534010152284264</v>
      </c>
      <c r="X25" s="42">
        <v>0</v>
      </c>
      <c r="Y25" s="20">
        <f>X7</f>
        <v>333</v>
      </c>
      <c r="Z25" s="38">
        <f>(X25/Y25)*100</f>
        <v>0</v>
      </c>
      <c r="AA25" s="42">
        <v>0</v>
      </c>
      <c r="AB25" s="20">
        <f>AA7</f>
        <v>313</v>
      </c>
      <c r="AC25" s="38">
        <f>(AA25/AB25)*100</f>
        <v>0</v>
      </c>
      <c r="AD25" s="42">
        <v>5.26</v>
      </c>
      <c r="AE25" s="20">
        <f>AD7</f>
        <v>297</v>
      </c>
      <c r="AF25" s="96">
        <f>(AD25/AE25)*100</f>
        <v>1.77104377104377</v>
      </c>
      <c r="AG25" s="42">
        <v>0</v>
      </c>
      <c r="AH25" s="20">
        <f>AG7</f>
        <v>506</v>
      </c>
      <c r="AI25" s="38">
        <f>(AG25/AH25)*100</f>
        <v>0</v>
      </c>
      <c r="AJ25" s="42">
        <v>10.52</v>
      </c>
      <c r="AK25" s="20">
        <f>AJ7</f>
        <v>462</v>
      </c>
      <c r="AL25" s="96">
        <f>(AJ25/AK25)*100</f>
        <v>2.27705627705628</v>
      </c>
      <c r="AM25" s="42">
        <v>10.52</v>
      </c>
      <c r="AN25" s="20">
        <f>AM7</f>
        <v>492</v>
      </c>
      <c r="AO25" s="96">
        <f>(AM25/AN25)*100</f>
        <v>2.13821138211382</v>
      </c>
      <c r="AP25" s="42">
        <v>15.79</v>
      </c>
      <c r="AQ25" s="20">
        <f>AP7</f>
        <v>608</v>
      </c>
      <c r="AR25" s="96">
        <f>(AP25/AQ25)*100</f>
        <v>2.59703947368421</v>
      </c>
      <c r="AS25" s="42">
        <v>5</v>
      </c>
      <c r="AT25" s="20">
        <f>AS7</f>
        <v>763</v>
      </c>
      <c r="AU25" s="38">
        <f>(AS25/AT25)*100</f>
        <v>0.655307994757536</v>
      </c>
      <c r="AV25" s="42">
        <v>5</v>
      </c>
      <c r="AW25" s="20">
        <f>AV7</f>
        <v>379</v>
      </c>
      <c r="AX25" s="38">
        <f>(AV25/AW25)*100</f>
        <v>1.31926121372032</v>
      </c>
      <c r="AY25" s="42">
        <v>12</v>
      </c>
      <c r="AZ25" s="20">
        <f>AY7</f>
        <v>895</v>
      </c>
      <c r="BA25" s="96">
        <f>(AY25/AZ25)*100</f>
        <v>1.34078212290503</v>
      </c>
      <c r="BB25" s="42">
        <v>12</v>
      </c>
      <c r="BC25" s="20">
        <f>BB7</f>
        <v>318</v>
      </c>
      <c r="BD25" s="96">
        <f>(BB25/BC25)*100</f>
        <v>3.77358490566038</v>
      </c>
      <c r="BE25" s="42">
        <v>12</v>
      </c>
      <c r="BF25" s="20">
        <f>BE7</f>
        <v>597</v>
      </c>
      <c r="BG25" s="96">
        <f>(BE25/BF25)*100</f>
        <v>2.01005025125628</v>
      </c>
      <c r="BH25" s="42">
        <v>3.15</v>
      </c>
      <c r="BI25" s="20">
        <f>BH7</f>
        <v>284</v>
      </c>
      <c r="BJ25" s="96">
        <f>(BH25/BI25)*100</f>
        <v>1.10915492957746</v>
      </c>
      <c r="BK25" s="42">
        <v>3.15</v>
      </c>
      <c r="BL25" s="20">
        <f>BK7</f>
        <v>253</v>
      </c>
      <c r="BM25" s="38">
        <f>(BK25/BL25)*100</f>
        <v>1.24505928853755</v>
      </c>
      <c r="BN25" s="42">
        <v>0</v>
      </c>
      <c r="BO25" s="20">
        <f>BN7</f>
        <v>253</v>
      </c>
      <c r="BP25" s="38">
        <f>(BN25/BO25)*100</f>
        <v>0</v>
      </c>
      <c r="BQ25" s="42">
        <v>0</v>
      </c>
      <c r="BR25" s="20">
        <f>BQ7</f>
        <v>311</v>
      </c>
      <c r="BS25" s="38">
        <f>(BQ25/BR25)*100</f>
        <v>0</v>
      </c>
      <c r="BT25" s="42">
        <v>0</v>
      </c>
      <c r="BU25" s="20">
        <f>BT7</f>
        <v>477</v>
      </c>
      <c r="BV25" s="38">
        <f>(BT25/BU25)*100</f>
        <v>0</v>
      </c>
      <c r="BW25" s="42">
        <v>0</v>
      </c>
      <c r="BX25" s="20">
        <f>BW7</f>
        <v>284</v>
      </c>
      <c r="BY25" s="38">
        <f>(BW25/BX25)*100</f>
        <v>0</v>
      </c>
      <c r="BZ25" s="42">
        <v>0</v>
      </c>
      <c r="CA25" s="20">
        <f>BZ7</f>
        <v>210</v>
      </c>
      <c r="CB25" s="38">
        <f>(BZ25/CA25)*100</f>
        <v>0</v>
      </c>
      <c r="CC25" s="42">
        <v>0</v>
      </c>
      <c r="CD25" s="20">
        <f>CC7</f>
        <v>878</v>
      </c>
      <c r="CE25" s="38">
        <f>(CC25/CD25)*100</f>
        <v>0</v>
      </c>
      <c r="CF25" s="42">
        <v>0</v>
      </c>
      <c r="CG25" s="20">
        <f>CF7</f>
        <v>456</v>
      </c>
      <c r="CH25" s="38">
        <f>(CF25/CG25)*100</f>
        <v>0</v>
      </c>
      <c r="CI25" s="42">
        <v>0</v>
      </c>
      <c r="CJ25" s="20">
        <f>CI7</f>
        <v>551</v>
      </c>
      <c r="CK25" s="38">
        <f>(CI25/CJ25)*100</f>
        <v>0</v>
      </c>
      <c r="CL25" s="42">
        <v>0</v>
      </c>
      <c r="CM25" s="20">
        <f>CL7</f>
        <v>882</v>
      </c>
      <c r="CN25" s="38">
        <f>(CL25/CM25)*100</f>
        <v>0</v>
      </c>
      <c r="CO25" s="42">
        <v>14.73</v>
      </c>
      <c r="CP25" s="20">
        <f>CO7</f>
        <v>1001</v>
      </c>
      <c r="CQ25" s="38">
        <f>(CO25/CP25)*100</f>
        <v>1.47152847152847</v>
      </c>
      <c r="CR25" s="42">
        <v>14.73</v>
      </c>
      <c r="CS25" s="20">
        <f>CR7</f>
        <v>305</v>
      </c>
      <c r="CT25" s="38">
        <f>(CR25/CS25)*100</f>
        <v>4.82950819672131</v>
      </c>
      <c r="CU25" s="42">
        <v>0</v>
      </c>
      <c r="CV25" s="20">
        <f>CU7</f>
        <v>391</v>
      </c>
      <c r="CW25" s="38">
        <f>(CU25/CV25)*100</f>
        <v>0</v>
      </c>
      <c r="CX25" s="42">
        <v>5</v>
      </c>
      <c r="CY25" s="20">
        <f>CX7</f>
        <v>521</v>
      </c>
      <c r="CZ25" s="38">
        <f>(CX25/CY25)*100</f>
        <v>0.959692898272553</v>
      </c>
      <c r="DA25" s="42">
        <v>0</v>
      </c>
      <c r="DB25" s="20">
        <f>DA7</f>
        <v>597</v>
      </c>
      <c r="DC25" s="38">
        <f>(DA25/DB25)*100</f>
        <v>0</v>
      </c>
      <c r="DD25" s="42">
        <v>0</v>
      </c>
      <c r="DE25" s="20">
        <f>DD7</f>
        <v>254</v>
      </c>
      <c r="DF25" s="38">
        <f>(DD25/DE25)*100</f>
        <v>0</v>
      </c>
      <c r="DG25" s="42">
        <v>0</v>
      </c>
      <c r="DH25" s="20">
        <f>DG7</f>
        <v>254</v>
      </c>
      <c r="DI25" s="38">
        <f>(DG25/DH25)*100</f>
        <v>0</v>
      </c>
      <c r="DJ25" s="42">
        <v>0</v>
      </c>
      <c r="DK25" s="20">
        <f>DJ7</f>
        <v>197</v>
      </c>
      <c r="DL25" s="38">
        <f>(DJ25/DK25)*100</f>
        <v>0</v>
      </c>
      <c r="DM25" s="42">
        <v>8</v>
      </c>
      <c r="DN25" s="20">
        <f>DM7</f>
        <v>468</v>
      </c>
      <c r="DO25" s="96">
        <f>(DM25/DN25)*100</f>
        <v>1.70940170940171</v>
      </c>
      <c r="DP25" s="42">
        <v>0</v>
      </c>
      <c r="DQ25" s="20">
        <f>DP7</f>
        <v>494</v>
      </c>
      <c r="DR25" s="38">
        <f>(DP25/DQ25)*100</f>
        <v>0</v>
      </c>
      <c r="DS25" s="42">
        <v>0</v>
      </c>
      <c r="DT25" s="20">
        <f>DS7</f>
        <v>211</v>
      </c>
      <c r="DU25" s="38">
        <f>(DS25/DT25)*100</f>
        <v>0</v>
      </c>
      <c r="DV25" s="42">
        <v>7.36</v>
      </c>
      <c r="DW25" s="20">
        <f>DV7</f>
        <v>533</v>
      </c>
      <c r="DX25" s="96">
        <f>(DV25/DW25)*100</f>
        <v>1.38086303939962</v>
      </c>
      <c r="DY25" s="42">
        <v>0</v>
      </c>
      <c r="DZ25" s="20">
        <f>DY7</f>
        <v>247</v>
      </c>
      <c r="EA25" s="38">
        <f>(DY25/DZ25)*100</f>
        <v>0</v>
      </c>
      <c r="EB25" s="42">
        <v>0</v>
      </c>
      <c r="EC25" s="20">
        <f>EB7</f>
        <v>411</v>
      </c>
      <c r="ED25" s="38">
        <f>(EB25/EC25)*100</f>
        <v>0</v>
      </c>
      <c r="EE25" s="42">
        <v>0</v>
      </c>
      <c r="EF25" s="20">
        <f>EE7</f>
        <v>212</v>
      </c>
      <c r="EG25" s="38">
        <f>(EE25/EF25)*100</f>
        <v>0</v>
      </c>
      <c r="EH25" s="42">
        <v>0</v>
      </c>
      <c r="EI25" s="20">
        <f>EH7</f>
        <v>416</v>
      </c>
      <c r="EJ25" s="38">
        <f>(EH25/EI25)*100</f>
        <v>0</v>
      </c>
      <c r="EK25" s="42">
        <v>0</v>
      </c>
      <c r="EL25" s="20">
        <f>EK7</f>
        <v>265</v>
      </c>
      <c r="EM25" s="38">
        <f>(EK25/EL25)*100</f>
        <v>0</v>
      </c>
      <c r="EN25" s="42">
        <v>0</v>
      </c>
      <c r="EO25" s="20">
        <f>EN7</f>
        <v>600</v>
      </c>
      <c r="EP25" s="38">
        <f>(EN25/EO25)*100</f>
        <v>0</v>
      </c>
      <c r="EQ25" s="42">
        <v>12.63</v>
      </c>
      <c r="ER25" s="20">
        <f>EQ7</f>
        <v>851</v>
      </c>
      <c r="ES25" s="96">
        <f>(EQ25/ER25)*100</f>
        <v>1.48413631022327</v>
      </c>
      <c r="ET25" s="42">
        <v>0</v>
      </c>
      <c r="EU25" s="20">
        <f>ET7</f>
        <v>614</v>
      </c>
      <c r="EV25" s="38">
        <f>(ET25/EU25)*100</f>
        <v>0</v>
      </c>
      <c r="EW25" s="42">
        <v>0</v>
      </c>
      <c r="EX25" s="20">
        <f>EW7</f>
        <v>373</v>
      </c>
      <c r="EY25" s="38">
        <f>(EW25/EX25)*100</f>
        <v>0</v>
      </c>
      <c r="EZ25" s="42">
        <v>0</v>
      </c>
      <c r="FA25" s="20">
        <f>EZ7</f>
        <v>208</v>
      </c>
      <c r="FB25" s="38">
        <f>(EZ25/FA25)*100</f>
        <v>0</v>
      </c>
      <c r="FC25" s="42">
        <v>0</v>
      </c>
      <c r="FD25" s="20">
        <f>FC7</f>
        <v>208</v>
      </c>
      <c r="FE25" s="38">
        <f>(FC25/FD25)*100</f>
        <v>0</v>
      </c>
      <c r="FF25" s="42">
        <v>0</v>
      </c>
      <c r="FG25" s="20">
        <f>FF7</f>
        <v>418</v>
      </c>
      <c r="FH25" s="38">
        <f>(FF25/FG25)*100</f>
        <v>0</v>
      </c>
      <c r="FI25" s="42">
        <v>0</v>
      </c>
      <c r="FJ25" s="20">
        <f>FI7</f>
        <v>349</v>
      </c>
      <c r="FK25" s="38">
        <f>(FI25/FJ25)*100</f>
        <v>0</v>
      </c>
      <c r="FL25" s="42">
        <v>0</v>
      </c>
      <c r="FM25" s="20">
        <f>FL7</f>
        <v>387</v>
      </c>
      <c r="FN25" s="38">
        <f>(FL25/FM25)*100</f>
        <v>0</v>
      </c>
      <c r="FO25" s="42">
        <v>15.79</v>
      </c>
      <c r="FP25" s="20">
        <f>FO7</f>
        <v>716</v>
      </c>
      <c r="FQ25" s="96">
        <f>(FO25/FP25)*100</f>
        <v>2.20530726256983</v>
      </c>
      <c r="FR25" s="42">
        <v>5.26</v>
      </c>
      <c r="FS25" s="20">
        <f>FR7</f>
        <v>589</v>
      </c>
      <c r="FT25" s="38">
        <f>(FR25/FS25)*100</f>
        <v>0.893039049235993</v>
      </c>
      <c r="FU25" s="42">
        <v>0</v>
      </c>
      <c r="FV25" s="20">
        <f>FU7</f>
        <v>388</v>
      </c>
      <c r="FW25" s="38">
        <f>(FU25/FV25)*100</f>
        <v>0</v>
      </c>
      <c r="FX25" s="42">
        <v>0</v>
      </c>
      <c r="FY25" s="20">
        <f>FX7</f>
        <v>670</v>
      </c>
      <c r="FZ25" s="38">
        <f>(FX25/FY25)*100</f>
        <v>0</v>
      </c>
      <c r="GA25" s="42">
        <v>0</v>
      </c>
      <c r="GB25" s="20">
        <f>GA7</f>
        <v>255</v>
      </c>
      <c r="GC25" s="38">
        <f>(GA25/GB25)*100</f>
        <v>0</v>
      </c>
      <c r="GD25" s="42">
        <v>0</v>
      </c>
      <c r="GE25" s="20">
        <f>GD7</f>
        <v>466</v>
      </c>
      <c r="GF25" s="38">
        <f>(GD25/GE25)*100</f>
        <v>0</v>
      </c>
      <c r="GG25" s="42">
        <v>0</v>
      </c>
      <c r="GH25" s="20">
        <f>GG7</f>
        <v>994</v>
      </c>
      <c r="GI25" s="38">
        <f>(GG25/GH25)*100</f>
        <v>0</v>
      </c>
      <c r="GJ25" s="42">
        <v>0</v>
      </c>
      <c r="GK25" s="20">
        <f>GJ7</f>
        <v>570</v>
      </c>
      <c r="GL25" s="38">
        <f>(GJ25/GK25)*100</f>
        <v>0</v>
      </c>
      <c r="GM25" s="42">
        <v>0</v>
      </c>
      <c r="GN25" s="20">
        <f>GM7</f>
        <v>370</v>
      </c>
      <c r="GO25" s="38">
        <f>(GM25/GN25)*100</f>
        <v>0</v>
      </c>
      <c r="GP25" s="42">
        <v>0</v>
      </c>
      <c r="GQ25" s="20">
        <f>GP7</f>
        <v>422</v>
      </c>
      <c r="GR25" s="38">
        <f>(GP25/GQ25)*100</f>
        <v>0</v>
      </c>
      <c r="GS25" s="42">
        <v>0</v>
      </c>
      <c r="GT25" s="20">
        <f>GS7</f>
        <v>550</v>
      </c>
      <c r="GU25" s="38">
        <f>(GS25/GT25)*100</f>
        <v>0</v>
      </c>
      <c r="GV25" s="42">
        <v>0</v>
      </c>
      <c r="GW25" s="20">
        <f>GV7</f>
        <v>665</v>
      </c>
      <c r="GX25" s="38">
        <f>(GV25/GW25)*100</f>
        <v>0</v>
      </c>
      <c r="GY25" s="42">
        <v>0</v>
      </c>
      <c r="GZ25" s="20">
        <f>GY7</f>
        <v>265</v>
      </c>
      <c r="HA25" s="38">
        <f>(GY25/GZ25)*100</f>
        <v>0</v>
      </c>
      <c r="HB25" s="42">
        <v>0</v>
      </c>
      <c r="HC25" s="20">
        <f>HB7</f>
        <v>385</v>
      </c>
      <c r="HD25" s="38">
        <f>(HB25/HC25)*100</f>
        <v>0</v>
      </c>
      <c r="HE25" s="42">
        <v>0</v>
      </c>
      <c r="HF25" s="20">
        <f>HE7</f>
        <v>560</v>
      </c>
      <c r="HG25" s="38">
        <f>(HE25/HF25)*100</f>
        <v>0</v>
      </c>
      <c r="HH25" s="42">
        <v>0</v>
      </c>
      <c r="HI25" s="20">
        <f>HH7</f>
        <v>422</v>
      </c>
      <c r="HJ25" s="38">
        <f>(HH25/HI25)*100</f>
        <v>0</v>
      </c>
      <c r="HK25" s="42">
        <v>0</v>
      </c>
      <c r="HL25" s="20">
        <f>HK7</f>
        <v>531</v>
      </c>
      <c r="HM25" s="38">
        <f>(HK25/HL25)*100</f>
        <v>0</v>
      </c>
      <c r="HN25" s="42">
        <v>4.21</v>
      </c>
      <c r="HO25" s="20">
        <f>HN7</f>
        <v>600</v>
      </c>
      <c r="HP25" s="38">
        <f>(HN25/HO25)*100</f>
        <v>0.701666666666667</v>
      </c>
      <c r="HQ25" s="42">
        <v>0</v>
      </c>
      <c r="HR25" s="20">
        <f>HQ7</f>
        <v>554</v>
      </c>
      <c r="HS25" s="38">
        <f>(HQ25/HR25)*100</f>
        <v>0</v>
      </c>
      <c r="HT25" s="42">
        <v>0</v>
      </c>
      <c r="HU25" s="20">
        <f>HT7</f>
        <v>659</v>
      </c>
      <c r="HV25" s="38">
        <f>(HT25/HU25)*100</f>
        <v>0</v>
      </c>
      <c r="HW25" s="42">
        <v>0</v>
      </c>
      <c r="HX25" s="20">
        <f>HW7</f>
        <v>293</v>
      </c>
      <c r="HY25" s="38">
        <f>(HW25/HX25)*100</f>
        <v>0</v>
      </c>
      <c r="HZ25" s="42">
        <v>8.42</v>
      </c>
      <c r="IA25" s="20">
        <f>HZ7</f>
        <v>682</v>
      </c>
      <c r="IB25" s="96">
        <f>(HZ25/IA25)*100</f>
        <v>1.23460410557185</v>
      </c>
      <c r="IC25" s="42">
        <v>10.52</v>
      </c>
      <c r="ID25" s="20">
        <f>IC7</f>
        <v>1906</v>
      </c>
      <c r="IE25" s="38">
        <f>(IC25/ID25)*100</f>
        <v>0.551941238195173</v>
      </c>
      <c r="IF25" s="42">
        <v>10.52</v>
      </c>
      <c r="IG25" s="20">
        <f>IF7</f>
        <v>513</v>
      </c>
      <c r="IH25" s="38">
        <f>(IF25/IG25)*100</f>
        <v>2.05068226120858</v>
      </c>
      <c r="II25" s="42">
        <v>10.52</v>
      </c>
      <c r="IJ25" s="20">
        <f>II7</f>
        <v>322</v>
      </c>
      <c r="IK25" s="38">
        <f>(II25/IJ25)*100</f>
        <v>3.26708074534161</v>
      </c>
      <c r="IL25" s="42">
        <v>10.52</v>
      </c>
      <c r="IM25" s="20">
        <f>IL7</f>
        <v>468</v>
      </c>
      <c r="IN25" s="38">
        <f>(IL25/IM25)*100</f>
        <v>2.24786324786325</v>
      </c>
      <c r="IO25" s="42">
        <v>0</v>
      </c>
      <c r="IP25" s="20">
        <f>IO7</f>
        <v>788</v>
      </c>
      <c r="IQ25" s="38">
        <f>(IO25/IP25)*100</f>
        <v>0</v>
      </c>
      <c r="IR25" s="42">
        <v>0</v>
      </c>
      <c r="IS25" s="20">
        <f>IR7</f>
        <v>608</v>
      </c>
      <c r="IT25" s="38">
        <f>(IR25/IS25)*100</f>
        <v>0</v>
      </c>
      <c r="IU25" s="42">
        <v>0</v>
      </c>
      <c r="IV25" s="20">
        <f>IU7</f>
        <v>346</v>
      </c>
      <c r="IW25" s="38">
        <f>(IU25/IV25)*100</f>
        <v>0</v>
      </c>
      <c r="IX25" s="42">
        <v>0</v>
      </c>
      <c r="IY25" s="20">
        <f>IX7</f>
        <v>503</v>
      </c>
      <c r="IZ25" s="38">
        <f>(IX25/IY25)*100</f>
        <v>0</v>
      </c>
      <c r="JA25" s="42">
        <v>2.33</v>
      </c>
      <c r="JB25" s="20">
        <f>JA7</f>
        <v>517</v>
      </c>
      <c r="JC25" s="38">
        <f>(JA25/JB25)*100</f>
        <v>0.450676982591876</v>
      </c>
      <c r="JD25" s="42">
        <v>0</v>
      </c>
      <c r="JE25" s="20">
        <f>JD7</f>
        <v>660</v>
      </c>
      <c r="JF25" s="38">
        <f>(JD25/JE25)*100</f>
        <v>0</v>
      </c>
      <c r="JG25" s="42">
        <v>0</v>
      </c>
      <c r="JH25" s="20">
        <f>JG7</f>
        <v>756</v>
      </c>
      <c r="JI25" s="38">
        <f>(JG25/JH25)*100</f>
        <v>0</v>
      </c>
      <c r="JJ25" s="42">
        <v>0</v>
      </c>
      <c r="JK25" s="20">
        <f>JJ7</f>
        <v>828</v>
      </c>
      <c r="JL25" s="38">
        <f>(JJ25/JK25)*100</f>
        <v>0</v>
      </c>
      <c r="JM25" s="42">
        <v>0</v>
      </c>
      <c r="JN25" s="20">
        <f>JM7</f>
        <v>619</v>
      </c>
      <c r="JO25" s="38">
        <f>(JM25/JN25)*100</f>
        <v>0</v>
      </c>
      <c r="JP25" s="42">
        <v>0</v>
      </c>
      <c r="JQ25" s="20">
        <f>JP7</f>
        <v>322</v>
      </c>
      <c r="JR25" s="38">
        <f>(JP25/JQ25)*100</f>
        <v>0</v>
      </c>
    </row>
    <row r="26" ht="2.5" customHeight="1" spans="1:278">
      <c r="A26" s="2"/>
      <c r="B26" s="2"/>
      <c r="C26" s="2" t="s">
        <v>189</v>
      </c>
      <c r="D26" s="41"/>
      <c r="E26" s="41"/>
      <c r="F26" s="42"/>
      <c r="G26" s="20"/>
      <c r="H26" s="96"/>
      <c r="I26" s="42"/>
      <c r="J26" s="20"/>
      <c r="K26" s="38"/>
      <c r="L26" s="42"/>
      <c r="M26" s="20"/>
      <c r="N26" s="38"/>
      <c r="O26" s="42"/>
      <c r="P26" s="20"/>
      <c r="Q26" s="96"/>
      <c r="R26" s="42"/>
      <c r="S26" s="20"/>
      <c r="T26" s="96"/>
      <c r="U26" s="42"/>
      <c r="V26" s="20"/>
      <c r="W26" s="38"/>
      <c r="X26" s="42"/>
      <c r="Y26" s="20"/>
      <c r="Z26" s="38"/>
      <c r="AA26" s="42"/>
      <c r="AB26" s="20"/>
      <c r="AC26" s="38"/>
      <c r="AD26" s="42"/>
      <c r="AE26" s="20"/>
      <c r="AF26" s="96"/>
      <c r="AG26" s="42"/>
      <c r="AH26" s="20"/>
      <c r="AI26" s="38"/>
      <c r="AJ26" s="42"/>
      <c r="AK26" s="20"/>
      <c r="AL26" s="96"/>
      <c r="AM26" s="42"/>
      <c r="AN26" s="20"/>
      <c r="AO26" s="96"/>
      <c r="AP26" s="42"/>
      <c r="AQ26" s="20"/>
      <c r="AR26" s="96"/>
      <c r="AS26" s="42"/>
      <c r="AT26" s="20"/>
      <c r="AU26" s="38"/>
      <c r="AV26" s="42"/>
      <c r="AW26" s="20"/>
      <c r="AX26" s="38"/>
      <c r="AY26" s="42"/>
      <c r="AZ26" s="20"/>
      <c r="BA26" s="96"/>
      <c r="BB26" s="42"/>
      <c r="BC26" s="20"/>
      <c r="BD26" s="96"/>
      <c r="BE26" s="42"/>
      <c r="BF26" s="20"/>
      <c r="BG26" s="96"/>
      <c r="BH26" s="42"/>
      <c r="BI26" s="20"/>
      <c r="BJ26" s="96"/>
      <c r="BK26" s="42"/>
      <c r="BL26" s="20"/>
      <c r="BM26" s="38"/>
      <c r="BN26" s="42"/>
      <c r="BO26" s="20"/>
      <c r="BP26" s="38"/>
      <c r="BQ26" s="42"/>
      <c r="BR26" s="20"/>
      <c r="BS26" s="38"/>
      <c r="BT26" s="42"/>
      <c r="BU26" s="20"/>
      <c r="BV26" s="38"/>
      <c r="BW26" s="42"/>
      <c r="BX26" s="20"/>
      <c r="BY26" s="38"/>
      <c r="BZ26" s="42"/>
      <c r="CA26" s="20"/>
      <c r="CB26" s="38"/>
      <c r="CC26" s="42"/>
      <c r="CD26" s="20"/>
      <c r="CE26" s="38"/>
      <c r="CF26" s="42"/>
      <c r="CG26" s="20"/>
      <c r="CH26" s="38"/>
      <c r="CI26" s="42"/>
      <c r="CJ26" s="20"/>
      <c r="CK26" s="38"/>
      <c r="CL26" s="42"/>
      <c r="CM26" s="20"/>
      <c r="CN26" s="38"/>
      <c r="CO26" s="42"/>
      <c r="CP26" s="20"/>
      <c r="CQ26" s="38"/>
      <c r="CR26" s="42"/>
      <c r="CS26" s="20"/>
      <c r="CT26" s="38"/>
      <c r="CU26" s="42"/>
      <c r="CV26" s="20"/>
      <c r="CW26" s="38"/>
      <c r="CX26" s="42"/>
      <c r="CY26" s="20"/>
      <c r="CZ26" s="38"/>
      <c r="DA26" s="42"/>
      <c r="DB26" s="20"/>
      <c r="DC26" s="38"/>
      <c r="DD26" s="42"/>
      <c r="DE26" s="20"/>
      <c r="DF26" s="38"/>
      <c r="DG26" s="42"/>
      <c r="DH26" s="20"/>
      <c r="DI26" s="38"/>
      <c r="DJ26" s="42"/>
      <c r="DK26" s="20"/>
      <c r="DL26" s="38"/>
      <c r="DM26" s="42"/>
      <c r="DN26" s="20"/>
      <c r="DO26" s="96"/>
      <c r="DP26" s="42"/>
      <c r="DQ26" s="20"/>
      <c r="DR26" s="38"/>
      <c r="DS26" s="42"/>
      <c r="DT26" s="20"/>
      <c r="DU26" s="38"/>
      <c r="DV26" s="42"/>
      <c r="DW26" s="20"/>
      <c r="DX26" s="96"/>
      <c r="DY26" s="42"/>
      <c r="DZ26" s="20"/>
      <c r="EA26" s="38"/>
      <c r="EB26" s="42"/>
      <c r="EC26" s="20"/>
      <c r="ED26" s="38"/>
      <c r="EE26" s="42"/>
      <c r="EF26" s="20"/>
      <c r="EG26" s="38"/>
      <c r="EH26" s="42"/>
      <c r="EI26" s="20"/>
      <c r="EJ26" s="38"/>
      <c r="EK26" s="42"/>
      <c r="EL26" s="20"/>
      <c r="EM26" s="38"/>
      <c r="EN26" s="42"/>
      <c r="EO26" s="20"/>
      <c r="EP26" s="38"/>
      <c r="EQ26" s="42"/>
      <c r="ER26" s="20"/>
      <c r="ES26" s="96"/>
      <c r="ET26" s="42"/>
      <c r="EU26" s="20"/>
      <c r="EV26" s="38"/>
      <c r="EW26" s="42"/>
      <c r="EX26" s="20"/>
      <c r="EY26" s="38"/>
      <c r="EZ26" s="42"/>
      <c r="FA26" s="20"/>
      <c r="FB26" s="38"/>
      <c r="FC26" s="42"/>
      <c r="FD26" s="20"/>
      <c r="FE26" s="38"/>
      <c r="FF26" s="42"/>
      <c r="FG26" s="20"/>
      <c r="FH26" s="38"/>
      <c r="FI26" s="42"/>
      <c r="FJ26" s="20"/>
      <c r="FK26" s="38"/>
      <c r="FL26" s="42"/>
      <c r="FM26" s="20"/>
      <c r="FN26" s="38"/>
      <c r="FO26" s="42"/>
      <c r="FP26" s="20"/>
      <c r="FQ26" s="96"/>
      <c r="FR26" s="42"/>
      <c r="FS26" s="20"/>
      <c r="FT26" s="38"/>
      <c r="FU26" s="42"/>
      <c r="FV26" s="20"/>
      <c r="FW26" s="38"/>
      <c r="FX26" s="42"/>
      <c r="FY26" s="20"/>
      <c r="FZ26" s="38"/>
      <c r="GA26" s="42"/>
      <c r="GB26" s="20"/>
      <c r="GC26" s="38"/>
      <c r="GD26" s="42"/>
      <c r="GE26" s="20"/>
      <c r="GF26" s="38"/>
      <c r="GG26" s="42"/>
      <c r="GH26" s="20"/>
      <c r="GI26" s="38"/>
      <c r="GJ26" s="42"/>
      <c r="GK26" s="20"/>
      <c r="GL26" s="38"/>
      <c r="GM26" s="42"/>
      <c r="GN26" s="20"/>
      <c r="GO26" s="38"/>
      <c r="GP26" s="42"/>
      <c r="GQ26" s="20"/>
      <c r="GR26" s="38"/>
      <c r="GS26" s="42"/>
      <c r="GT26" s="20"/>
      <c r="GU26" s="38"/>
      <c r="GV26" s="42"/>
      <c r="GW26" s="20"/>
      <c r="GX26" s="38"/>
      <c r="GY26" s="42"/>
      <c r="GZ26" s="20"/>
      <c r="HA26" s="38"/>
      <c r="HB26" s="42"/>
      <c r="HC26" s="20"/>
      <c r="HD26" s="38"/>
      <c r="HE26" s="42"/>
      <c r="HF26" s="20"/>
      <c r="HG26" s="38"/>
      <c r="HH26" s="42"/>
      <c r="HI26" s="20"/>
      <c r="HJ26" s="38"/>
      <c r="HK26" s="42"/>
      <c r="HL26" s="20"/>
      <c r="HM26" s="38"/>
      <c r="HN26" s="42"/>
      <c r="HO26" s="20"/>
      <c r="HP26" s="38"/>
      <c r="HQ26" s="42"/>
      <c r="HR26" s="20"/>
      <c r="HS26" s="38"/>
      <c r="HT26" s="42"/>
      <c r="HU26" s="20"/>
      <c r="HV26" s="38"/>
      <c r="HW26" s="42"/>
      <c r="HX26" s="20"/>
      <c r="HY26" s="38"/>
      <c r="HZ26" s="42"/>
      <c r="IA26" s="20"/>
      <c r="IB26" s="96"/>
      <c r="IC26" s="42"/>
      <c r="ID26" s="20"/>
      <c r="IE26" s="38"/>
      <c r="IF26" s="42"/>
      <c r="IG26" s="20"/>
      <c r="IH26" s="38"/>
      <c r="II26" s="42"/>
      <c r="IJ26" s="20"/>
      <c r="IK26" s="38"/>
      <c r="IL26" s="42"/>
      <c r="IM26" s="20"/>
      <c r="IN26" s="38"/>
      <c r="IO26" s="42"/>
      <c r="IP26" s="20"/>
      <c r="IQ26" s="38"/>
      <c r="IR26" s="42"/>
      <c r="IS26" s="20"/>
      <c r="IT26" s="38"/>
      <c r="IU26" s="42"/>
      <c r="IV26" s="20"/>
      <c r="IW26" s="38"/>
      <c r="IX26" s="42"/>
      <c r="IY26" s="20"/>
      <c r="IZ26" s="38"/>
      <c r="JA26" s="42"/>
      <c r="JB26" s="20"/>
      <c r="JC26" s="38"/>
      <c r="JD26" s="42"/>
      <c r="JE26" s="20"/>
      <c r="JF26" s="38"/>
      <c r="JG26" s="42"/>
      <c r="JH26" s="20"/>
      <c r="JI26" s="38"/>
      <c r="JJ26" s="42"/>
      <c r="JK26" s="20"/>
      <c r="JL26" s="38"/>
      <c r="JM26" s="42"/>
      <c r="JN26" s="20"/>
      <c r="JO26" s="38"/>
      <c r="JP26" s="42"/>
      <c r="JQ26" s="20"/>
      <c r="JR26" s="38"/>
    </row>
    <row r="27" hidden="1" spans="1:278">
      <c r="A27" s="2"/>
      <c r="B27" s="2"/>
      <c r="C27" s="2"/>
      <c r="D27" s="41"/>
      <c r="E27" s="41"/>
      <c r="F27" s="42"/>
      <c r="G27" s="20"/>
      <c r="H27" s="38"/>
      <c r="I27" s="42"/>
      <c r="J27" s="20"/>
      <c r="K27" s="38"/>
      <c r="L27" s="42"/>
      <c r="M27" s="20"/>
      <c r="N27" s="38"/>
      <c r="O27" s="42"/>
      <c r="P27" s="20"/>
      <c r="Q27" s="38"/>
      <c r="R27" s="42"/>
      <c r="S27" s="20"/>
      <c r="T27" s="38"/>
      <c r="U27" s="42"/>
      <c r="V27" s="20"/>
      <c r="W27" s="38"/>
      <c r="X27" s="42"/>
      <c r="Y27" s="20"/>
      <c r="Z27" s="38"/>
      <c r="AA27" s="42"/>
      <c r="AB27" s="20"/>
      <c r="AC27" s="38"/>
      <c r="AD27" s="42"/>
      <c r="AE27" s="20"/>
      <c r="AF27" s="38"/>
      <c r="AG27" s="42"/>
      <c r="AH27" s="20"/>
      <c r="AI27" s="38"/>
      <c r="AJ27" s="42"/>
      <c r="AK27" s="20"/>
      <c r="AL27" s="38"/>
      <c r="AM27" s="42"/>
      <c r="AN27" s="20"/>
      <c r="AO27" s="38"/>
      <c r="AP27" s="42"/>
      <c r="AQ27" s="20"/>
      <c r="AR27" s="38"/>
      <c r="AS27" s="42"/>
      <c r="AT27" s="20"/>
      <c r="AU27" s="38"/>
      <c r="AV27" s="42"/>
      <c r="AW27" s="20"/>
      <c r="AX27" s="38"/>
      <c r="AY27" s="42"/>
      <c r="AZ27" s="20"/>
      <c r="BA27" s="38"/>
      <c r="BB27" s="42"/>
      <c r="BC27" s="20"/>
      <c r="BD27" s="38"/>
      <c r="BE27" s="42"/>
      <c r="BF27" s="20"/>
      <c r="BG27" s="38"/>
      <c r="BH27" s="42"/>
      <c r="BI27" s="20"/>
      <c r="BJ27" s="38"/>
      <c r="BK27" s="42"/>
      <c r="BL27" s="20"/>
      <c r="BM27" s="38"/>
      <c r="BN27" s="86" t="s">
        <v>191</v>
      </c>
      <c r="BO27" s="20"/>
      <c r="BP27" s="38"/>
      <c r="BQ27" s="42"/>
      <c r="BR27" s="20"/>
      <c r="BS27" s="38"/>
      <c r="BT27" s="42"/>
      <c r="BU27" s="20"/>
      <c r="BV27" s="38"/>
      <c r="BW27" s="42"/>
      <c r="BX27" s="20"/>
      <c r="BY27" s="38"/>
      <c r="BZ27" s="42"/>
      <c r="CA27" s="20"/>
      <c r="CB27" s="38"/>
      <c r="CC27" s="42" t="s">
        <v>191</v>
      </c>
      <c r="CD27" s="20"/>
      <c r="CE27" s="38"/>
      <c r="CF27" s="86"/>
      <c r="CG27" s="20"/>
      <c r="CH27" s="38"/>
      <c r="CI27" s="86" t="s">
        <v>191</v>
      </c>
      <c r="CJ27" s="20"/>
      <c r="CK27" s="38"/>
      <c r="CL27" s="42"/>
      <c r="CM27" s="20"/>
      <c r="CN27" s="38"/>
      <c r="CP27" s="20"/>
      <c r="CQ27" s="38"/>
      <c r="CS27" s="20"/>
      <c r="CT27" s="38"/>
      <c r="CV27" s="20"/>
      <c r="CW27" s="38"/>
      <c r="CY27" s="20"/>
      <c r="CZ27" s="38"/>
      <c r="DB27" s="20"/>
      <c r="DC27" s="38"/>
      <c r="DE27" s="20"/>
      <c r="DF27" s="38"/>
      <c r="DG27" s="83" t="s">
        <v>191</v>
      </c>
      <c r="DH27" s="20"/>
      <c r="DI27" s="38"/>
      <c r="DJ27" s="83"/>
      <c r="DK27" s="20"/>
      <c r="DL27" s="38"/>
      <c r="DM27" s="83"/>
      <c r="DN27" s="20"/>
      <c r="DO27" s="38"/>
      <c r="DP27" s="83"/>
      <c r="DQ27" s="20"/>
      <c r="DR27" s="38"/>
      <c r="DS27" s="83"/>
      <c r="DT27" s="20"/>
      <c r="DU27" s="38"/>
      <c r="DV27" s="83"/>
      <c r="DW27" s="20"/>
      <c r="DX27" s="38"/>
      <c r="DY27" s="83"/>
      <c r="DZ27" s="20"/>
      <c r="EA27" s="38"/>
      <c r="EB27" s="83" t="s">
        <v>191</v>
      </c>
      <c r="EC27" s="20"/>
      <c r="ED27" s="38"/>
      <c r="EE27" s="83" t="s">
        <v>191</v>
      </c>
      <c r="EF27" s="20"/>
      <c r="EG27" s="38"/>
      <c r="EH27" s="83" t="s">
        <v>191</v>
      </c>
      <c r="EI27" s="20"/>
      <c r="EJ27" s="38"/>
      <c r="EK27" s="83" t="s">
        <v>191</v>
      </c>
      <c r="EL27" s="20"/>
      <c r="EM27" s="38"/>
      <c r="EN27" s="83"/>
      <c r="EO27" s="20"/>
      <c r="EP27" s="38"/>
      <c r="EQ27" s="83"/>
      <c r="ER27" s="20"/>
      <c r="ES27" s="38"/>
      <c r="ET27" s="83"/>
      <c r="EU27" s="20"/>
      <c r="EV27" s="38"/>
      <c r="EW27" s="83"/>
      <c r="EX27" s="20"/>
      <c r="EY27" s="38"/>
      <c r="EZ27" s="83"/>
      <c r="FA27" s="20"/>
      <c r="FB27" s="38"/>
      <c r="FC27" s="83"/>
      <c r="FD27" s="20"/>
      <c r="FE27" s="38"/>
      <c r="FF27" s="83"/>
      <c r="FG27" s="20"/>
      <c r="FH27" s="38"/>
      <c r="FI27" s="83"/>
      <c r="FJ27" s="20"/>
      <c r="FK27" s="38"/>
      <c r="FL27" s="83"/>
      <c r="FM27" s="20"/>
      <c r="FN27" s="38"/>
      <c r="FO27" s="83"/>
      <c r="FP27" s="20"/>
      <c r="FQ27" s="38"/>
      <c r="FR27" s="83"/>
      <c r="FS27" s="20"/>
      <c r="FT27" s="38"/>
      <c r="FU27" s="83"/>
      <c r="FV27" s="20"/>
      <c r="FW27" s="38"/>
      <c r="FX27" s="83"/>
      <c r="FY27" s="20"/>
      <c r="FZ27" s="38"/>
      <c r="GA27" s="83"/>
      <c r="GB27" s="20"/>
      <c r="GC27" s="38"/>
      <c r="GD27" s="83"/>
      <c r="GE27" s="20"/>
      <c r="GF27" s="38"/>
      <c r="GG27" s="83"/>
      <c r="GH27" s="20"/>
      <c r="GI27" s="38"/>
      <c r="GJ27" s="83"/>
      <c r="GK27" s="20"/>
      <c r="GL27" s="38"/>
      <c r="GM27" s="83"/>
      <c r="GN27" s="20"/>
      <c r="GO27" s="38"/>
      <c r="GP27" s="83"/>
      <c r="GQ27" s="20"/>
      <c r="GR27" s="38"/>
      <c r="GS27" s="83"/>
      <c r="GT27" s="20"/>
      <c r="GU27" s="38"/>
      <c r="GV27" s="83"/>
      <c r="GW27" s="20"/>
      <c r="GX27" s="38"/>
      <c r="GY27" s="83"/>
      <c r="GZ27" s="20"/>
      <c r="HA27" s="38"/>
      <c r="HB27" s="83"/>
      <c r="HC27" s="20"/>
      <c r="HD27" s="38"/>
      <c r="HE27" s="83"/>
      <c r="HF27" s="20"/>
      <c r="HG27" s="38"/>
      <c r="HH27" s="83"/>
      <c r="HI27" s="20"/>
      <c r="HJ27" s="38"/>
      <c r="HK27" s="83"/>
      <c r="HL27" s="20"/>
      <c r="HM27" s="38"/>
      <c r="HN27" s="83"/>
      <c r="HO27" s="20"/>
      <c r="HP27" s="38"/>
      <c r="HQ27" s="83"/>
      <c r="HR27" s="20"/>
      <c r="HS27" s="38"/>
      <c r="HT27" s="83"/>
      <c r="HU27" s="20"/>
      <c r="HV27" s="38"/>
      <c r="HW27" s="83"/>
      <c r="HX27" s="20"/>
      <c r="HY27" s="38"/>
      <c r="HZ27" s="83"/>
      <c r="IA27" s="20"/>
      <c r="IB27" s="38"/>
      <c r="IC27" s="83"/>
      <c r="ID27" s="20"/>
      <c r="IE27" s="38"/>
      <c r="IF27" s="83"/>
      <c r="IG27" s="20"/>
      <c r="IH27" s="38"/>
      <c r="II27" s="83"/>
      <c r="IJ27" s="20"/>
      <c r="IK27" s="38"/>
      <c r="IL27" s="83"/>
      <c r="IM27" s="20"/>
      <c r="IN27" s="38"/>
      <c r="IO27" s="83"/>
      <c r="IP27" s="20"/>
      <c r="IQ27" s="38"/>
      <c r="IR27" s="83"/>
      <c r="IS27" s="20"/>
      <c r="IT27" s="38"/>
      <c r="IU27" s="83"/>
      <c r="IV27" s="20"/>
      <c r="IW27" s="38"/>
      <c r="IX27" s="83"/>
      <c r="IY27" s="20"/>
      <c r="IZ27" s="38"/>
      <c r="JA27" s="83"/>
      <c r="JB27" s="20"/>
      <c r="JC27" s="38"/>
      <c r="JD27" s="83"/>
      <c r="JE27" s="20"/>
      <c r="JF27" s="38"/>
      <c r="JG27" s="83"/>
      <c r="JH27" s="20"/>
      <c r="JI27" s="38"/>
      <c r="JJ27" s="83"/>
      <c r="JK27" s="20"/>
      <c r="JL27" s="38"/>
      <c r="JM27" s="83"/>
      <c r="JN27" s="20"/>
      <c r="JO27" s="38"/>
      <c r="JP27" s="83"/>
      <c r="JQ27" s="20"/>
      <c r="JR27" s="38"/>
    </row>
    <row r="28" spans="1:278">
      <c r="A28" s="2">
        <v>9</v>
      </c>
      <c r="B28" s="2" t="s">
        <v>447</v>
      </c>
      <c r="C28" s="37" t="s">
        <v>60</v>
      </c>
      <c r="D28" s="2" t="s">
        <v>448</v>
      </c>
      <c r="E28" s="2" t="s">
        <v>467</v>
      </c>
      <c r="F28" s="20">
        <f>H13</f>
        <v>0.064224527333737</v>
      </c>
      <c r="G28" s="20">
        <f>F13</f>
        <v>11295161920</v>
      </c>
      <c r="H28" s="96">
        <f>(F28/G28)</f>
        <v>5.68602095203403e-12</v>
      </c>
      <c r="I28" s="20">
        <v>71504931710</v>
      </c>
      <c r="J28" s="20">
        <f>I13</f>
        <v>9909112999</v>
      </c>
      <c r="K28" s="96">
        <f>(I28/J28)</f>
        <v>7.21607793928842</v>
      </c>
      <c r="L28" s="20">
        <v>229184000</v>
      </c>
      <c r="M28" s="20">
        <f>L13</f>
        <v>7077335000</v>
      </c>
      <c r="N28" s="96">
        <f>(L28/M28)</f>
        <v>0.0323828107613954</v>
      </c>
      <c r="O28" s="20">
        <v>8681414895</v>
      </c>
      <c r="P28" s="20">
        <f>O13</f>
        <v>6881183848</v>
      </c>
      <c r="Q28" s="96">
        <f>(O28/P28)</f>
        <v>1.2616164727997</v>
      </c>
      <c r="R28" s="20">
        <v>603941988</v>
      </c>
      <c r="S28" s="20">
        <f>R13</f>
        <v>6461246873</v>
      </c>
      <c r="T28" s="96">
        <f>(R28/S28)</f>
        <v>0.0934714304948985</v>
      </c>
      <c r="U28" s="20">
        <v>6218817210</v>
      </c>
      <c r="V28" s="20">
        <f>U13</f>
        <v>2321437410</v>
      </c>
      <c r="W28" s="38">
        <f>(U28/V28)</f>
        <v>2.67886490637712</v>
      </c>
      <c r="X28" s="20">
        <v>6218817210</v>
      </c>
      <c r="Y28" s="20">
        <f>X13</f>
        <v>2321437410</v>
      </c>
      <c r="Z28" s="38">
        <f>(X28/Y28)</f>
        <v>2.67886490637712</v>
      </c>
      <c r="AA28" s="20">
        <v>6218817210</v>
      </c>
      <c r="AB28" s="20">
        <f>AA13</f>
        <v>2321437410</v>
      </c>
      <c r="AC28" s="38">
        <f>(AA28/AB28)</f>
        <v>2.67886490637712</v>
      </c>
      <c r="AD28" s="20">
        <v>6789187211</v>
      </c>
      <c r="AE28" s="20">
        <f>AD13</f>
        <v>6674455407</v>
      </c>
      <c r="AF28" s="96">
        <f>(AD28/AE28)</f>
        <v>1.01718968769792</v>
      </c>
      <c r="AG28" s="20">
        <v>10460599120</v>
      </c>
      <c r="AH28" s="20">
        <f>AG13</f>
        <v>3471390152</v>
      </c>
      <c r="AI28" s="38">
        <f>(AG28/AH28)</f>
        <v>3.01337466028509</v>
      </c>
      <c r="AJ28" s="20">
        <v>7342500044</v>
      </c>
      <c r="AK28" s="20">
        <f>AJ13</f>
        <v>3850293298</v>
      </c>
      <c r="AL28" s="38">
        <f>(AJ28/AK28)</f>
        <v>1.90699759101832</v>
      </c>
      <c r="AM28" s="20">
        <v>7342500044</v>
      </c>
      <c r="AN28" s="20">
        <f>AM13</f>
        <v>3850293298</v>
      </c>
      <c r="AO28" s="38">
        <f>(AM28/AN28)</f>
        <v>1.90699759101832</v>
      </c>
      <c r="AP28" s="20">
        <v>3180305109</v>
      </c>
      <c r="AQ28" s="20">
        <f>AP13</f>
        <v>3796642117</v>
      </c>
      <c r="AR28" s="96">
        <f>(AP28/AQ28)</f>
        <v>0.837662600527908</v>
      </c>
      <c r="AS28" s="20">
        <v>488119692</v>
      </c>
      <c r="AT28" s="20">
        <f>AS13</f>
        <v>2162737997</v>
      </c>
      <c r="AU28" s="96">
        <f>(AS28/AT28)</f>
        <v>0.225695249575809</v>
      </c>
      <c r="AV28" s="20">
        <v>488119692</v>
      </c>
      <c r="AW28" s="20">
        <f>AV13</f>
        <v>2162737997</v>
      </c>
      <c r="AX28" s="96">
        <f>(AV28/AW28)</f>
        <v>0.225695249575809</v>
      </c>
      <c r="AY28" s="20">
        <v>2249711605</v>
      </c>
      <c r="AZ28" s="20">
        <f>AY13</f>
        <v>1992306837</v>
      </c>
      <c r="BA28" s="96">
        <f>(AY28/AZ28)</f>
        <v>1.12919935986748</v>
      </c>
      <c r="BB28" s="20">
        <v>2249711605</v>
      </c>
      <c r="BC28" s="20">
        <f>BB13</f>
        <v>1992306837</v>
      </c>
      <c r="BD28" s="96">
        <f>(BB28/BC28)</f>
        <v>1.12919935986748</v>
      </c>
      <c r="BE28" s="20">
        <v>2249711605</v>
      </c>
      <c r="BF28" s="20">
        <f>BE13</f>
        <v>1992306837</v>
      </c>
      <c r="BG28" s="96">
        <f>(BE28/BF28)</f>
        <v>1.12919935986748</v>
      </c>
      <c r="BH28" s="20">
        <v>288295104</v>
      </c>
      <c r="BI28" s="20">
        <f>BH13</f>
        <v>4215884164</v>
      </c>
      <c r="BJ28" s="96">
        <f>(BH28/BI28)</f>
        <v>0.0683830704984237</v>
      </c>
      <c r="BK28" s="20">
        <v>288295104</v>
      </c>
      <c r="BL28" s="20">
        <f>BK13</f>
        <v>4215884164</v>
      </c>
      <c r="BM28" s="96">
        <f>(BK28/BL28)</f>
        <v>0.0683830704984237</v>
      </c>
      <c r="BN28" s="20">
        <v>1395866631</v>
      </c>
      <c r="BO28" s="20">
        <f>BN13</f>
        <v>2532722344</v>
      </c>
      <c r="BP28" s="96">
        <f>(BN28/BO28)</f>
        <v>0.551132908155842</v>
      </c>
      <c r="BQ28" s="20">
        <v>1395866631</v>
      </c>
      <c r="BR28" s="20">
        <f>BQ13</f>
        <v>2532722344</v>
      </c>
      <c r="BS28" s="96">
        <f>(BQ28/BR28)</f>
        <v>0.551132908155842</v>
      </c>
      <c r="BT28" s="20">
        <v>1395866631</v>
      </c>
      <c r="BU28" s="20">
        <f>BT13</f>
        <v>2532722344</v>
      </c>
      <c r="BV28" s="96">
        <f>(BT28/BU28)</f>
        <v>0.551132908155842</v>
      </c>
      <c r="BW28" s="20">
        <v>3226796328</v>
      </c>
      <c r="BX28" s="20">
        <f>BW13</f>
        <v>3160635582</v>
      </c>
      <c r="BY28" s="96">
        <f>(BW28/BX28)</f>
        <v>1.02093273466159</v>
      </c>
      <c r="BZ28" s="20">
        <v>3226796328</v>
      </c>
      <c r="CA28" s="20">
        <f>BZ13</f>
        <v>3160635582</v>
      </c>
      <c r="CB28" s="38">
        <f>(BZ28/CA28)</f>
        <v>1.02093273466159</v>
      </c>
      <c r="CC28" s="20">
        <v>3226796328</v>
      </c>
      <c r="CD28" s="20">
        <f>CC13</f>
        <v>1005463472</v>
      </c>
      <c r="CE28" s="38">
        <f>(CC28/CD28)</f>
        <v>3.20926261158098</v>
      </c>
      <c r="CF28" s="20">
        <v>3226796328</v>
      </c>
      <c r="CG28" s="20">
        <f>CF13</f>
        <v>1005463472</v>
      </c>
      <c r="CH28" s="38">
        <f>(CF28/CG28)</f>
        <v>3.20926261158098</v>
      </c>
      <c r="CI28" s="20">
        <v>769000</v>
      </c>
      <c r="CJ28" s="20">
        <f>CI13</f>
        <v>1332071</v>
      </c>
      <c r="CK28" s="96">
        <f>(CI28/CJ28)</f>
        <v>0.577296555513933</v>
      </c>
      <c r="CL28" s="20">
        <v>1283232470</v>
      </c>
      <c r="CM28" s="20">
        <f>CL13</f>
        <v>854311288</v>
      </c>
      <c r="CN28" s="96">
        <f>(CL28/CM28)</f>
        <v>1.50206662141166</v>
      </c>
      <c r="CO28" s="20">
        <v>150000000</v>
      </c>
      <c r="CP28" s="20">
        <f>CO13</f>
        <v>692201177</v>
      </c>
      <c r="CQ28" s="38">
        <f>(CO28/CP28)</f>
        <v>0.216700007142577</v>
      </c>
      <c r="CR28" s="20">
        <v>150000000</v>
      </c>
      <c r="CS28" s="20">
        <f>CR13</f>
        <v>692201177</v>
      </c>
      <c r="CT28" s="38">
        <f>(CR28/CS28)</f>
        <v>0.216700007142577</v>
      </c>
      <c r="CU28" s="20">
        <v>5065104993</v>
      </c>
      <c r="CV28" s="20">
        <f>CU13</f>
        <v>1218549363</v>
      </c>
      <c r="CW28" s="38">
        <f>(CU28/CV28)</f>
        <v>4.15666787640838</v>
      </c>
      <c r="CX28" s="20">
        <v>1227825252</v>
      </c>
      <c r="CY28" s="20">
        <f>CX13</f>
        <v>1258391642</v>
      </c>
      <c r="CZ28" s="38">
        <f>(CX28/CY28)</f>
        <v>0.975709954691514</v>
      </c>
      <c r="DA28" s="20">
        <v>2203865032</v>
      </c>
      <c r="DB28" s="20">
        <f>DA13</f>
        <v>920243202</v>
      </c>
      <c r="DC28" s="38">
        <f>(DA28/DB28)</f>
        <v>2.39487238505023</v>
      </c>
      <c r="DD28" s="20">
        <v>2203865032</v>
      </c>
      <c r="DE28" s="20">
        <f>DD13</f>
        <v>920243202</v>
      </c>
      <c r="DF28" s="38">
        <f>(DD28/DE28)</f>
        <v>2.39487238505023</v>
      </c>
      <c r="DG28" s="20">
        <v>3346221554</v>
      </c>
      <c r="DH28" s="20">
        <f>DG13</f>
        <v>1397794822</v>
      </c>
      <c r="DI28" s="38">
        <f>(DG28/DH28)</f>
        <v>2.39392899539586</v>
      </c>
      <c r="DJ28" s="20">
        <v>3346221554</v>
      </c>
      <c r="DK28" s="20">
        <f>DJ13</f>
        <v>1397794822</v>
      </c>
      <c r="DL28" s="38">
        <f>(DJ28/DK28)</f>
        <v>2.39392899539586</v>
      </c>
      <c r="DM28" s="20">
        <v>1636386530</v>
      </c>
      <c r="DN28" s="20">
        <f>DM13</f>
        <v>1244470115</v>
      </c>
      <c r="DO28" s="96">
        <f>(DM28/DN28)</f>
        <v>1.31492633714229</v>
      </c>
      <c r="DP28" s="20">
        <v>4201266184</v>
      </c>
      <c r="DQ28" s="20">
        <f>DP13</f>
        <v>1222184231</v>
      </c>
      <c r="DR28" s="38">
        <f>(DP28/DQ28)</f>
        <v>3.43750645560407</v>
      </c>
      <c r="DS28" s="20">
        <v>4201266184</v>
      </c>
      <c r="DT28" s="20">
        <f>DS13</f>
        <v>1222184231</v>
      </c>
      <c r="DU28" s="38">
        <f>(DS28/DT28)</f>
        <v>3.43750645560407</v>
      </c>
      <c r="DV28" s="20">
        <v>107110075</v>
      </c>
      <c r="DW28" s="20">
        <f>DV13</f>
        <v>1053848028</v>
      </c>
      <c r="DX28" s="96">
        <f>(DV28/DW28)</f>
        <v>0.101637116694401</v>
      </c>
      <c r="DY28" s="20">
        <v>107110075</v>
      </c>
      <c r="DZ28" s="20">
        <f>DY13</f>
        <v>1053848028</v>
      </c>
      <c r="EA28" s="96">
        <f>(DY28/DZ28)</f>
        <v>0.101637116694401</v>
      </c>
      <c r="EB28" s="20">
        <v>253087461</v>
      </c>
      <c r="EC28" s="20">
        <f>EB13</f>
        <v>1379106236</v>
      </c>
      <c r="ED28" s="96">
        <f>(EB28/EC28)</f>
        <v>0.183515565656539</v>
      </c>
      <c r="EE28" s="20">
        <v>253087461</v>
      </c>
      <c r="EF28" s="20">
        <f>EE13</f>
        <v>1379106236</v>
      </c>
      <c r="EG28" s="38">
        <f>(EE28/EF28)</f>
        <v>0.183515565656539</v>
      </c>
      <c r="EH28" s="20">
        <v>253087461</v>
      </c>
      <c r="EI28" s="20">
        <f>EH13</f>
        <v>1379106236</v>
      </c>
      <c r="EJ28" s="38">
        <f>(EH28/EI28)</f>
        <v>0.183515565656539</v>
      </c>
      <c r="EK28" s="20">
        <v>253087461</v>
      </c>
      <c r="EL28" s="20">
        <f>EK13</f>
        <v>1379106236</v>
      </c>
      <c r="EM28" s="38">
        <f>(EK28/EL28)</f>
        <v>0.183515565656539</v>
      </c>
      <c r="EN28" s="20">
        <v>1999173983</v>
      </c>
      <c r="EO28" s="20">
        <f>EN13</f>
        <v>801854904</v>
      </c>
      <c r="EP28" s="38">
        <f>(EN28/EO28)</f>
        <v>2.49318670126884</v>
      </c>
      <c r="EQ28" s="20">
        <v>733920000</v>
      </c>
      <c r="ER28" s="20">
        <f>EQ13</f>
        <v>639591938</v>
      </c>
      <c r="ES28" s="96">
        <f>(EQ28/ER28)</f>
        <v>1.14748163070186</v>
      </c>
      <c r="ET28" s="20">
        <v>1999173983</v>
      </c>
      <c r="EU28" s="20">
        <f>ET13</f>
        <v>801854904</v>
      </c>
      <c r="EV28" s="96">
        <f>(ET28/EU28)</f>
        <v>2.49318670126884</v>
      </c>
      <c r="EW28" s="20">
        <v>1422891303</v>
      </c>
      <c r="EX28" s="20">
        <f>EW13</f>
        <v>853660070</v>
      </c>
      <c r="EY28" s="38">
        <f>(EW28/EX28)</f>
        <v>1.66681253229989</v>
      </c>
      <c r="EZ28" s="20">
        <v>813218464</v>
      </c>
      <c r="FA28" s="20">
        <f>EZ13</f>
        <v>1800815548</v>
      </c>
      <c r="FB28" s="96">
        <f>(EZ28/FA28)</f>
        <v>0.45158343113106</v>
      </c>
      <c r="FC28" s="20">
        <v>813218464</v>
      </c>
      <c r="FD28" s="20">
        <f>FC13</f>
        <v>1800815548</v>
      </c>
      <c r="FE28" s="96">
        <f>(FC28/FD28)</f>
        <v>0.45158343113106</v>
      </c>
      <c r="FF28" s="20">
        <v>813218464</v>
      </c>
      <c r="FG28" s="20">
        <f>FF13</f>
        <v>1800815548</v>
      </c>
      <c r="FH28" s="96">
        <f>(FF28/FG28)</f>
        <v>0.45158343113106</v>
      </c>
      <c r="FI28" s="20">
        <v>67777883</v>
      </c>
      <c r="FJ28" s="20">
        <f>FI13</f>
        <v>741304032</v>
      </c>
      <c r="FK28" s="96">
        <f>(FI28/FJ28)</f>
        <v>0.0914306142611133</v>
      </c>
      <c r="FL28" s="20">
        <v>67777883</v>
      </c>
      <c r="FM28" s="20">
        <f>FL13</f>
        <v>741304032</v>
      </c>
      <c r="FN28" s="96">
        <f>(FL28/FM28)</f>
        <v>0.0914306142611133</v>
      </c>
      <c r="FO28" s="20">
        <v>67777883</v>
      </c>
      <c r="FP28" s="20">
        <f>FO13</f>
        <v>741304032</v>
      </c>
      <c r="FQ28" s="96">
        <f>(FO28/FP28)</f>
        <v>0.0914306142611133</v>
      </c>
      <c r="FR28" s="20">
        <v>246998174</v>
      </c>
      <c r="FS28" s="20">
        <f>FR13</f>
        <v>689683890</v>
      </c>
      <c r="FT28" s="96">
        <f>(FR28/FS28)</f>
        <v>0.358132439486154</v>
      </c>
      <c r="FU28" s="20">
        <v>246998174</v>
      </c>
      <c r="FV28" s="20">
        <f>FU13</f>
        <v>620082000</v>
      </c>
      <c r="FW28" s="96">
        <f>(FU28/FV28)</f>
        <v>0.398331469063769</v>
      </c>
      <c r="FX28" s="20">
        <v>246998174</v>
      </c>
      <c r="FY28" s="20">
        <f>FX13</f>
        <v>620082000</v>
      </c>
      <c r="FZ28" s="96">
        <f>(FX28/FY28)</f>
        <v>0.398331469063769</v>
      </c>
      <c r="GA28" s="20">
        <v>246998174</v>
      </c>
      <c r="GB28" s="20">
        <f>GA13</f>
        <v>620082000</v>
      </c>
      <c r="GC28" s="96">
        <f>(GA28/GB28)</f>
        <v>0.398331469063769</v>
      </c>
      <c r="GD28" s="20">
        <v>523786837</v>
      </c>
      <c r="GE28" s="20">
        <f>GD13</f>
        <v>645418543</v>
      </c>
      <c r="GF28" s="96">
        <f>(GD28/GE28)</f>
        <v>0.811546000158846</v>
      </c>
      <c r="GG28" s="20">
        <v>523786837</v>
      </c>
      <c r="GH28" s="20">
        <f>GG13</f>
        <v>645418543</v>
      </c>
      <c r="GI28" s="38">
        <f>(GG28/GH28)</f>
        <v>0.811546000158846</v>
      </c>
      <c r="GJ28" s="20">
        <v>523786837</v>
      </c>
      <c r="GK28" s="20">
        <f>GJ13</f>
        <v>645418543</v>
      </c>
      <c r="GL28" s="38">
        <f>(GJ28/GK28)</f>
        <v>0.811546000158846</v>
      </c>
      <c r="GM28" s="20">
        <v>523786837</v>
      </c>
      <c r="GN28" s="20">
        <f>GM13</f>
        <v>645418543</v>
      </c>
      <c r="GO28" s="38">
        <f>(GM28/GN28)</f>
        <v>0.811546000158846</v>
      </c>
      <c r="GP28" s="20">
        <v>523786837</v>
      </c>
      <c r="GQ28" s="20">
        <f>GP13</f>
        <v>645418543</v>
      </c>
      <c r="GR28" s="38">
        <f>(GP28/GQ28)</f>
        <v>0.811546000158846</v>
      </c>
      <c r="GS28" s="20">
        <v>523786837</v>
      </c>
      <c r="GT28" s="20">
        <f>GS13</f>
        <v>645418543</v>
      </c>
      <c r="GU28" s="38">
        <f>(GS28/GT28)</f>
        <v>0.811546000158846</v>
      </c>
      <c r="GV28" s="20">
        <v>523786837</v>
      </c>
      <c r="GW28" s="20">
        <f>GV13</f>
        <v>645418543</v>
      </c>
      <c r="GX28" s="38">
        <f>(GV28/GW28)</f>
        <v>0.811546000158846</v>
      </c>
      <c r="GY28" s="20">
        <v>523786837</v>
      </c>
      <c r="GZ28" s="20">
        <f>GY13</f>
        <v>645418543</v>
      </c>
      <c r="HA28" s="38">
        <f>(GY28/GZ28)</f>
        <v>0.811546000158846</v>
      </c>
      <c r="HB28" s="20">
        <v>926373474</v>
      </c>
      <c r="HC28" s="20">
        <f>HB13</f>
        <v>245183190</v>
      </c>
      <c r="HD28" s="38">
        <f>(HB28/HC28)</f>
        <v>3.77829113814858</v>
      </c>
      <c r="HE28" s="20">
        <v>926373474</v>
      </c>
      <c r="HF28" s="20">
        <f>HE13</f>
        <v>245183190</v>
      </c>
      <c r="HG28" s="38">
        <f>(HE28/HF28)</f>
        <v>3.77829113814858</v>
      </c>
      <c r="HH28" s="20">
        <v>24937002</v>
      </c>
      <c r="HI28" s="20">
        <f>HH13</f>
        <v>752403522</v>
      </c>
      <c r="HJ28" s="96">
        <f>(HH28/HI28)</f>
        <v>0.0331431223683187</v>
      </c>
      <c r="HK28" s="20">
        <v>24937002</v>
      </c>
      <c r="HL28" s="20">
        <f>HK13</f>
        <v>752403522</v>
      </c>
      <c r="HM28" s="38">
        <f>(HK28/HL28)</f>
        <v>0.0331431223683187</v>
      </c>
      <c r="HN28" s="20">
        <v>843349218</v>
      </c>
      <c r="HO28" s="20">
        <f>HN13</f>
        <v>508965708</v>
      </c>
      <c r="HP28" s="38">
        <f>(HN28/HO28)</f>
        <v>1.65698632490187</v>
      </c>
      <c r="HQ28" s="20">
        <v>934674077</v>
      </c>
      <c r="HR28" s="20">
        <f>HQ13</f>
        <v>555710604</v>
      </c>
      <c r="HS28" s="38">
        <f>(HQ28/HR28)</f>
        <v>1.68194392957814</v>
      </c>
      <c r="HT28" s="20">
        <v>934674077</v>
      </c>
      <c r="HU28" s="20">
        <f>HT13</f>
        <v>555710604</v>
      </c>
      <c r="HV28" s="38">
        <f>(HT28/HU28)</f>
        <v>1.68194392957814</v>
      </c>
      <c r="HW28" s="20">
        <v>934674077</v>
      </c>
      <c r="HX28" s="20">
        <f>HW13</f>
        <v>555710604</v>
      </c>
      <c r="HY28" s="38">
        <f>(HW28/HX28)</f>
        <v>1.68194392957814</v>
      </c>
      <c r="HZ28" s="20">
        <v>141999000</v>
      </c>
      <c r="IA28" s="20">
        <f>HZ13</f>
        <v>469114000</v>
      </c>
      <c r="IB28" s="96">
        <f>(HZ28/IA28)</f>
        <v>0.302696146352486</v>
      </c>
      <c r="IC28" s="20">
        <v>34000000</v>
      </c>
      <c r="ID28" s="20">
        <f>IC13</f>
        <v>184948055</v>
      </c>
      <c r="IE28" s="96">
        <f>(IC28/ID28)</f>
        <v>0.18383540178349</v>
      </c>
      <c r="IF28" s="20">
        <v>34000000</v>
      </c>
      <c r="IG28" s="20">
        <f>IF13</f>
        <v>184948055</v>
      </c>
      <c r="IH28" s="38">
        <f>(IF28/IG28)</f>
        <v>0.18383540178349</v>
      </c>
      <c r="II28" s="20">
        <v>34000000</v>
      </c>
      <c r="IJ28" s="20">
        <f>II13</f>
        <v>184948055</v>
      </c>
      <c r="IK28" s="38">
        <f>(II28/IJ28)</f>
        <v>0.18383540178349</v>
      </c>
      <c r="IL28" s="20">
        <v>34000000</v>
      </c>
      <c r="IM28" s="20">
        <f>IL13</f>
        <v>184948055</v>
      </c>
      <c r="IN28" s="38">
        <f>(IL28/IM28)</f>
        <v>0.18383540178349</v>
      </c>
      <c r="IO28" s="20">
        <v>430398500</v>
      </c>
      <c r="IP28" s="20">
        <f>IO13</f>
        <v>206694486</v>
      </c>
      <c r="IQ28" s="38">
        <f>(IO28/IP28)</f>
        <v>2.0822930902956</v>
      </c>
      <c r="IR28" s="20">
        <v>430398500</v>
      </c>
      <c r="IS28" s="20">
        <f>IR13</f>
        <v>206694486</v>
      </c>
      <c r="IT28" s="38">
        <f>(IR28/IS28)</f>
        <v>2.0822930902956</v>
      </c>
      <c r="IU28" s="20">
        <v>430398500</v>
      </c>
      <c r="IV28" s="20">
        <f>IU13</f>
        <v>206694486</v>
      </c>
      <c r="IW28" s="38">
        <f>(IU28/IV28)</f>
        <v>2.0822930902956</v>
      </c>
      <c r="IX28" s="20">
        <v>430398500</v>
      </c>
      <c r="IY28" s="20">
        <f>IX13</f>
        <v>206694486</v>
      </c>
      <c r="IZ28" s="38">
        <f>(IX28/IY28)</f>
        <v>2.0822930902956</v>
      </c>
      <c r="JA28" s="20">
        <v>324254547</v>
      </c>
      <c r="JB28" s="20">
        <f>JA13</f>
        <v>392408803</v>
      </c>
      <c r="JC28" s="96">
        <f>(JA28/JB28)</f>
        <v>0.826318228645854</v>
      </c>
      <c r="JD28" s="20">
        <v>237981243</v>
      </c>
      <c r="JE28" s="20">
        <f>JD13</f>
        <v>279434593</v>
      </c>
      <c r="JF28" s="96">
        <f>(JD28/JE28)</f>
        <v>0.851652762261972</v>
      </c>
      <c r="JG28" s="20">
        <v>237981243</v>
      </c>
      <c r="JH28" s="20">
        <f>JG13</f>
        <v>279434593</v>
      </c>
      <c r="JI28" s="38">
        <f>(JG28/JH28)</f>
        <v>0.851652762261972</v>
      </c>
      <c r="JJ28" s="20">
        <v>237981243</v>
      </c>
      <c r="JK28" s="20">
        <f>JJ13</f>
        <v>279434593</v>
      </c>
      <c r="JL28" s="38">
        <f>(JJ28/JK28)</f>
        <v>0.851652762261972</v>
      </c>
      <c r="JM28" s="20">
        <v>237981243</v>
      </c>
      <c r="JN28" s="20">
        <f>JM13</f>
        <v>279434593</v>
      </c>
      <c r="JO28" s="38">
        <f>(JM28/JN28)</f>
        <v>0.851652762261972</v>
      </c>
      <c r="JP28" s="20">
        <v>237981243</v>
      </c>
      <c r="JQ28" s="20">
        <f>JP13</f>
        <v>279434593</v>
      </c>
      <c r="JR28" s="38">
        <f>(JP28/JQ28)</f>
        <v>0.851652762261972</v>
      </c>
    </row>
    <row r="29" ht="4.5" customHeight="1" spans="1:278">
      <c r="A29" s="2"/>
      <c r="B29" s="2"/>
      <c r="C29" s="2" t="s">
        <v>449</v>
      </c>
      <c r="D29" s="2"/>
      <c r="E29" s="2"/>
      <c r="F29" s="20"/>
      <c r="G29" s="20"/>
      <c r="H29" s="96"/>
      <c r="I29" s="20"/>
      <c r="J29" s="20"/>
      <c r="K29" s="96"/>
      <c r="L29" s="20"/>
      <c r="M29" s="20"/>
      <c r="N29" s="96"/>
      <c r="O29" s="20"/>
      <c r="P29" s="20"/>
      <c r="Q29" s="96"/>
      <c r="R29" s="20"/>
      <c r="S29" s="20"/>
      <c r="T29" s="96"/>
      <c r="U29" s="20"/>
      <c r="V29" s="20"/>
      <c r="W29" s="38"/>
      <c r="X29" s="20"/>
      <c r="Y29" s="20"/>
      <c r="Z29" s="38"/>
      <c r="AA29" s="20"/>
      <c r="AB29" s="20"/>
      <c r="AC29" s="38"/>
      <c r="AD29" s="20"/>
      <c r="AE29" s="20"/>
      <c r="AF29" s="96"/>
      <c r="AG29" s="20"/>
      <c r="AH29" s="20"/>
      <c r="AI29" s="38"/>
      <c r="AJ29" s="20"/>
      <c r="AK29" s="20"/>
      <c r="AL29" s="38"/>
      <c r="AM29" s="20"/>
      <c r="AN29" s="20"/>
      <c r="AO29" s="38"/>
      <c r="AP29" s="20"/>
      <c r="AQ29" s="20"/>
      <c r="AR29" s="96"/>
      <c r="AS29" s="20"/>
      <c r="AT29" s="20"/>
      <c r="AU29" s="96"/>
      <c r="AV29" s="20"/>
      <c r="AW29" s="20"/>
      <c r="AX29" s="96"/>
      <c r="AY29" s="20"/>
      <c r="AZ29" s="20"/>
      <c r="BA29" s="96"/>
      <c r="BB29" s="20"/>
      <c r="BC29" s="20"/>
      <c r="BD29" s="96"/>
      <c r="BE29" s="20"/>
      <c r="BF29" s="20"/>
      <c r="BG29" s="96"/>
      <c r="BH29" s="20"/>
      <c r="BI29" s="20"/>
      <c r="BJ29" s="96"/>
      <c r="BK29" s="20"/>
      <c r="BL29" s="20"/>
      <c r="BM29" s="96"/>
      <c r="BN29" s="20"/>
      <c r="BO29" s="20"/>
      <c r="BP29" s="96"/>
      <c r="BQ29" s="20"/>
      <c r="BR29" s="20"/>
      <c r="BS29" s="96"/>
      <c r="BT29" s="20"/>
      <c r="BU29" s="20"/>
      <c r="BV29" s="96"/>
      <c r="BW29" s="20"/>
      <c r="BX29" s="20"/>
      <c r="BY29" s="96"/>
      <c r="BZ29" s="20"/>
      <c r="CA29" s="20"/>
      <c r="CB29" s="38"/>
      <c r="CC29" s="20"/>
      <c r="CD29" s="20"/>
      <c r="CE29" s="38"/>
      <c r="CF29" s="20"/>
      <c r="CG29" s="20"/>
      <c r="CH29" s="38"/>
      <c r="CI29" s="20"/>
      <c r="CJ29" s="20"/>
      <c r="CK29" s="96"/>
      <c r="CL29" s="20"/>
      <c r="CM29" s="20"/>
      <c r="CN29" s="96"/>
      <c r="CO29" s="20"/>
      <c r="CP29" s="20"/>
      <c r="CQ29" s="38"/>
      <c r="CR29" s="20"/>
      <c r="CS29" s="20"/>
      <c r="CT29" s="38"/>
      <c r="CU29" s="20"/>
      <c r="CV29" s="20"/>
      <c r="CW29" s="38"/>
      <c r="CX29" s="20"/>
      <c r="CY29" s="20"/>
      <c r="CZ29" s="38"/>
      <c r="DA29" s="20"/>
      <c r="DB29" s="20"/>
      <c r="DC29" s="38"/>
      <c r="DD29" s="20"/>
      <c r="DE29" s="20"/>
      <c r="DF29" s="38"/>
      <c r="DG29" s="20"/>
      <c r="DH29" s="20"/>
      <c r="DI29" s="38"/>
      <c r="DJ29" s="20"/>
      <c r="DK29" s="20"/>
      <c r="DL29" s="38"/>
      <c r="DM29" s="20"/>
      <c r="DN29" s="20"/>
      <c r="DO29" s="96"/>
      <c r="DP29" s="20"/>
      <c r="DQ29" s="20"/>
      <c r="DR29" s="38"/>
      <c r="DS29" s="20"/>
      <c r="DT29" s="20"/>
      <c r="DU29" s="38"/>
      <c r="DV29" s="20"/>
      <c r="DW29" s="20"/>
      <c r="DX29" s="96"/>
      <c r="DY29" s="20"/>
      <c r="DZ29" s="20"/>
      <c r="EA29" s="96"/>
      <c r="EB29" s="20"/>
      <c r="EC29" s="20"/>
      <c r="ED29" s="96"/>
      <c r="EE29" s="20"/>
      <c r="EF29" s="20"/>
      <c r="EG29" s="38"/>
      <c r="EH29" s="20"/>
      <c r="EI29" s="20"/>
      <c r="EJ29" s="38"/>
      <c r="EK29" s="20"/>
      <c r="EL29" s="20"/>
      <c r="EM29" s="38"/>
      <c r="EN29" s="20"/>
      <c r="EO29" s="20"/>
      <c r="EP29" s="38"/>
      <c r="EQ29" s="20"/>
      <c r="ER29" s="20"/>
      <c r="ES29" s="96"/>
      <c r="ET29" s="20"/>
      <c r="EU29" s="20"/>
      <c r="EV29" s="96"/>
      <c r="EW29" s="20"/>
      <c r="EX29" s="20"/>
      <c r="EY29" s="38"/>
      <c r="EZ29" s="20"/>
      <c r="FA29" s="20"/>
      <c r="FB29" s="96"/>
      <c r="FC29" s="20"/>
      <c r="FD29" s="20"/>
      <c r="FE29" s="96"/>
      <c r="FF29" s="20"/>
      <c r="FG29" s="20"/>
      <c r="FH29" s="96"/>
      <c r="FI29" s="20"/>
      <c r="FJ29" s="20"/>
      <c r="FK29" s="96"/>
      <c r="FL29" s="20"/>
      <c r="FM29" s="20"/>
      <c r="FN29" s="96"/>
      <c r="FO29" s="20"/>
      <c r="FP29" s="20"/>
      <c r="FQ29" s="96"/>
      <c r="FR29" s="20"/>
      <c r="FS29" s="20"/>
      <c r="FT29" s="96"/>
      <c r="FU29" s="20"/>
      <c r="FV29" s="20"/>
      <c r="FW29" s="96"/>
      <c r="FX29" s="20"/>
      <c r="FY29" s="20"/>
      <c r="FZ29" s="96"/>
      <c r="GA29" s="20"/>
      <c r="GB29" s="20"/>
      <c r="GC29" s="96"/>
      <c r="GD29" s="20"/>
      <c r="GE29" s="20"/>
      <c r="GF29" s="96"/>
      <c r="GG29" s="20"/>
      <c r="GH29" s="20"/>
      <c r="GI29" s="38"/>
      <c r="GJ29" s="20"/>
      <c r="GK29" s="20"/>
      <c r="GL29" s="38"/>
      <c r="GM29" s="20"/>
      <c r="GN29" s="20"/>
      <c r="GO29" s="38"/>
      <c r="GP29" s="20"/>
      <c r="GQ29" s="20"/>
      <c r="GR29" s="38"/>
      <c r="GS29" s="20"/>
      <c r="GT29" s="20"/>
      <c r="GU29" s="38"/>
      <c r="GV29" s="20"/>
      <c r="GW29" s="20"/>
      <c r="GX29" s="38"/>
      <c r="GY29" s="20"/>
      <c r="GZ29" s="20"/>
      <c r="HA29" s="38"/>
      <c r="HB29" s="20"/>
      <c r="HC29" s="20"/>
      <c r="HD29" s="38"/>
      <c r="HE29" s="20"/>
      <c r="HF29" s="20"/>
      <c r="HG29" s="38"/>
      <c r="HH29" s="20"/>
      <c r="HI29" s="20"/>
      <c r="HJ29" s="96"/>
      <c r="HK29" s="20"/>
      <c r="HL29" s="20"/>
      <c r="HM29" s="38"/>
      <c r="HN29" s="20"/>
      <c r="HO29" s="20"/>
      <c r="HP29" s="38"/>
      <c r="HQ29" s="20"/>
      <c r="HR29" s="20"/>
      <c r="HS29" s="38"/>
      <c r="HT29" s="20"/>
      <c r="HU29" s="20"/>
      <c r="HV29" s="38"/>
      <c r="HW29" s="20"/>
      <c r="HX29" s="20"/>
      <c r="HY29" s="38"/>
      <c r="HZ29" s="20"/>
      <c r="IA29" s="20"/>
      <c r="IB29" s="96"/>
      <c r="IC29" s="20"/>
      <c r="ID29" s="20"/>
      <c r="IE29" s="96"/>
      <c r="IF29" s="20"/>
      <c r="IG29" s="20"/>
      <c r="IH29" s="38"/>
      <c r="II29" s="20"/>
      <c r="IJ29" s="20"/>
      <c r="IK29" s="38"/>
      <c r="IL29" s="20"/>
      <c r="IM29" s="20"/>
      <c r="IN29" s="38"/>
      <c r="IO29" s="20"/>
      <c r="IP29" s="20"/>
      <c r="IQ29" s="38"/>
      <c r="IR29" s="20"/>
      <c r="IS29" s="20"/>
      <c r="IT29" s="38"/>
      <c r="IU29" s="20"/>
      <c r="IV29" s="20"/>
      <c r="IW29" s="38"/>
      <c r="IX29" s="20"/>
      <c r="IY29" s="20"/>
      <c r="IZ29" s="38"/>
      <c r="JA29" s="20"/>
      <c r="JB29" s="20"/>
      <c r="JC29" s="96"/>
      <c r="JD29" s="20"/>
      <c r="JE29" s="20"/>
      <c r="JF29" s="96"/>
      <c r="JG29" s="20"/>
      <c r="JH29" s="20"/>
      <c r="JI29" s="38"/>
      <c r="JJ29" s="20"/>
      <c r="JK29" s="20"/>
      <c r="JL29" s="38"/>
      <c r="JM29" s="20"/>
      <c r="JN29" s="20"/>
      <c r="JO29" s="38"/>
      <c r="JP29" s="20"/>
      <c r="JQ29" s="20"/>
      <c r="JR29" s="38"/>
    </row>
    <row r="30" hidden="1" spans="1:278">
      <c r="A30" s="2"/>
      <c r="B30" s="2"/>
      <c r="C30" s="2"/>
      <c r="D30" s="41"/>
      <c r="E30" s="41"/>
      <c r="F30" s="42"/>
      <c r="G30" s="20"/>
      <c r="H30" s="38"/>
      <c r="I30" s="42"/>
      <c r="J30" s="20"/>
      <c r="K30" s="38"/>
      <c r="L30" s="42"/>
      <c r="M30" s="20"/>
      <c r="N30" s="38"/>
      <c r="O30" s="42"/>
      <c r="P30" s="20"/>
      <c r="Q30" s="38"/>
      <c r="R30" s="42"/>
      <c r="S30" s="20"/>
      <c r="T30" s="38"/>
      <c r="U30" s="42"/>
      <c r="V30" s="20"/>
      <c r="W30" s="38"/>
      <c r="X30" s="42"/>
      <c r="Y30" s="20"/>
      <c r="Z30" s="38"/>
      <c r="AA30" s="42"/>
      <c r="AB30" s="20"/>
      <c r="AC30" s="38"/>
      <c r="AD30" s="42"/>
      <c r="AE30" s="20"/>
      <c r="AF30" s="38"/>
      <c r="AG30" s="42"/>
      <c r="AH30" s="20"/>
      <c r="AI30" s="38"/>
      <c r="AJ30" s="42"/>
      <c r="AK30" s="20"/>
      <c r="AL30" s="38"/>
      <c r="AM30" s="42"/>
      <c r="AN30" s="20"/>
      <c r="AO30" s="38"/>
      <c r="AP30" s="42" t="s">
        <v>450</v>
      </c>
      <c r="AQ30" s="20"/>
      <c r="AR30" s="38"/>
      <c r="AS30" s="42"/>
      <c r="AT30" s="20"/>
      <c r="AU30" s="38"/>
      <c r="AV30" s="42" t="s">
        <v>450</v>
      </c>
      <c r="AW30" s="20"/>
      <c r="AX30" s="38"/>
      <c r="AY30" s="42"/>
      <c r="AZ30" s="20"/>
      <c r="BA30" s="38"/>
      <c r="BB30" s="42"/>
      <c r="BC30" s="20"/>
      <c r="BD30" s="38"/>
      <c r="BE30" s="42"/>
      <c r="BF30" s="20"/>
      <c r="BG30" s="38"/>
      <c r="BH30" s="86"/>
      <c r="BI30" s="20"/>
      <c r="BJ30" s="86" t="s">
        <v>451</v>
      </c>
      <c r="BK30" s="86"/>
      <c r="BL30" s="20"/>
      <c r="BM30" s="38"/>
      <c r="BN30" s="86"/>
      <c r="BO30" s="20"/>
      <c r="BP30" s="38"/>
      <c r="BQ30" s="86"/>
      <c r="BR30" s="20"/>
      <c r="BS30" s="38"/>
      <c r="BT30" s="86"/>
      <c r="BU30" s="20"/>
      <c r="BV30" s="38"/>
      <c r="BW30" s="86"/>
      <c r="BX30" s="20"/>
      <c r="BY30" s="38"/>
      <c r="BZ30" s="86"/>
      <c r="CA30" s="20"/>
      <c r="CB30" s="38"/>
      <c r="CC30" s="86"/>
      <c r="CD30" s="20"/>
      <c r="CE30" s="38"/>
      <c r="CF30" s="86"/>
      <c r="CG30" s="20"/>
      <c r="CH30" s="38"/>
      <c r="CI30" s="86"/>
      <c r="CJ30" s="20"/>
      <c r="CK30" s="38"/>
      <c r="CL30" s="86"/>
      <c r="CM30" s="20"/>
      <c r="CN30" s="38"/>
      <c r="CO30" s="42"/>
      <c r="CP30" s="20"/>
      <c r="CQ30" s="38"/>
      <c r="CR30" s="42"/>
      <c r="CS30" s="20"/>
      <c r="CT30" s="38"/>
      <c r="CU30" s="86" t="s">
        <v>452</v>
      </c>
      <c r="CV30" s="20"/>
      <c r="CW30" s="38"/>
      <c r="CX30" s="86"/>
      <c r="CY30" s="20"/>
      <c r="CZ30" s="38"/>
      <c r="DA30" s="86" t="s">
        <v>453</v>
      </c>
      <c r="DB30" s="20"/>
      <c r="DC30" s="38"/>
      <c r="DD30" s="86"/>
      <c r="DE30" s="20"/>
      <c r="DF30" s="38"/>
      <c r="DG30" s="86"/>
      <c r="DH30" s="20"/>
      <c r="DI30" s="38"/>
      <c r="DJ30" s="86"/>
      <c r="DK30" s="20"/>
      <c r="DL30" s="38"/>
      <c r="DM30" s="86"/>
      <c r="DN30" s="20"/>
      <c r="DO30" s="38"/>
      <c r="DP30" s="86"/>
      <c r="DQ30" s="20"/>
      <c r="DR30" s="38"/>
      <c r="DS30" s="86"/>
      <c r="DT30" s="20"/>
      <c r="DU30" s="38"/>
      <c r="DV30" s="86" t="s">
        <v>451</v>
      </c>
      <c r="DW30" s="20"/>
      <c r="DX30" s="38"/>
      <c r="DY30" s="86"/>
      <c r="DZ30" s="20"/>
      <c r="EA30" s="38"/>
      <c r="EB30" s="86"/>
      <c r="EC30" s="20"/>
      <c r="ED30" s="38"/>
      <c r="EE30" s="86"/>
      <c r="EF30" s="20"/>
      <c r="EG30" s="38"/>
      <c r="EH30" s="86"/>
      <c r="EI30" s="20"/>
      <c r="EJ30" s="38"/>
      <c r="EK30" s="86"/>
      <c r="EL30" s="20"/>
      <c r="EM30" s="38"/>
      <c r="EN30" s="86"/>
      <c r="EO30" s="20"/>
      <c r="EP30" s="38"/>
      <c r="EQ30" s="86"/>
      <c r="ER30" s="20"/>
      <c r="ES30" s="38"/>
      <c r="ET30" s="86"/>
      <c r="EU30" s="20"/>
      <c r="EV30" s="38"/>
      <c r="EW30" s="86"/>
      <c r="EX30" s="20"/>
      <c r="EY30" s="38"/>
      <c r="EZ30" s="86"/>
      <c r="FA30" s="20"/>
      <c r="FB30" s="38"/>
      <c r="FC30" s="86"/>
      <c r="FD30" s="20"/>
      <c r="FE30" s="38"/>
      <c r="FF30" s="86"/>
      <c r="FG30" s="20"/>
      <c r="FH30" s="38"/>
      <c r="FI30" s="86"/>
      <c r="FJ30" s="20"/>
      <c r="FK30" s="84"/>
      <c r="FL30" s="86"/>
      <c r="FM30" s="20"/>
      <c r="FN30" s="84"/>
      <c r="FO30" s="86"/>
      <c r="FP30" s="20"/>
      <c r="FQ30" s="302" t="s">
        <v>451</v>
      </c>
      <c r="FR30" s="86"/>
      <c r="FS30" s="20"/>
      <c r="FT30" s="302" t="s">
        <v>451</v>
      </c>
      <c r="FU30" s="86"/>
      <c r="FV30" s="20"/>
      <c r="FW30" s="84"/>
      <c r="FX30" s="86"/>
      <c r="FY30" s="20"/>
      <c r="FZ30" s="84"/>
      <c r="GA30" s="86"/>
      <c r="GB30" s="20"/>
      <c r="GC30" s="84"/>
      <c r="GD30" s="86"/>
      <c r="GE30" s="20"/>
      <c r="GF30" s="84"/>
      <c r="GG30" s="86"/>
      <c r="GH30" s="20"/>
      <c r="GI30" s="84"/>
      <c r="GJ30" s="86"/>
      <c r="GK30" s="20"/>
      <c r="GL30" s="84"/>
      <c r="GM30" s="86"/>
      <c r="GN30" s="20"/>
      <c r="GO30" s="84"/>
      <c r="GP30" s="86"/>
      <c r="GQ30" s="20"/>
      <c r="GR30" s="84"/>
      <c r="GS30" s="86"/>
      <c r="GT30" s="20"/>
      <c r="GU30" s="84"/>
      <c r="GV30" s="86"/>
      <c r="GW30" s="20"/>
      <c r="GX30" s="84"/>
      <c r="GY30" s="86"/>
      <c r="GZ30" s="20"/>
      <c r="HA30" s="84"/>
      <c r="HB30" s="86"/>
      <c r="HC30" s="20"/>
      <c r="HD30" s="84"/>
      <c r="HE30" s="86"/>
      <c r="HF30" s="20"/>
      <c r="HG30" s="84"/>
      <c r="HH30" s="86"/>
      <c r="HI30" s="20"/>
      <c r="HJ30" s="84"/>
      <c r="HK30" s="86"/>
      <c r="HL30" s="20"/>
      <c r="HM30" s="84"/>
      <c r="HN30" s="86"/>
      <c r="HO30" s="20"/>
      <c r="HP30" s="84"/>
      <c r="HQ30" s="86"/>
      <c r="HR30" s="20"/>
      <c r="HS30" s="84"/>
      <c r="HT30" s="86"/>
      <c r="HU30" s="20"/>
      <c r="HV30" s="84"/>
      <c r="HW30" s="86"/>
      <c r="HX30" s="20"/>
      <c r="HY30" s="84"/>
      <c r="HZ30" s="86"/>
      <c r="IA30" s="20"/>
      <c r="IB30" s="302" t="s">
        <v>451</v>
      </c>
      <c r="IC30" s="86"/>
      <c r="ID30" s="20"/>
      <c r="IE30" s="302" t="s">
        <v>451</v>
      </c>
      <c r="IF30" s="86"/>
      <c r="IG30" s="20"/>
      <c r="IH30" s="84"/>
      <c r="II30" s="86"/>
      <c r="IJ30" s="20"/>
      <c r="IK30" s="302"/>
      <c r="IL30" s="86"/>
      <c r="IM30" s="20"/>
      <c r="IN30" s="302"/>
      <c r="IO30" s="86"/>
      <c r="IP30" s="20"/>
      <c r="IQ30" s="84"/>
      <c r="IR30" s="86"/>
      <c r="IS30" s="20"/>
      <c r="IT30" s="84"/>
      <c r="IU30" s="86"/>
      <c r="IV30" s="20"/>
      <c r="IW30" s="84"/>
      <c r="IX30" s="86"/>
      <c r="IY30" s="20"/>
      <c r="IZ30" s="84"/>
      <c r="JA30" s="86"/>
      <c r="JB30" s="20"/>
      <c r="JC30" s="84"/>
      <c r="JD30" s="86"/>
      <c r="JE30" s="20"/>
      <c r="JF30" s="84"/>
      <c r="JG30" s="86"/>
      <c r="JH30" s="20"/>
      <c r="JI30" s="84"/>
      <c r="JJ30" s="86"/>
      <c r="JK30" s="20"/>
      <c r="JL30" s="84"/>
      <c r="JM30" s="86"/>
      <c r="JN30" s="20"/>
      <c r="JO30" s="84"/>
      <c r="JP30" s="86"/>
      <c r="JQ30" s="20"/>
      <c r="JR30" s="84"/>
    </row>
    <row r="31" hidden="1" spans="1:278">
      <c r="A31" s="2">
        <v>10</v>
      </c>
      <c r="B31" s="2" t="s">
        <v>202</v>
      </c>
      <c r="C31" s="37" t="s">
        <v>203</v>
      </c>
      <c r="D31" s="2" t="s">
        <v>172</v>
      </c>
      <c r="E31" s="2"/>
      <c r="F31" s="20">
        <v>11764344770</v>
      </c>
      <c r="G31" s="20">
        <f>G3</f>
        <v>87823960</v>
      </c>
      <c r="H31" s="85">
        <f>F31/G31</f>
        <v>133.953704319414</v>
      </c>
      <c r="I31" s="20">
        <v>82897866082</v>
      </c>
      <c r="J31" s="20">
        <f>J3</f>
        <v>211800000</v>
      </c>
      <c r="K31" s="85">
        <f>I31/J31</f>
        <v>391.396912568461</v>
      </c>
      <c r="L31" s="20">
        <v>7948964000</v>
      </c>
      <c r="M31" s="20">
        <f>M3</f>
        <v>34090650</v>
      </c>
      <c r="N31" s="85">
        <f>L31/M31</f>
        <v>233.171382769176</v>
      </c>
      <c r="O31" s="20">
        <v>17737851455</v>
      </c>
      <c r="P31" s="20">
        <f>P3</f>
        <v>37800000</v>
      </c>
      <c r="Q31" s="85">
        <f>O31/P31</f>
        <v>469.255329497355</v>
      </c>
      <c r="R31" s="20">
        <v>7737049055</v>
      </c>
      <c r="S31" s="20">
        <f>S3</f>
        <v>37379937</v>
      </c>
      <c r="T31" s="85">
        <f>R31/S31</f>
        <v>206.984004681442</v>
      </c>
      <c r="U31" s="20">
        <v>8902366390</v>
      </c>
      <c r="V31" s="20">
        <f>V3</f>
        <v>22050000</v>
      </c>
      <c r="W31" s="85">
        <f>U31/V31</f>
        <v>403.735437188209</v>
      </c>
      <c r="X31" s="20">
        <v>8902366390</v>
      </c>
      <c r="Y31" s="20">
        <f>Y3</f>
        <v>68421000</v>
      </c>
      <c r="Z31" s="85">
        <f>X31/Y31</f>
        <v>130.111608862776</v>
      </c>
      <c r="AA31" s="20">
        <v>8902366390</v>
      </c>
      <c r="AB31" s="20">
        <f>AB3</f>
        <v>60000000</v>
      </c>
      <c r="AC31" s="85">
        <f>AA31/AB31</f>
        <v>148.372773166667</v>
      </c>
      <c r="AD31" s="20">
        <v>13699057092</v>
      </c>
      <c r="AE31" s="20">
        <f>AE3</f>
        <v>60759278</v>
      </c>
      <c r="AF31" s="85">
        <f>AD31/AE31</f>
        <v>225.464448277348</v>
      </c>
      <c r="AG31" s="20">
        <v>13941722619</v>
      </c>
      <c r="AH31" s="20">
        <f>AH3</f>
        <v>33325000</v>
      </c>
      <c r="AI31" s="85">
        <f>AG31/AH31</f>
        <v>418.356267636909</v>
      </c>
      <c r="AJ31" s="20">
        <v>11228045132</v>
      </c>
      <c r="AK31" s="20">
        <f>AK3</f>
        <v>34375000</v>
      </c>
      <c r="AL31" s="85">
        <f>AJ31/AK31</f>
        <v>326.634040203636</v>
      </c>
      <c r="AM31" s="20">
        <v>11228045132</v>
      </c>
      <c r="AN31" s="20">
        <f>AN3</f>
        <v>32000000</v>
      </c>
      <c r="AO31" s="85">
        <f>AM31/AN31</f>
        <v>350.876410375</v>
      </c>
      <c r="AP31" s="20">
        <v>7072100872</v>
      </c>
      <c r="AQ31" s="20">
        <f>AQ3</f>
        <v>26027157</v>
      </c>
      <c r="AR31" s="85">
        <f>AP31/AQ31</f>
        <v>271.720068081197</v>
      </c>
      <c r="AS31" s="20">
        <v>2805748850</v>
      </c>
      <c r="AT31" s="20">
        <f>AT3</f>
        <v>18389793</v>
      </c>
      <c r="AU31" s="85">
        <f>AS31/AT31</f>
        <v>152.570985981191</v>
      </c>
      <c r="AV31" s="20">
        <v>2805748850</v>
      </c>
      <c r="AW31" s="20">
        <f>AW3</f>
        <v>37025584</v>
      </c>
      <c r="AX31" s="85">
        <f>AV31/AW31</f>
        <v>75.7786521341567</v>
      </c>
      <c r="AY31" s="20">
        <v>4618209165</v>
      </c>
      <c r="AZ31" s="20">
        <f>AZ3</f>
        <v>13636370</v>
      </c>
      <c r="BA31" s="85">
        <f>AY31/AZ31</f>
        <v>338.668514054693</v>
      </c>
      <c r="BB31" s="20">
        <v>4618209165</v>
      </c>
      <c r="BC31" s="20">
        <f>BC3</f>
        <v>36500000</v>
      </c>
      <c r="BD31" s="85">
        <f>BB31/BC31</f>
        <v>126.526278493151</v>
      </c>
      <c r="BE31" s="20">
        <v>4618209165</v>
      </c>
      <c r="BF31" s="20">
        <f>BF3</f>
        <v>19125000</v>
      </c>
      <c r="BG31" s="85">
        <f>BE31/BF31</f>
        <v>241.474989019608</v>
      </c>
      <c r="BH31" s="20">
        <v>4581336900</v>
      </c>
      <c r="BI31" s="20">
        <f>BI3</f>
        <v>38480030</v>
      </c>
      <c r="BJ31" s="85">
        <f>BH31/BI31</f>
        <v>119.057518926051</v>
      </c>
      <c r="BK31" s="20">
        <v>4581336900</v>
      </c>
      <c r="BL31" s="20">
        <f>BL3</f>
        <v>38959421</v>
      </c>
      <c r="BM31" s="85">
        <f>BK31/BL31</f>
        <v>117.592530443407</v>
      </c>
      <c r="BN31" s="20">
        <v>4003590707</v>
      </c>
      <c r="BO31" s="20">
        <f>BO3</f>
        <v>22799299</v>
      </c>
      <c r="BP31" s="85">
        <f>BN31/BO31</f>
        <v>175.601482615759</v>
      </c>
      <c r="BQ31" s="20">
        <v>4003590707</v>
      </c>
      <c r="BR31" s="20">
        <f>BR3</f>
        <v>29000</v>
      </c>
      <c r="BS31" s="85">
        <f>BQ31/BR31</f>
        <v>138054.851965517</v>
      </c>
      <c r="BT31" s="20">
        <v>4003590707</v>
      </c>
      <c r="BU31" s="20">
        <f>BU3</f>
        <v>17891627</v>
      </c>
      <c r="BV31" s="85">
        <f>BT31/BU31</f>
        <v>223.768956674538</v>
      </c>
      <c r="BW31" s="20">
        <v>6392208790</v>
      </c>
      <c r="BX31" s="20">
        <f>BX3</f>
        <v>29000000</v>
      </c>
      <c r="BY31" s="85">
        <f>BW31/BX31</f>
        <v>220.420992758621</v>
      </c>
      <c r="BZ31" s="20">
        <v>6392208790</v>
      </c>
      <c r="CA31" s="20">
        <f>CA3</f>
        <v>36559400</v>
      </c>
      <c r="CB31" s="85">
        <f>BZ31/CA31</f>
        <v>174.844466539385</v>
      </c>
      <c r="CC31" s="20">
        <v>2155732949</v>
      </c>
      <c r="CD31" s="20">
        <f>CD3</f>
        <v>8500000</v>
      </c>
      <c r="CE31" s="85">
        <f>CC31/CD31</f>
        <v>253.615641058824</v>
      </c>
      <c r="CF31" s="20">
        <v>2155732949</v>
      </c>
      <c r="CG31" s="20">
        <f>CG3</f>
        <v>15000000</v>
      </c>
      <c r="CH31" s="85">
        <f>CF31/CG31</f>
        <v>143.715529933333</v>
      </c>
      <c r="CI31" s="20">
        <v>2143186</v>
      </c>
      <c r="CJ31" s="20">
        <f>CJ3</f>
        <v>12305</v>
      </c>
      <c r="CK31" s="85">
        <f>CI31/CJ31</f>
        <v>174.171962616822</v>
      </c>
      <c r="CL31" s="20">
        <v>2159246606</v>
      </c>
      <c r="CM31" s="20">
        <f>CM3</f>
        <v>7484000</v>
      </c>
      <c r="CN31" s="85">
        <f>CL31/CM31</f>
        <v>288.515046231961</v>
      </c>
      <c r="CO31" s="20">
        <v>873594706</v>
      </c>
      <c r="CP31" s="20">
        <f>CP3</f>
        <v>5949473</v>
      </c>
      <c r="CQ31" s="85">
        <f>CO31/CP31</f>
        <v>146.835645106718</v>
      </c>
      <c r="CR31" s="20">
        <v>2159246606</v>
      </c>
      <c r="CS31" s="20">
        <f>CS3</f>
        <v>10542604</v>
      </c>
      <c r="CT31" s="85">
        <f>CR31/CS31</f>
        <v>204.811506341318</v>
      </c>
      <c r="CU31" s="20">
        <v>6286166022</v>
      </c>
      <c r="CV31" s="20">
        <f>CV3</f>
        <v>15930000</v>
      </c>
      <c r="CW31" s="85">
        <f>CU31/CV31</f>
        <v>394.611803013183</v>
      </c>
      <c r="CX31" s="20">
        <v>2592308557</v>
      </c>
      <c r="CY31" s="20">
        <f>CY3</f>
        <v>11732000</v>
      </c>
      <c r="CZ31" s="85">
        <f>CX31/CY31</f>
        <v>220.960497528128</v>
      </c>
      <c r="DA31" s="20">
        <v>3131428396</v>
      </c>
      <c r="DB31" s="20">
        <f>DB3</f>
        <v>10000000</v>
      </c>
      <c r="DC31" s="85">
        <f>DA31/DB31</f>
        <v>313.1428396</v>
      </c>
      <c r="DD31" s="20">
        <v>3131428396</v>
      </c>
      <c r="DE31" s="20">
        <f>DE3</f>
        <v>23233518</v>
      </c>
      <c r="DF31" s="85">
        <f>DD31/DE31</f>
        <v>134.780638730648</v>
      </c>
      <c r="DG31" s="20">
        <v>4773799711</v>
      </c>
      <c r="DH31" s="20">
        <f>DH3</f>
        <v>13500000</v>
      </c>
      <c r="DI31" s="85">
        <f>DG31/DH31</f>
        <v>353.614793407407</v>
      </c>
      <c r="DJ31" s="20">
        <v>4773799711</v>
      </c>
      <c r="DK31" s="20">
        <f>DK3</f>
        <v>28000000</v>
      </c>
      <c r="DL31" s="85">
        <f>DJ31/DK31</f>
        <v>170.492846821429</v>
      </c>
      <c r="DM31" s="20">
        <v>2895604376</v>
      </c>
      <c r="DN31" s="20">
        <f>DN3</f>
        <v>11298000</v>
      </c>
      <c r="DO31" s="85">
        <f>DM31/DN31</f>
        <v>256.293536555143</v>
      </c>
      <c r="DP31" s="20">
        <v>5540077279</v>
      </c>
      <c r="DQ31" s="20">
        <f>DQ3</f>
        <v>10654170</v>
      </c>
      <c r="DR31" s="85">
        <f>DP31/DQ31</f>
        <v>519.991447386329</v>
      </c>
      <c r="DS31" s="20">
        <v>5540077279</v>
      </c>
      <c r="DT31" s="20">
        <f>DT3</f>
        <v>24671629</v>
      </c>
      <c r="DU31" s="85">
        <f>DS31/DT31</f>
        <v>224.552553015449</v>
      </c>
      <c r="DV31" s="20">
        <v>1171560311</v>
      </c>
      <c r="DW31" s="20">
        <f>DW3</f>
        <v>9339495</v>
      </c>
      <c r="DX31" s="85">
        <f>DV31/DW31</f>
        <v>125.441505241986</v>
      </c>
      <c r="DY31" s="20">
        <v>1171560311</v>
      </c>
      <c r="DZ31" s="20">
        <f>DZ3</f>
        <v>19800000</v>
      </c>
      <c r="EA31" s="85">
        <f>DY31/DZ31</f>
        <v>59.1697126767677</v>
      </c>
      <c r="EB31" s="20">
        <v>1657675088</v>
      </c>
      <c r="EC31" s="20">
        <f>EC3</f>
        <v>12098625</v>
      </c>
      <c r="ED31" s="85">
        <f>EB31/EC31</f>
        <v>137.01351087417</v>
      </c>
      <c r="EE31" s="20">
        <v>1657675088</v>
      </c>
      <c r="EF31" s="20">
        <f>EF3</f>
        <v>22500000</v>
      </c>
      <c r="EG31" s="85">
        <f>EE31/EF31</f>
        <v>73.6744483555556</v>
      </c>
      <c r="EH31" s="20">
        <v>1657675088</v>
      </c>
      <c r="EI31" s="20">
        <f>EI3</f>
        <v>5358150</v>
      </c>
      <c r="EJ31" s="85">
        <f>EH31/EI31</f>
        <v>309.374520683445</v>
      </c>
      <c r="EK31" s="20">
        <v>1657675088</v>
      </c>
      <c r="EL31" s="20">
        <f>EL3</f>
        <v>18000000</v>
      </c>
      <c r="EM31" s="85">
        <f>EK31/EL31</f>
        <v>92.0930604444444</v>
      </c>
      <c r="EN31" s="20">
        <v>2805064291</v>
      </c>
      <c r="EO31" s="20">
        <f>EO3</f>
        <v>7600000</v>
      </c>
      <c r="EP31" s="85">
        <f>EN31/EO31</f>
        <v>369.087406710526</v>
      </c>
      <c r="EQ31" s="20">
        <v>1379675562</v>
      </c>
      <c r="ER31" s="20">
        <f>ER3</f>
        <v>5350000</v>
      </c>
      <c r="ES31" s="85">
        <f>EQ31/ER31</f>
        <v>257.883282616822</v>
      </c>
      <c r="ET31" s="20">
        <v>2805064291</v>
      </c>
      <c r="EU31" s="20">
        <f>EU3</f>
        <v>7000000</v>
      </c>
      <c r="EV31" s="85">
        <f>ET31/EU31</f>
        <v>400.723470142857</v>
      </c>
      <c r="EW31" s="20">
        <v>2293778357</v>
      </c>
      <c r="EX31" s="20">
        <f>EX3</f>
        <v>10950000</v>
      </c>
      <c r="EY31" s="85">
        <f>EW31/EX31</f>
        <v>209.477475525114</v>
      </c>
      <c r="EZ31" s="20">
        <v>2635302273</v>
      </c>
      <c r="FA31" s="20">
        <f>FA3</f>
        <v>20000000</v>
      </c>
      <c r="FB31" s="85">
        <f>EZ31/FA31</f>
        <v>131.76511365</v>
      </c>
      <c r="FC31" s="20">
        <v>2635302273</v>
      </c>
      <c r="FD31" s="20">
        <f>FD3</f>
        <v>16500000</v>
      </c>
      <c r="FE31" s="85">
        <f>FC31/FD31</f>
        <v>159.715289272727</v>
      </c>
      <c r="FF31" s="20">
        <v>2635302273</v>
      </c>
      <c r="FG31" s="20">
        <f>FG3</f>
        <v>10000</v>
      </c>
      <c r="FH31" s="85">
        <f>FF31/FG31</f>
        <v>263530.2273</v>
      </c>
      <c r="FI31" s="20">
        <v>871449976</v>
      </c>
      <c r="FJ31" s="20">
        <f>FJ3</f>
        <v>6127938</v>
      </c>
      <c r="FK31" s="85">
        <f>FI31/FJ31</f>
        <v>142.209333057874</v>
      </c>
      <c r="FL31" s="20">
        <v>871449976</v>
      </c>
      <c r="FM31" s="20">
        <f>FM3</f>
        <v>11000000</v>
      </c>
      <c r="FN31" s="85">
        <f>FL31/FM31</f>
        <v>79.2227250909091</v>
      </c>
      <c r="FO31" s="20">
        <v>871449976</v>
      </c>
      <c r="FP31" s="20">
        <f>FP3</f>
        <v>5673222</v>
      </c>
      <c r="FQ31" s="85">
        <f>FO31/FP31</f>
        <v>153.607593004469</v>
      </c>
      <c r="FR31" s="20">
        <v>939422795</v>
      </c>
      <c r="FS31" s="20">
        <f>FS3</f>
        <v>6467671</v>
      </c>
      <c r="FT31" s="85">
        <f>FR31/FS31</f>
        <v>145.249007718544</v>
      </c>
      <c r="FU31" s="20">
        <v>939422795</v>
      </c>
      <c r="FV31" s="20">
        <f>FV3</f>
        <v>6326000</v>
      </c>
      <c r="FW31" s="85">
        <f>FU31/FV31</f>
        <v>148.501864527347</v>
      </c>
      <c r="FX31" s="20">
        <v>939422795</v>
      </c>
      <c r="FY31" s="20">
        <f>FY3</f>
        <v>5440534</v>
      </c>
      <c r="FZ31" s="85">
        <f>FX31/FY31</f>
        <v>172.6710640904</v>
      </c>
      <c r="GA31" s="20">
        <v>939422795</v>
      </c>
      <c r="GB31" s="20">
        <f>GB3</f>
        <v>14764000</v>
      </c>
      <c r="GC31" s="85">
        <f>GA31/GB31</f>
        <v>63.6292871173124</v>
      </c>
      <c r="GD31" s="20">
        <v>1172329843</v>
      </c>
      <c r="GE31" s="20">
        <f>GE3</f>
        <v>8025000</v>
      </c>
      <c r="GF31" s="85">
        <f>GD31/GE31</f>
        <v>146.084715638629</v>
      </c>
      <c r="GG31" s="20">
        <v>1172329843</v>
      </c>
      <c r="GH31" s="20">
        <f>GH3</f>
        <v>3921568</v>
      </c>
      <c r="GI31" s="85">
        <f>GG31/GH31</f>
        <v>298.944157796065</v>
      </c>
      <c r="GJ31" s="20">
        <v>1172329843</v>
      </c>
      <c r="GK31" s="20">
        <f>GK3</f>
        <v>6200000</v>
      </c>
      <c r="GL31" s="85">
        <f>GJ31/GK31</f>
        <v>189.085458548387</v>
      </c>
      <c r="GM31" s="20">
        <v>1172329843</v>
      </c>
      <c r="GN31" s="20">
        <f>GN3</f>
        <v>9625000</v>
      </c>
      <c r="GO31" s="85">
        <f>GM31/GN31</f>
        <v>121.800503168831</v>
      </c>
      <c r="GP31" s="20">
        <v>1172329843</v>
      </c>
      <c r="GQ31" s="20">
        <f>GQ3</f>
        <v>9625000</v>
      </c>
      <c r="GR31" s="85">
        <f>GP31/GQ31</f>
        <v>121.800503168831</v>
      </c>
      <c r="GS31" s="20">
        <v>1172329843</v>
      </c>
      <c r="GT31" s="20">
        <f>GT3</f>
        <v>6000000</v>
      </c>
      <c r="GU31" s="85">
        <f>GS31/GT31</f>
        <v>195.388307166667</v>
      </c>
      <c r="GV31" s="20">
        <v>1172329843</v>
      </c>
      <c r="GW31" s="20">
        <f>GW3</f>
        <v>4925000</v>
      </c>
      <c r="GX31" s="85">
        <f>GV31/GW31</f>
        <v>238.036516345178</v>
      </c>
      <c r="GY31" s="20">
        <v>1172329843</v>
      </c>
      <c r="GZ31" s="20">
        <f>GZ3</f>
        <v>12500000</v>
      </c>
      <c r="HA31" s="85">
        <f>GY31/GZ31</f>
        <v>93.78638744</v>
      </c>
      <c r="HB31" s="20">
        <v>1187736621</v>
      </c>
      <c r="HC31" s="20">
        <f>HC3</f>
        <v>4000000</v>
      </c>
      <c r="HD31" s="85">
        <f>HB31/HC31</f>
        <v>296.93415525</v>
      </c>
      <c r="HE31" s="20">
        <v>1187736621</v>
      </c>
      <c r="HF31" s="20">
        <f>HF3</f>
        <v>5364860</v>
      </c>
      <c r="HG31" s="85">
        <f>HE31/HF31</f>
        <v>221.391913488889</v>
      </c>
      <c r="HH31" s="20">
        <v>784248077</v>
      </c>
      <c r="HI31" s="20">
        <f>HI3</f>
        <v>7500000</v>
      </c>
      <c r="HJ31" s="85">
        <f>HH31/HI31</f>
        <v>104.566410266667</v>
      </c>
      <c r="HK31" s="20">
        <v>784248077</v>
      </c>
      <c r="HL31" s="20">
        <f>HL3</f>
        <v>5425833</v>
      </c>
      <c r="HM31" s="85">
        <f>HK31/HL31</f>
        <v>144.539663679291</v>
      </c>
      <c r="HN31" s="20">
        <v>1449198913</v>
      </c>
      <c r="HO31" s="20">
        <f>HO3</f>
        <v>4431000</v>
      </c>
      <c r="HP31" s="85">
        <f>HN31/HO31</f>
        <v>327.059109230422</v>
      </c>
      <c r="HQ31" s="20">
        <v>1504455476</v>
      </c>
      <c r="HR31" s="20">
        <f>HR3</f>
        <v>5000000</v>
      </c>
      <c r="HS31" s="85">
        <f>HQ31/HR31</f>
        <v>300.8910952</v>
      </c>
      <c r="HT31" s="20">
        <v>1504455476</v>
      </c>
      <c r="HU31" s="20">
        <f>HU3</f>
        <v>4000000</v>
      </c>
      <c r="HV31" s="85">
        <f>HT31/HU31</f>
        <v>376.113869</v>
      </c>
      <c r="HW31" s="20">
        <v>1504455476</v>
      </c>
      <c r="HX31" s="20">
        <f>HX3</f>
        <v>4657143</v>
      </c>
      <c r="HY31" s="85">
        <f>HW31/HX31</f>
        <v>323.042576961884</v>
      </c>
      <c r="HZ31" s="20">
        <v>624091000</v>
      </c>
      <c r="IA31" s="20">
        <f>IA3</f>
        <v>3881970</v>
      </c>
      <c r="IB31" s="85">
        <f>HZ31/IA31</f>
        <v>160.766569551027</v>
      </c>
      <c r="IC31" s="20">
        <v>219451092</v>
      </c>
      <c r="ID31" s="20">
        <f>ID3</f>
        <v>1340542</v>
      </c>
      <c r="IE31" s="85">
        <f>IC31/ID31</f>
        <v>163.703257339196</v>
      </c>
      <c r="IF31" s="20">
        <v>219451092</v>
      </c>
      <c r="IG31" s="20">
        <f>IG3</f>
        <v>5000000</v>
      </c>
      <c r="IH31" s="85">
        <f>IF31/IG31</f>
        <v>43.8902184</v>
      </c>
      <c r="II31" s="20">
        <v>219451092</v>
      </c>
      <c r="IJ31" s="20">
        <f>IJ3</f>
        <v>3869775</v>
      </c>
      <c r="IK31" s="85">
        <f>II31/IJ31</f>
        <v>56.7090055623389</v>
      </c>
      <c r="IL31" s="20">
        <v>219451092</v>
      </c>
      <c r="IM31" s="20">
        <f>IM3</f>
        <v>5098040</v>
      </c>
      <c r="IN31" s="85">
        <f>IL31/IM31</f>
        <v>43.046169115974</v>
      </c>
      <c r="IO31" s="20">
        <v>661759117</v>
      </c>
      <c r="IP31" s="20">
        <f>IP3</f>
        <v>2800000</v>
      </c>
      <c r="IQ31" s="85">
        <f>IO31/IP31</f>
        <v>236.342541785714</v>
      </c>
      <c r="IR31" s="20">
        <v>661759117</v>
      </c>
      <c r="IS31" s="20">
        <f>IS3</f>
        <v>3400000</v>
      </c>
      <c r="IT31" s="85">
        <f>IR31/IS31</f>
        <v>194.635034411765</v>
      </c>
      <c r="IU31" s="20">
        <v>661759117</v>
      </c>
      <c r="IV31" s="20">
        <f>IV3</f>
        <v>3714000</v>
      </c>
      <c r="IW31" s="85">
        <f>IU31/IV31</f>
        <v>178.179622240172</v>
      </c>
      <c r="IX31" s="20">
        <v>661759117</v>
      </c>
      <c r="IY31" s="20">
        <f>IY3</f>
        <v>4000000</v>
      </c>
      <c r="IZ31" s="85">
        <f>IX31/IY31</f>
        <v>165.43977925</v>
      </c>
      <c r="JA31" s="20">
        <v>834176158</v>
      </c>
      <c r="JB31" s="20">
        <f>JB3</f>
        <v>3763198</v>
      </c>
      <c r="JC31" s="85">
        <f>JA31/JB31</f>
        <v>221.666826459836</v>
      </c>
      <c r="JD31" s="20">
        <v>534023236</v>
      </c>
      <c r="JE31" s="20">
        <f>JE3</f>
        <v>3000000</v>
      </c>
      <c r="JF31" s="85">
        <f>JD31/JE31</f>
        <v>178.007745333333</v>
      </c>
      <c r="JG31" s="20">
        <v>534023236</v>
      </c>
      <c r="JH31" s="20">
        <f>JH3</f>
        <v>2500000</v>
      </c>
      <c r="JI31" s="85">
        <f>JG31/JH31</f>
        <v>213.6092944</v>
      </c>
      <c r="JJ31" s="20">
        <v>534023236</v>
      </c>
      <c r="JK31" s="20">
        <f>JK3</f>
        <v>2000000</v>
      </c>
      <c r="JL31" s="85">
        <f>JJ31/JK31</f>
        <v>267.011618</v>
      </c>
      <c r="JM31" s="20">
        <v>534023236</v>
      </c>
      <c r="JN31" s="20">
        <f>JN3</f>
        <v>2200000</v>
      </c>
      <c r="JO31" s="85">
        <f>JM31/JN31</f>
        <v>242.737834545455</v>
      </c>
      <c r="JP31" s="20">
        <v>534023236</v>
      </c>
      <c r="JQ31" s="20">
        <f>JQ3</f>
        <v>2640000</v>
      </c>
      <c r="JR31" s="85">
        <f>JP31/JQ31</f>
        <v>202.281528787879</v>
      </c>
    </row>
    <row r="32" ht="2.5" hidden="1" customHeight="1" spans="1:278">
      <c r="A32" s="2"/>
      <c r="B32" s="2"/>
      <c r="C32" s="6" t="s">
        <v>163</v>
      </c>
      <c r="D32" s="2"/>
      <c r="E32" s="2"/>
      <c r="F32" s="20"/>
      <c r="G32" s="2"/>
      <c r="H32" s="85"/>
      <c r="I32" s="20"/>
      <c r="J32" s="2"/>
      <c r="K32" s="85"/>
      <c r="L32" s="20"/>
      <c r="M32" s="2"/>
      <c r="N32" s="85"/>
      <c r="O32" s="20"/>
      <c r="P32" s="2"/>
      <c r="Q32" s="85"/>
      <c r="R32" s="20"/>
      <c r="S32" s="2"/>
      <c r="T32" s="85"/>
      <c r="U32" s="20"/>
      <c r="V32" s="2"/>
      <c r="W32" s="85"/>
      <c r="X32" s="20"/>
      <c r="Y32" s="2"/>
      <c r="Z32" s="85"/>
      <c r="AA32" s="20"/>
      <c r="AB32" s="2"/>
      <c r="AC32" s="85"/>
      <c r="AD32" s="20"/>
      <c r="AE32" s="2"/>
      <c r="AF32" s="85"/>
      <c r="AG32" s="20"/>
      <c r="AH32" s="2"/>
      <c r="AI32" s="85"/>
      <c r="AJ32" s="20"/>
      <c r="AK32" s="2"/>
      <c r="AL32" s="85"/>
      <c r="AM32" s="20"/>
      <c r="AN32" s="2"/>
      <c r="AO32" s="85"/>
      <c r="AP32" s="20"/>
      <c r="AQ32" s="2"/>
      <c r="AR32" s="85"/>
      <c r="AS32" s="20"/>
      <c r="AT32" s="2"/>
      <c r="AU32" s="85"/>
      <c r="AV32" s="20"/>
      <c r="AW32" s="2"/>
      <c r="AX32" s="85"/>
      <c r="AY32" s="20"/>
      <c r="AZ32" s="2"/>
      <c r="BA32" s="85"/>
      <c r="BB32" s="20"/>
      <c r="BC32" s="2"/>
      <c r="BD32" s="85"/>
      <c r="BE32" s="20"/>
      <c r="BF32" s="2"/>
      <c r="BG32" s="85"/>
      <c r="BH32" s="20"/>
      <c r="BI32" s="2"/>
      <c r="BJ32" s="85"/>
      <c r="BK32" s="20"/>
      <c r="BL32" s="2"/>
      <c r="BM32" s="85"/>
      <c r="BN32" s="20"/>
      <c r="BO32" s="2"/>
      <c r="BP32" s="85"/>
      <c r="BQ32" s="20"/>
      <c r="BR32" s="2"/>
      <c r="BS32" s="85"/>
      <c r="BT32" s="20"/>
      <c r="BU32" s="2"/>
      <c r="BV32" s="85"/>
      <c r="BW32" s="20"/>
      <c r="BX32" s="2"/>
      <c r="BY32" s="85"/>
      <c r="BZ32" s="20"/>
      <c r="CA32" s="2"/>
      <c r="CB32" s="85"/>
      <c r="CC32" s="20"/>
      <c r="CD32" s="2"/>
      <c r="CE32" s="85"/>
      <c r="CF32" s="20"/>
      <c r="CG32" s="2"/>
      <c r="CH32" s="85"/>
      <c r="CI32" s="20"/>
      <c r="CJ32" s="2"/>
      <c r="CK32" s="85"/>
      <c r="CL32" s="20"/>
      <c r="CM32" s="2"/>
      <c r="CN32" s="85"/>
      <c r="CO32" s="20"/>
      <c r="CP32" s="2"/>
      <c r="CQ32" s="85"/>
      <c r="CR32" s="20"/>
      <c r="CS32" s="2"/>
      <c r="CT32" s="85"/>
      <c r="CU32" s="20"/>
      <c r="CV32" s="2"/>
      <c r="CW32" s="85"/>
      <c r="CX32" s="20"/>
      <c r="CY32" s="2"/>
      <c r="CZ32" s="85"/>
      <c r="DA32" s="20"/>
      <c r="DB32" s="2"/>
      <c r="DC32" s="85"/>
      <c r="DD32" s="20"/>
      <c r="DE32" s="2"/>
      <c r="DF32" s="85"/>
      <c r="DG32" s="20"/>
      <c r="DH32" s="2"/>
      <c r="DI32" s="85"/>
      <c r="DJ32" s="20"/>
      <c r="DK32" s="2"/>
      <c r="DL32" s="85"/>
      <c r="DM32" s="20"/>
      <c r="DN32" s="2"/>
      <c r="DO32" s="85"/>
      <c r="DP32" s="20"/>
      <c r="DQ32" s="2"/>
      <c r="DR32" s="85"/>
      <c r="DS32" s="20"/>
      <c r="DT32" s="2"/>
      <c r="DU32" s="85"/>
      <c r="DV32" s="20"/>
      <c r="DW32" s="2"/>
      <c r="DX32" s="85"/>
      <c r="DY32" s="20"/>
      <c r="DZ32" s="2"/>
      <c r="EA32" s="85"/>
      <c r="EB32" s="20"/>
      <c r="EC32" s="2"/>
      <c r="ED32" s="85"/>
      <c r="EE32" s="20"/>
      <c r="EF32" s="2"/>
      <c r="EG32" s="85"/>
      <c r="EH32" s="20"/>
      <c r="EI32" s="2"/>
      <c r="EJ32" s="85"/>
      <c r="EK32" s="20"/>
      <c r="EL32" s="2"/>
      <c r="EM32" s="85"/>
      <c r="EN32" s="20"/>
      <c r="EO32" s="2"/>
      <c r="EP32" s="85"/>
      <c r="EQ32" s="20"/>
      <c r="ER32" s="2"/>
      <c r="ES32" s="85"/>
      <c r="ET32" s="20"/>
      <c r="EU32" s="2"/>
      <c r="EV32" s="85"/>
      <c r="EW32" s="20"/>
      <c r="EX32" s="2"/>
      <c r="EY32" s="85"/>
      <c r="EZ32" s="20"/>
      <c r="FA32" s="2"/>
      <c r="FB32" s="85"/>
      <c r="FC32" s="20"/>
      <c r="FD32" s="2"/>
      <c r="FE32" s="85"/>
      <c r="FF32" s="20"/>
      <c r="FG32" s="2"/>
      <c r="FH32" s="85"/>
      <c r="FI32" s="20"/>
      <c r="FJ32" s="2"/>
      <c r="FK32" s="85"/>
      <c r="FL32" s="20"/>
      <c r="FM32" s="2"/>
      <c r="FN32" s="85"/>
      <c r="FO32" s="20"/>
      <c r="FP32" s="2"/>
      <c r="FQ32" s="85"/>
      <c r="FR32" s="20"/>
      <c r="FS32" s="2"/>
      <c r="FT32" s="85"/>
      <c r="FU32" s="20"/>
      <c r="FV32" s="2"/>
      <c r="FW32" s="85"/>
      <c r="FX32" s="20"/>
      <c r="FY32" s="2"/>
      <c r="FZ32" s="85"/>
      <c r="GA32" s="20"/>
      <c r="GB32" s="2"/>
      <c r="GC32" s="85"/>
      <c r="GD32" s="20"/>
      <c r="GE32" s="2"/>
      <c r="GF32" s="85"/>
      <c r="GG32" s="20"/>
      <c r="GH32" s="2"/>
      <c r="GI32" s="85"/>
      <c r="GJ32" s="20"/>
      <c r="GK32" s="2"/>
      <c r="GL32" s="85"/>
      <c r="GM32" s="20"/>
      <c r="GN32" s="2"/>
      <c r="GO32" s="85"/>
      <c r="GP32" s="20"/>
      <c r="GQ32" s="2"/>
      <c r="GR32" s="85"/>
      <c r="GS32" s="20"/>
      <c r="GT32" s="2"/>
      <c r="GU32" s="85"/>
      <c r="GV32" s="20"/>
      <c r="GW32" s="2"/>
      <c r="GX32" s="85"/>
      <c r="GY32" s="20"/>
      <c r="GZ32" s="2"/>
      <c r="HA32" s="85"/>
      <c r="HB32" s="20"/>
      <c r="HC32" s="2"/>
      <c r="HD32" s="85"/>
      <c r="HE32" s="20"/>
      <c r="HF32" s="2"/>
      <c r="HG32" s="85"/>
      <c r="HH32" s="20"/>
      <c r="HI32" s="2"/>
      <c r="HJ32" s="85"/>
      <c r="HK32" s="20"/>
      <c r="HL32" s="2"/>
      <c r="HM32" s="85"/>
      <c r="HN32" s="20"/>
      <c r="HO32" s="2"/>
      <c r="HP32" s="85"/>
      <c r="HQ32" s="20"/>
      <c r="HR32" s="2"/>
      <c r="HS32" s="85"/>
      <c r="HT32" s="20"/>
      <c r="HU32" s="2"/>
      <c r="HV32" s="85"/>
      <c r="HW32" s="20"/>
      <c r="HX32" s="2"/>
      <c r="HY32" s="85"/>
      <c r="HZ32" s="20"/>
      <c r="IA32" s="2"/>
      <c r="IB32" s="85"/>
      <c r="IC32" s="20"/>
      <c r="ID32" s="2"/>
      <c r="IE32" s="85"/>
      <c r="IF32" s="20"/>
      <c r="IG32" s="2"/>
      <c r="IH32" s="85"/>
      <c r="II32" s="20"/>
      <c r="IJ32" s="2"/>
      <c r="IK32" s="85"/>
      <c r="IL32" s="20"/>
      <c r="IM32" s="2"/>
      <c r="IN32" s="85"/>
      <c r="IO32" s="20"/>
      <c r="IP32" s="2"/>
      <c r="IQ32" s="85"/>
      <c r="IR32" s="20"/>
      <c r="IS32" s="2"/>
      <c r="IT32" s="85"/>
      <c r="IU32" s="20"/>
      <c r="IV32" s="2"/>
      <c r="IW32" s="85"/>
      <c r="IX32" s="20"/>
      <c r="IY32" s="2"/>
      <c r="IZ32" s="85"/>
      <c r="JA32" s="20"/>
      <c r="JB32" s="2"/>
      <c r="JC32" s="85"/>
      <c r="JD32" s="20"/>
      <c r="JE32" s="2"/>
      <c r="JF32" s="85"/>
      <c r="JG32" s="20"/>
      <c r="JH32" s="2"/>
      <c r="JI32" s="85"/>
      <c r="JJ32" s="20"/>
      <c r="JK32" s="2"/>
      <c r="JL32" s="85"/>
      <c r="JM32" s="20"/>
      <c r="JN32" s="2"/>
      <c r="JO32" s="85"/>
      <c r="JP32" s="20"/>
      <c r="JQ32" s="2"/>
      <c r="JR32" s="85"/>
    </row>
    <row r="33" hidden="1" spans="1:278">
      <c r="H33" s="48"/>
      <c r="K33" s="48"/>
      <c r="N33" s="48"/>
      <c r="Q33" s="48"/>
      <c r="T33" s="48"/>
      <c r="W33" s="48"/>
      <c r="Z33" s="48"/>
      <c r="AC33" s="48"/>
      <c r="AF33" s="48"/>
      <c r="AI33" s="48"/>
      <c r="AL33" s="48"/>
      <c r="AO33" s="48"/>
      <c r="AR33" s="48"/>
      <c r="AU33" s="48"/>
      <c r="AX33" s="48"/>
      <c r="BA33" s="48"/>
      <c r="BD33" s="48"/>
      <c r="BG33" s="48"/>
      <c r="BJ33" s="48"/>
      <c r="BM33" s="48"/>
      <c r="BP33" s="48"/>
      <c r="BS33" s="48"/>
      <c r="BV33" s="48"/>
      <c r="BY33" s="48"/>
      <c r="CB33" s="48"/>
      <c r="CE33" s="48"/>
      <c r="CH33" s="48"/>
      <c r="CK33" s="48"/>
      <c r="CN33" s="48"/>
      <c r="CO33" s="83" t="s">
        <v>454</v>
      </c>
      <c r="CQ33" s="48"/>
      <c r="CT33" s="48"/>
      <c r="CW33" s="48"/>
      <c r="CZ33" s="48"/>
      <c r="DC33" s="48"/>
      <c r="DF33" s="48"/>
      <c r="DI33" s="48"/>
      <c r="DL33" s="48"/>
      <c r="DO33" s="48"/>
      <c r="DR33" s="48"/>
      <c r="DU33" s="48"/>
      <c r="DX33" s="48"/>
      <c r="EA33" s="48"/>
      <c r="ED33" s="48"/>
      <c r="EG33" s="48"/>
      <c r="EJ33" s="48"/>
      <c r="EM33" s="48"/>
      <c r="EP33" s="48"/>
      <c r="ES33" s="48"/>
      <c r="EV33" s="48"/>
      <c r="EY33" s="48"/>
      <c r="FB33" s="48"/>
      <c r="FE33" s="48"/>
      <c r="FH33" s="48"/>
      <c r="FK33" s="48"/>
      <c r="FN33" s="48"/>
      <c r="FQ33" s="48"/>
      <c r="FT33" s="48"/>
      <c r="FW33" s="48"/>
      <c r="FZ33" s="48"/>
      <c r="GC33" s="48"/>
      <c r="GF33" s="48"/>
      <c r="GI33" s="48"/>
      <c r="GL33" s="48"/>
      <c r="GO33" s="48"/>
      <c r="GR33" s="48"/>
      <c r="GU33" s="48"/>
      <c r="GX33" s="48"/>
      <c r="HA33" s="48"/>
      <c r="HD33" s="48"/>
      <c r="HG33" s="48"/>
      <c r="HJ33" s="48"/>
      <c r="HM33" s="48"/>
      <c r="HP33" s="48"/>
      <c r="HS33" s="48"/>
      <c r="HV33" s="48"/>
      <c r="HY33" s="48"/>
      <c r="IB33" s="48"/>
      <c r="IE33" s="48"/>
      <c r="IH33" s="48"/>
      <c r="IK33" s="48"/>
      <c r="IN33" s="48"/>
      <c r="IQ33" s="48"/>
      <c r="IT33" s="48"/>
      <c r="IW33" s="48"/>
      <c r="IZ33" s="48"/>
      <c r="JC33" s="48"/>
      <c r="JF33" s="48"/>
      <c r="JI33" s="48"/>
      <c r="JL33" s="48"/>
      <c r="JO33" s="48"/>
      <c r="JR33" s="48"/>
    </row>
    <row r="34" ht="14.5" hidden="1" customHeight="1" spans="1:278">
      <c r="A34" s="2">
        <v>11</v>
      </c>
      <c r="B34" s="41" t="s">
        <v>455</v>
      </c>
      <c r="C34" s="37" t="s">
        <v>456</v>
      </c>
      <c r="D34" s="41" t="s">
        <v>237</v>
      </c>
      <c r="E34" s="41"/>
      <c r="F34" s="20">
        <v>2780119920</v>
      </c>
      <c r="G34" s="46">
        <v>194514290</v>
      </c>
      <c r="H34" s="55">
        <f>F34/G34</f>
        <v>14.2926255957853</v>
      </c>
      <c r="I34" s="20">
        <v>3820514205</v>
      </c>
      <c r="J34" s="46">
        <v>9191737881</v>
      </c>
      <c r="K34" s="55">
        <f>I34/J34</f>
        <v>0.415646557208434</v>
      </c>
      <c r="L34" s="20">
        <v>628041000</v>
      </c>
      <c r="M34" s="46">
        <v>275674000</v>
      </c>
      <c r="N34" s="55">
        <f>L34/M34</f>
        <v>2.2782017890697</v>
      </c>
      <c r="O34" s="20">
        <v>1033971042</v>
      </c>
      <c r="P34" s="46">
        <v>2169856422</v>
      </c>
      <c r="Q34" s="55">
        <f>O34/P34</f>
        <v>0.476515879814282</v>
      </c>
      <c r="R34" s="239">
        <v>1</v>
      </c>
      <c r="S34" s="303">
        <v>1</v>
      </c>
      <c r="T34" s="55">
        <v>5.69</v>
      </c>
      <c r="U34" s="20">
        <v>448349730</v>
      </c>
      <c r="V34" s="20">
        <v>362111770</v>
      </c>
      <c r="W34" s="38">
        <f>U34/V34</f>
        <v>1.23815287749415</v>
      </c>
      <c r="X34" s="20">
        <v>448349730</v>
      </c>
      <c r="Y34" s="20">
        <v>362111770</v>
      </c>
      <c r="Z34" s="38">
        <f>X34/Y34</f>
        <v>1.23815287749415</v>
      </c>
      <c r="AA34" s="20">
        <v>448349730</v>
      </c>
      <c r="AB34" s="20">
        <v>362111770</v>
      </c>
      <c r="AC34" s="38">
        <f>AA34/AB34</f>
        <v>1.23815287749415</v>
      </c>
      <c r="AD34" s="20">
        <v>610170747</v>
      </c>
      <c r="AE34" s="20">
        <v>1034292875</v>
      </c>
      <c r="AF34" s="38">
        <f>AD34/AE34</f>
        <v>0.58994000804656</v>
      </c>
      <c r="AG34" s="20">
        <v>1</v>
      </c>
      <c r="AH34" s="20">
        <v>1</v>
      </c>
      <c r="AI34" s="38">
        <v>30.03</v>
      </c>
      <c r="AJ34" s="20">
        <v>1165742988</v>
      </c>
      <c r="AK34" s="20">
        <v>581577511</v>
      </c>
      <c r="AL34" s="38">
        <f>AJ34/AK34</f>
        <v>2.00444990727986</v>
      </c>
      <c r="AM34" s="20">
        <v>1165742988</v>
      </c>
      <c r="AN34" s="20">
        <v>581577511</v>
      </c>
      <c r="AO34" s="38">
        <f>AM34/AN34</f>
        <v>2.00444990727986</v>
      </c>
      <c r="AP34" s="20">
        <v>1376881657</v>
      </c>
      <c r="AQ34" s="20">
        <v>462217232</v>
      </c>
      <c r="AR34" s="38">
        <f>AP34/AQ34</f>
        <v>2.97886266819234</v>
      </c>
      <c r="AS34" s="20">
        <v>516202445</v>
      </c>
      <c r="AT34" s="20">
        <v>298391440</v>
      </c>
      <c r="AU34" s="38">
        <f>AS34/AT34</f>
        <v>1.72995058102203</v>
      </c>
      <c r="AV34" s="20">
        <v>516202445</v>
      </c>
      <c r="AW34" s="20">
        <v>298391440</v>
      </c>
      <c r="AX34" s="38">
        <f>AV34/AW34</f>
        <v>1.72995058102203</v>
      </c>
      <c r="AY34" s="20">
        <v>535748566</v>
      </c>
      <c r="AZ34" s="20">
        <v>376190723</v>
      </c>
      <c r="BA34" s="38">
        <f>AY34/AZ34</f>
        <v>1.42414082337698</v>
      </c>
      <c r="BB34" s="20">
        <v>535748566</v>
      </c>
      <c r="BC34" s="20">
        <v>376190723</v>
      </c>
      <c r="BD34" s="38">
        <f>BB34/BC34</f>
        <v>1.42414082337698</v>
      </c>
      <c r="BE34" s="20">
        <v>535748566</v>
      </c>
      <c r="BF34" s="20">
        <v>376190723</v>
      </c>
      <c r="BG34" s="38">
        <f>BE34/BF34</f>
        <v>1.42414082337698</v>
      </c>
      <c r="BH34" s="20">
        <v>1909688743</v>
      </c>
      <c r="BI34" s="20">
        <v>88983944</v>
      </c>
      <c r="BJ34" s="38">
        <f>BH34/BI34</f>
        <v>21.4610485572543</v>
      </c>
      <c r="BK34" s="20">
        <v>1909688743</v>
      </c>
      <c r="BL34" s="20">
        <v>88983944</v>
      </c>
      <c r="BM34" s="38">
        <f>BK34/BL34</f>
        <v>21.4610485572543</v>
      </c>
      <c r="BN34" s="20">
        <v>366333042</v>
      </c>
      <c r="BO34" s="20">
        <v>75001732</v>
      </c>
      <c r="BP34" s="38">
        <f>BN34/BO34</f>
        <v>4.88432776459082</v>
      </c>
      <c r="BQ34" s="20">
        <v>366333042</v>
      </c>
      <c r="BR34" s="20">
        <v>75001732</v>
      </c>
      <c r="BS34" s="38">
        <f>BQ34/BR34</f>
        <v>4.88432776459082</v>
      </c>
      <c r="BT34" s="20">
        <v>366333042</v>
      </c>
      <c r="BU34" s="20">
        <v>75001732</v>
      </c>
      <c r="BV34" s="38">
        <f>BT34/BU34</f>
        <v>4.88432776459082</v>
      </c>
      <c r="BW34" s="20">
        <v>130252152</v>
      </c>
      <c r="BX34" s="20">
        <v>4776880</v>
      </c>
      <c r="BY34" s="38">
        <f>BW34/BX34</f>
        <v>27.2672020230778</v>
      </c>
      <c r="BZ34" s="20">
        <v>130252152</v>
      </c>
      <c r="CA34" s="20">
        <v>4776880</v>
      </c>
      <c r="CB34" s="38">
        <f>BZ34/CA34</f>
        <v>27.2672020230778</v>
      </c>
      <c r="CC34" s="20">
        <v>150656591</v>
      </c>
      <c r="CD34" s="20">
        <v>96665091</v>
      </c>
      <c r="CE34" s="38">
        <f>CC34/CD34</f>
        <v>1.55854186285305</v>
      </c>
      <c r="CF34" s="20">
        <v>150656591</v>
      </c>
      <c r="CG34" s="20">
        <v>96665091</v>
      </c>
      <c r="CH34" s="38">
        <f>CF34/CG34</f>
        <v>1.55854186285305</v>
      </c>
      <c r="CI34" s="20">
        <v>145552</v>
      </c>
      <c r="CJ34" s="20">
        <v>33096</v>
      </c>
      <c r="CK34" s="38">
        <f>CI34/CJ34</f>
        <v>4.39787285472565</v>
      </c>
      <c r="CL34" s="20">
        <v>219620155</v>
      </c>
      <c r="CM34" s="20">
        <v>36820809</v>
      </c>
      <c r="CN34" s="38">
        <f>CL34/CM34</f>
        <v>5.96456625925845</v>
      </c>
      <c r="CO34" s="20">
        <v>200877259</v>
      </c>
      <c r="CP34" s="20">
        <v>20767401</v>
      </c>
      <c r="CQ34" s="38">
        <f>CO34/CP34</f>
        <v>9.67272019257489</v>
      </c>
      <c r="CR34" s="20">
        <v>219620155</v>
      </c>
      <c r="CS34" s="20">
        <v>36820809</v>
      </c>
      <c r="CT34" s="38">
        <f>CR34/CS34</f>
        <v>5.96456625925845</v>
      </c>
      <c r="CU34" s="20">
        <v>1</v>
      </c>
      <c r="CV34" s="20">
        <v>1</v>
      </c>
      <c r="CW34" s="38">
        <v>0.41</v>
      </c>
      <c r="CX34" s="20">
        <v>149880268</v>
      </c>
      <c r="CY34" s="20">
        <v>305121919</v>
      </c>
      <c r="CZ34" s="38">
        <f>CX34/CY34</f>
        <v>0.491214359463962</v>
      </c>
      <c r="DA34" s="20">
        <v>228207609</v>
      </c>
      <c r="DB34" s="20">
        <v>99092826</v>
      </c>
      <c r="DC34" s="38">
        <f>DA34/DB34</f>
        <v>2.30296801707926</v>
      </c>
      <c r="DD34" s="20">
        <v>228207609</v>
      </c>
      <c r="DE34" s="20">
        <v>99092826</v>
      </c>
      <c r="DF34" s="38">
        <f>DD34/DE34</f>
        <v>2.30296801707926</v>
      </c>
      <c r="DG34" s="20">
        <v>209824524</v>
      </c>
      <c r="DH34" s="20">
        <v>205582732</v>
      </c>
      <c r="DI34" s="38">
        <f>DG34/DH34</f>
        <v>1.02063301697927</v>
      </c>
      <c r="DJ34" s="20">
        <v>209824524</v>
      </c>
      <c r="DK34" s="20">
        <v>205582732</v>
      </c>
      <c r="DL34" s="38">
        <f>DJ34/DK34</f>
        <v>1.02063301697927</v>
      </c>
      <c r="DM34" s="20">
        <v>100620260</v>
      </c>
      <c r="DN34" s="20">
        <v>70510732</v>
      </c>
      <c r="DO34" s="38">
        <f>DM34/DN34</f>
        <v>1.42702049951772</v>
      </c>
      <c r="DP34" s="20">
        <v>268663672</v>
      </c>
      <c r="DQ34" s="20">
        <v>263252905</v>
      </c>
      <c r="DR34" s="38">
        <f>DP34/DQ34</f>
        <v>1.02055349398708</v>
      </c>
      <c r="DS34" s="20">
        <v>268663672</v>
      </c>
      <c r="DT34" s="20">
        <v>263252905</v>
      </c>
      <c r="DU34" s="38">
        <f>DS34/DT34</f>
        <v>1.02055349398708</v>
      </c>
      <c r="DV34" s="20">
        <v>154936854</v>
      </c>
      <c r="DW34" s="20">
        <v>53446237</v>
      </c>
      <c r="DX34" s="38">
        <f>DV34/DW34</f>
        <v>2.89892914256994</v>
      </c>
      <c r="DY34" s="20">
        <v>154936854</v>
      </c>
      <c r="DZ34" s="20">
        <v>53446237</v>
      </c>
      <c r="EA34" s="38">
        <f>DY34/DZ34</f>
        <v>2.89892914256994</v>
      </c>
      <c r="EB34" s="20">
        <v>95645473</v>
      </c>
      <c r="EC34" s="20">
        <v>55481391</v>
      </c>
      <c r="ED34" s="38">
        <f>EB34/EC34</f>
        <v>1.72391988153289</v>
      </c>
      <c r="EE34" s="20">
        <v>95645473</v>
      </c>
      <c r="EF34" s="20">
        <v>55481391</v>
      </c>
      <c r="EG34" s="38">
        <f>EE34/EF34</f>
        <v>1.72391988153289</v>
      </c>
      <c r="EH34" s="20">
        <v>95645473</v>
      </c>
      <c r="EI34" s="20">
        <v>55481391</v>
      </c>
      <c r="EJ34" s="38">
        <f>EH34/EI34</f>
        <v>1.72391988153289</v>
      </c>
      <c r="EK34" s="20">
        <v>95645473</v>
      </c>
      <c r="EL34" s="20">
        <v>55481391</v>
      </c>
      <c r="EM34" s="38">
        <f>EK34/EL34</f>
        <v>1.72391988153289</v>
      </c>
      <c r="EN34" s="20">
        <v>149555550</v>
      </c>
      <c r="EO34" s="20">
        <v>4035404</v>
      </c>
      <c r="EP34" s="38">
        <f>EN34/EO34</f>
        <v>37.0608618121011</v>
      </c>
      <c r="EQ34" s="20">
        <v>96879366</v>
      </c>
      <c r="ER34" s="20">
        <v>6163623</v>
      </c>
      <c r="ES34" s="38">
        <f>EQ34/ER34</f>
        <v>15.7179253176257</v>
      </c>
      <c r="ET34" s="20">
        <v>149555550</v>
      </c>
      <c r="EU34" s="20">
        <v>4035404</v>
      </c>
      <c r="EV34" s="38">
        <f>ET34/EU34</f>
        <v>37.0608618121011</v>
      </c>
      <c r="EW34" s="20">
        <v>101296739</v>
      </c>
      <c r="EX34" s="20">
        <v>33624443</v>
      </c>
      <c r="EY34" s="38">
        <f>EW34/EX34</f>
        <v>3.01259232755172</v>
      </c>
      <c r="EZ34" s="20">
        <v>834185621</v>
      </c>
      <c r="FA34" s="20">
        <v>165653077</v>
      </c>
      <c r="FB34" s="38">
        <f>EZ34/FA34</f>
        <v>5.03573876264309</v>
      </c>
      <c r="FC34" s="20">
        <v>834185621</v>
      </c>
      <c r="FD34" s="20">
        <v>165653077</v>
      </c>
      <c r="FE34" s="38">
        <f>FC34/FD34</f>
        <v>5.03573876264309</v>
      </c>
      <c r="FF34" s="20">
        <v>834185621</v>
      </c>
      <c r="FG34" s="20">
        <v>165653077</v>
      </c>
      <c r="FH34" s="38">
        <f>FF34/FG34</f>
        <v>5.03573876264309</v>
      </c>
      <c r="FI34" s="20">
        <v>162944026</v>
      </c>
      <c r="FJ34" s="20">
        <v>104310919</v>
      </c>
      <c r="FK34" s="38">
        <f>FI34/FJ34</f>
        <v>1.56209941933308</v>
      </c>
      <c r="FL34" s="20">
        <v>162944026</v>
      </c>
      <c r="FM34" s="20">
        <v>104310919</v>
      </c>
      <c r="FN34" s="38">
        <f>FL34/FM34</f>
        <v>1.56209941933308</v>
      </c>
      <c r="FO34" s="20">
        <v>162944026</v>
      </c>
      <c r="FP34" s="20">
        <v>104310919</v>
      </c>
      <c r="FQ34" s="38">
        <f>FO34/FP34</f>
        <v>1.56209941933308</v>
      </c>
      <c r="FR34" s="20">
        <v>86391512</v>
      </c>
      <c r="FS34" s="20">
        <v>4521679</v>
      </c>
      <c r="FT34" s="38">
        <f>FR34/FS34</f>
        <v>19.1060692278244</v>
      </c>
      <c r="FU34" s="20">
        <v>86391512</v>
      </c>
      <c r="FV34" s="20">
        <v>4521679</v>
      </c>
      <c r="FW34" s="38">
        <f>FU34/FV34</f>
        <v>19.1060692278244</v>
      </c>
      <c r="FX34" s="20">
        <v>86391512</v>
      </c>
      <c r="FY34" s="20">
        <v>4521679</v>
      </c>
      <c r="FZ34" s="38">
        <f>FX34/FY34</f>
        <v>19.1060692278244</v>
      </c>
      <c r="GA34" s="20">
        <v>86391512</v>
      </c>
      <c r="GB34" s="20">
        <v>4521679</v>
      </c>
      <c r="GC34" s="38">
        <f>GA34/GB34</f>
        <v>19.1060692278244</v>
      </c>
      <c r="GD34" s="20">
        <v>93362840</v>
      </c>
      <c r="GE34" s="20">
        <v>3124464</v>
      </c>
      <c r="GF34" s="38">
        <f>GD34/GE34</f>
        <v>29.8812340292607</v>
      </c>
      <c r="GG34" s="20">
        <v>93362840</v>
      </c>
      <c r="GH34" s="20">
        <v>3124464</v>
      </c>
      <c r="GI34" s="38">
        <f>GG34/GH34</f>
        <v>29.8812340292607</v>
      </c>
      <c r="GJ34" s="20">
        <v>93362840</v>
      </c>
      <c r="GK34" s="20">
        <v>3124464</v>
      </c>
      <c r="GL34" s="38">
        <f>GJ34/GK34</f>
        <v>29.8812340292607</v>
      </c>
      <c r="GM34" s="20">
        <v>93362840</v>
      </c>
      <c r="GN34" s="20">
        <v>3124464</v>
      </c>
      <c r="GO34" s="38">
        <f>GM34/GN34</f>
        <v>29.8812340292607</v>
      </c>
      <c r="GP34" s="20">
        <v>93362840</v>
      </c>
      <c r="GQ34" s="20">
        <v>3124464</v>
      </c>
      <c r="GR34" s="38">
        <f>GP34/GQ34</f>
        <v>29.8812340292607</v>
      </c>
      <c r="GS34" s="20">
        <v>93362840</v>
      </c>
      <c r="GT34" s="20">
        <v>3124464</v>
      </c>
      <c r="GU34" s="38">
        <f>GS34/GT34</f>
        <v>29.8812340292607</v>
      </c>
      <c r="GV34" s="20">
        <v>93362840</v>
      </c>
      <c r="GW34" s="20">
        <v>3124464</v>
      </c>
      <c r="GX34" s="38">
        <f>GV34/GW34</f>
        <v>29.8812340292607</v>
      </c>
      <c r="GY34" s="20">
        <v>93362840</v>
      </c>
      <c r="GZ34" s="20">
        <v>3124464</v>
      </c>
      <c r="HA34" s="38">
        <f>GY34/GZ34</f>
        <v>29.8812340292607</v>
      </c>
      <c r="HB34" s="20">
        <v>56850769</v>
      </c>
      <c r="HC34" s="20">
        <v>58401224</v>
      </c>
      <c r="HD34" s="38">
        <f>HB34/HC34</f>
        <v>0.973451669437613</v>
      </c>
      <c r="HE34" s="20">
        <v>56850769</v>
      </c>
      <c r="HF34" s="20">
        <v>58401224</v>
      </c>
      <c r="HG34" s="38">
        <f>HE34/HF34</f>
        <v>0.973451669437613</v>
      </c>
      <c r="HH34" s="20">
        <v>85574629</v>
      </c>
      <c r="HI34" s="20">
        <v>31844555</v>
      </c>
      <c r="HJ34" s="38">
        <f>HH34/HI34</f>
        <v>2.68726094618059</v>
      </c>
      <c r="HK34" s="20">
        <v>85574629</v>
      </c>
      <c r="HL34" s="20">
        <v>31844555</v>
      </c>
      <c r="HM34" s="38">
        <f>HK34/HL34</f>
        <v>2.68726094618059</v>
      </c>
      <c r="HN34" s="20">
        <v>84904207</v>
      </c>
      <c r="HO34" s="20">
        <v>96883986</v>
      </c>
      <c r="HP34" s="38">
        <f>HN34/HO34</f>
        <v>0.876349234846717</v>
      </c>
      <c r="HQ34" s="20">
        <v>37739328</v>
      </c>
      <c r="HR34" s="20">
        <v>53420783</v>
      </c>
      <c r="HS34" s="38">
        <f>HQ34/HR34</f>
        <v>0.706454040555714</v>
      </c>
      <c r="HT34" s="20">
        <v>37739328</v>
      </c>
      <c r="HU34" s="20">
        <v>53420783</v>
      </c>
      <c r="HV34" s="38">
        <f>HT34/HU34</f>
        <v>0.706454040555714</v>
      </c>
      <c r="HW34" s="20">
        <v>37739328</v>
      </c>
      <c r="HX34" s="20">
        <v>53420783</v>
      </c>
      <c r="HY34" s="38">
        <f>HW34/HX34</f>
        <v>0.706454040555714</v>
      </c>
      <c r="HZ34" s="20">
        <v>98506000</v>
      </c>
      <c r="IA34" s="20">
        <v>75528000</v>
      </c>
      <c r="IB34" s="38">
        <f>HZ34/IA34</f>
        <v>1.30423154326872</v>
      </c>
      <c r="IC34" s="20">
        <v>13254482</v>
      </c>
      <c r="ID34" s="20">
        <v>503037</v>
      </c>
      <c r="IE34" s="38">
        <f>IC34/ID34</f>
        <v>26.3489206559358</v>
      </c>
      <c r="IF34" s="20">
        <v>13254482</v>
      </c>
      <c r="IG34" s="20">
        <v>503037</v>
      </c>
      <c r="IH34" s="38">
        <f>IF34/IG34</f>
        <v>26.3489206559358</v>
      </c>
      <c r="II34" s="20">
        <v>13254482</v>
      </c>
      <c r="IJ34" s="20">
        <v>503037</v>
      </c>
      <c r="IK34" s="38">
        <f>II34/IJ34</f>
        <v>26.3489206559358</v>
      </c>
      <c r="IL34" s="20">
        <v>13254482</v>
      </c>
      <c r="IM34" s="20">
        <v>503037</v>
      </c>
      <c r="IN34" s="38">
        <f>IL34/IM34</f>
        <v>26.3489206559358</v>
      </c>
      <c r="IO34" s="20">
        <v>24855962</v>
      </c>
      <c r="IP34" s="20">
        <v>63601846</v>
      </c>
      <c r="IQ34" s="38">
        <f>IO34/IP34</f>
        <v>0.390805669382615</v>
      </c>
      <c r="IR34" s="20">
        <v>24855962</v>
      </c>
      <c r="IS34" s="20">
        <v>63601846</v>
      </c>
      <c r="IT34" s="38">
        <f>IR34/IS34</f>
        <v>0.390805669382615</v>
      </c>
      <c r="IU34" s="20">
        <v>24855962</v>
      </c>
      <c r="IV34" s="20">
        <v>63601846</v>
      </c>
      <c r="IW34" s="38">
        <f>IU34/IV34</f>
        <v>0.390805669382615</v>
      </c>
      <c r="IX34" s="20">
        <v>24855962</v>
      </c>
      <c r="IY34" s="20">
        <v>63601846</v>
      </c>
      <c r="IZ34" s="38">
        <f>IX34/IY34</f>
        <v>0.390805669382615</v>
      </c>
      <c r="JA34" s="20">
        <v>158332902</v>
      </c>
      <c r="JB34" s="20">
        <v>94531687</v>
      </c>
      <c r="JC34" s="38">
        <f>JA34/JB34</f>
        <v>1.67491882378022</v>
      </c>
      <c r="JD34" s="20">
        <v>49130915</v>
      </c>
      <c r="JE34" s="20">
        <v>30704160</v>
      </c>
      <c r="JF34" s="38">
        <f>JD34/JE34</f>
        <v>1.6001387108457</v>
      </c>
      <c r="JG34" s="20">
        <v>49130915</v>
      </c>
      <c r="JH34" s="20">
        <v>30704160</v>
      </c>
      <c r="JI34" s="38">
        <f>JG34/JH34</f>
        <v>1.6001387108457</v>
      </c>
      <c r="JJ34" s="20">
        <v>49130915</v>
      </c>
      <c r="JK34" s="20">
        <v>30704160</v>
      </c>
      <c r="JL34" s="38">
        <f>JJ34/JK34</f>
        <v>1.6001387108457</v>
      </c>
      <c r="JM34" s="20">
        <v>49130915</v>
      </c>
      <c r="JN34" s="20">
        <v>30704160</v>
      </c>
      <c r="JO34" s="38">
        <f>JM34/JN34</f>
        <v>1.6001387108457</v>
      </c>
      <c r="JP34" s="20">
        <v>49130915</v>
      </c>
      <c r="JQ34" s="20">
        <v>30704160</v>
      </c>
      <c r="JR34" s="38">
        <f>JP34/JQ34</f>
        <v>1.6001387108457</v>
      </c>
    </row>
    <row r="35" ht="6.5" hidden="1" customHeight="1" spans="1:278">
      <c r="A35" s="2"/>
      <c r="B35" s="41"/>
      <c r="C35" s="2" t="s">
        <v>457</v>
      </c>
      <c r="D35" s="41"/>
      <c r="E35" s="41"/>
      <c r="F35" s="20"/>
      <c r="G35" s="46"/>
      <c r="H35" s="55"/>
      <c r="I35" s="20"/>
      <c r="J35" s="46"/>
      <c r="K35" s="55"/>
      <c r="L35" s="20"/>
      <c r="M35" s="46"/>
      <c r="N35" s="55"/>
      <c r="O35" s="20"/>
      <c r="P35" s="46"/>
      <c r="Q35" s="55"/>
      <c r="R35" s="239"/>
      <c r="S35" s="303"/>
      <c r="T35" s="55"/>
      <c r="U35" s="20"/>
      <c r="V35" s="2"/>
      <c r="W35" s="38"/>
      <c r="X35" s="20"/>
      <c r="Y35" s="2"/>
      <c r="Z35" s="38"/>
      <c r="AA35" s="20"/>
      <c r="AB35" s="2"/>
      <c r="AC35" s="38"/>
      <c r="AD35" s="20"/>
      <c r="AE35" s="2"/>
      <c r="AF35" s="38"/>
      <c r="AG35" s="20"/>
      <c r="AH35" s="2"/>
      <c r="AI35" s="38"/>
      <c r="AJ35" s="20"/>
      <c r="AK35" s="2"/>
      <c r="AL35" s="38"/>
      <c r="AM35" s="20"/>
      <c r="AN35" s="2"/>
      <c r="AO35" s="38"/>
      <c r="AP35" s="20"/>
      <c r="AQ35" s="2"/>
      <c r="AR35" s="38"/>
      <c r="AS35" s="20"/>
      <c r="AT35" s="2"/>
      <c r="AU35" s="38"/>
      <c r="AV35" s="20"/>
      <c r="AW35" s="2"/>
      <c r="AX35" s="38"/>
      <c r="AY35" s="20"/>
      <c r="AZ35" s="2"/>
      <c r="BA35" s="38"/>
      <c r="BB35" s="20"/>
      <c r="BC35" s="2"/>
      <c r="BD35" s="38"/>
      <c r="BE35" s="20"/>
      <c r="BF35" s="2"/>
      <c r="BG35" s="38"/>
      <c r="BH35" s="20"/>
      <c r="BI35" s="2"/>
      <c r="BJ35" s="38"/>
      <c r="BK35" s="20"/>
      <c r="BL35" s="2"/>
      <c r="BM35" s="38"/>
      <c r="BN35" s="20"/>
      <c r="BO35" s="2"/>
      <c r="BP35" s="38"/>
      <c r="BQ35" s="20"/>
      <c r="BR35" s="2"/>
      <c r="BS35" s="38"/>
      <c r="BT35" s="20"/>
      <c r="BU35" s="2"/>
      <c r="BV35" s="38"/>
      <c r="BW35" s="20"/>
      <c r="BX35" s="2"/>
      <c r="BY35" s="38"/>
      <c r="BZ35" s="20"/>
      <c r="CA35" s="2"/>
      <c r="CB35" s="38"/>
      <c r="CC35" s="20"/>
      <c r="CD35" s="2"/>
      <c r="CE35" s="38"/>
      <c r="CF35" s="20"/>
      <c r="CG35" s="2"/>
      <c r="CH35" s="38"/>
      <c r="CI35" s="20"/>
      <c r="CJ35" s="2"/>
      <c r="CK35" s="38"/>
      <c r="CL35" s="20"/>
      <c r="CM35" s="2"/>
      <c r="CN35" s="38"/>
      <c r="CO35" s="20"/>
      <c r="CP35" s="2"/>
      <c r="CQ35" s="38"/>
      <c r="CR35" s="20"/>
      <c r="CS35" s="2"/>
      <c r="CT35" s="38"/>
      <c r="CU35" s="20"/>
      <c r="CV35" s="2"/>
      <c r="CW35" s="38"/>
      <c r="CX35" s="20"/>
      <c r="CY35" s="2"/>
      <c r="CZ35" s="38"/>
      <c r="DA35" s="20"/>
      <c r="DB35" s="2"/>
      <c r="DC35" s="38"/>
      <c r="DD35" s="20"/>
      <c r="DE35" s="2"/>
      <c r="DF35" s="38"/>
      <c r="DG35" s="20"/>
      <c r="DH35" s="2"/>
      <c r="DI35" s="38"/>
      <c r="DJ35" s="20"/>
      <c r="DK35" s="2"/>
      <c r="DL35" s="38"/>
      <c r="DM35" s="20"/>
      <c r="DN35" s="2"/>
      <c r="DO35" s="38"/>
      <c r="DP35" s="20"/>
      <c r="DQ35" s="2"/>
      <c r="DR35" s="38"/>
      <c r="DS35" s="20"/>
      <c r="DT35" s="2"/>
      <c r="DU35" s="38"/>
      <c r="DV35" s="20"/>
      <c r="DW35" s="2"/>
      <c r="DX35" s="38"/>
      <c r="DY35" s="20"/>
      <c r="DZ35" s="2"/>
      <c r="EA35" s="38"/>
      <c r="EB35" s="20"/>
      <c r="EC35" s="2"/>
      <c r="ED35" s="38"/>
      <c r="EE35" s="20"/>
      <c r="EF35" s="2"/>
      <c r="EG35" s="38"/>
      <c r="EH35" s="20"/>
      <c r="EI35" s="2"/>
      <c r="EJ35" s="38"/>
      <c r="EK35" s="20"/>
      <c r="EL35" s="2"/>
      <c r="EM35" s="38"/>
      <c r="EN35" s="20"/>
      <c r="EO35" s="2"/>
      <c r="EP35" s="38"/>
      <c r="EQ35" s="20"/>
      <c r="ER35" s="2"/>
      <c r="ES35" s="38"/>
      <c r="ET35" s="20"/>
      <c r="EU35" s="2"/>
      <c r="EV35" s="38"/>
      <c r="EW35" s="20"/>
      <c r="EX35" s="2"/>
      <c r="EY35" s="38"/>
      <c r="EZ35" s="20"/>
      <c r="FA35" s="2"/>
      <c r="FB35" s="38"/>
      <c r="FC35" s="20"/>
      <c r="FD35" s="2"/>
      <c r="FE35" s="38"/>
      <c r="FF35" s="20"/>
      <c r="FG35" s="2"/>
      <c r="FH35" s="38"/>
      <c r="FI35" s="20"/>
      <c r="FJ35" s="2"/>
      <c r="FK35" s="38"/>
      <c r="FL35" s="20"/>
      <c r="FM35" s="2"/>
      <c r="FN35" s="38"/>
      <c r="FO35" s="20"/>
      <c r="FP35" s="2"/>
      <c r="FQ35" s="38"/>
      <c r="FR35" s="20"/>
      <c r="FS35" s="2"/>
      <c r="FT35" s="38"/>
      <c r="FU35" s="20"/>
      <c r="FV35" s="2"/>
      <c r="FW35" s="38"/>
      <c r="FX35" s="20"/>
      <c r="FY35" s="2"/>
      <c r="FZ35" s="38"/>
      <c r="GA35" s="20"/>
      <c r="GB35" s="2"/>
      <c r="GC35" s="38"/>
      <c r="GD35" s="20"/>
      <c r="GE35" s="2"/>
      <c r="GF35" s="38"/>
      <c r="GG35" s="20"/>
      <c r="GH35" s="2"/>
      <c r="GI35" s="38"/>
      <c r="GJ35" s="20"/>
      <c r="GK35" s="2"/>
      <c r="GL35" s="38"/>
      <c r="GM35" s="20"/>
      <c r="GN35" s="2"/>
      <c r="GO35" s="38"/>
      <c r="GP35" s="20"/>
      <c r="GQ35" s="2"/>
      <c r="GR35" s="38"/>
      <c r="GS35" s="20"/>
      <c r="GT35" s="2"/>
      <c r="GU35" s="38"/>
      <c r="GV35" s="20"/>
      <c r="GW35" s="2"/>
      <c r="GX35" s="38"/>
      <c r="GY35" s="20"/>
      <c r="GZ35" s="2"/>
      <c r="HA35" s="38"/>
      <c r="HB35" s="20"/>
      <c r="HC35" s="2"/>
      <c r="HD35" s="38"/>
      <c r="HE35" s="20"/>
      <c r="HF35" s="2"/>
      <c r="HG35" s="38"/>
      <c r="HH35" s="20"/>
      <c r="HI35" s="2"/>
      <c r="HJ35" s="38"/>
      <c r="HK35" s="20"/>
      <c r="HL35" s="2"/>
      <c r="HM35" s="38"/>
      <c r="HN35" s="20"/>
      <c r="HO35" s="2"/>
      <c r="HP35" s="38"/>
      <c r="HQ35" s="20"/>
      <c r="HR35" s="2"/>
      <c r="HS35" s="38"/>
      <c r="HT35" s="20"/>
      <c r="HU35" s="2"/>
      <c r="HV35" s="38"/>
      <c r="HW35" s="20"/>
      <c r="HX35" s="2"/>
      <c r="HY35" s="38"/>
      <c r="HZ35" s="20"/>
      <c r="IA35" s="2"/>
      <c r="IB35" s="38"/>
      <c r="IC35" s="20"/>
      <c r="ID35" s="2"/>
      <c r="IE35" s="38"/>
      <c r="IF35" s="20"/>
      <c r="IG35" s="2"/>
      <c r="IH35" s="38"/>
      <c r="II35" s="20"/>
      <c r="IJ35" s="2"/>
      <c r="IK35" s="38"/>
      <c r="IL35" s="20"/>
      <c r="IM35" s="2"/>
      <c r="IN35" s="38"/>
      <c r="IO35" s="20"/>
      <c r="IP35" s="2"/>
      <c r="IQ35" s="38"/>
      <c r="IR35" s="20"/>
      <c r="IS35" s="2"/>
      <c r="IT35" s="38"/>
      <c r="IU35" s="20"/>
      <c r="IV35" s="2"/>
      <c r="IW35" s="38"/>
      <c r="IX35" s="20"/>
      <c r="IY35" s="2"/>
      <c r="IZ35" s="38"/>
      <c r="JA35" s="20"/>
      <c r="JB35" s="2"/>
      <c r="JC35" s="38"/>
      <c r="JD35" s="20"/>
      <c r="JE35" s="2"/>
      <c r="JF35" s="38"/>
      <c r="JG35" s="20"/>
      <c r="JH35" s="2"/>
      <c r="JI35" s="38"/>
      <c r="JJ35" s="20"/>
      <c r="JK35" s="2"/>
      <c r="JL35" s="38"/>
      <c r="JM35" s="20"/>
      <c r="JN35" s="2"/>
      <c r="JO35" s="38"/>
      <c r="JP35" s="20"/>
      <c r="JQ35" s="2"/>
      <c r="JR35" s="38"/>
    </row>
    <row r="36" hidden="1" spans="1:278">
      <c r="AG36" s="2" t="s">
        <v>458</v>
      </c>
      <c r="AJ36" s="2"/>
      <c r="AM36" s="2"/>
      <c r="AP36" s="2"/>
      <c r="AS36" s="2"/>
      <c r="AV36" s="2"/>
      <c r="AY36" s="2"/>
      <c r="BB36" s="2"/>
      <c r="BE36" s="2"/>
      <c r="BH36" s="2"/>
      <c r="BK36" s="2"/>
      <c r="BN36" s="2"/>
      <c r="BQ36" s="2"/>
      <c r="BT36" s="2"/>
      <c r="BW36" s="2"/>
      <c r="BZ36" s="2"/>
      <c r="CC36" s="2"/>
      <c r="CF36" s="2"/>
      <c r="CI36" s="2"/>
      <c r="CL36" s="2"/>
      <c r="CO36" s="2"/>
      <c r="CR36" s="2"/>
      <c r="CU36" s="2"/>
      <c r="CX36" s="2"/>
      <c r="DA36" s="2"/>
      <c r="DD36" s="2"/>
      <c r="DG36" s="2"/>
      <c r="DJ36" s="2"/>
      <c r="DM36" s="2"/>
      <c r="DP36" s="2"/>
      <c r="DS36" s="2"/>
      <c r="DV36" s="2"/>
      <c r="DY36" s="2"/>
      <c r="EB36" s="2"/>
      <c r="EE36" s="2"/>
      <c r="EH36" s="2"/>
      <c r="EK36" s="2"/>
      <c r="EN36" s="2"/>
      <c r="EQ36" s="2"/>
      <c r="ET36" s="2"/>
      <c r="EW36" s="2"/>
      <c r="EZ36" s="2"/>
      <c r="FC36" s="2"/>
      <c r="FF36" s="2"/>
      <c r="FI36" s="2"/>
      <c r="FL36" s="2"/>
      <c r="FO36" s="2"/>
      <c r="FR36" s="2"/>
      <c r="FU36" s="2"/>
      <c r="FX36" s="2"/>
      <c r="GA36" s="2"/>
      <c r="GD36" s="2"/>
      <c r="GG36" s="2"/>
      <c r="GJ36" s="2"/>
      <c r="GM36" s="2"/>
      <c r="GP36" s="2"/>
      <c r="GS36" s="2"/>
      <c r="GV36" s="2"/>
      <c r="GY36" s="2"/>
      <c r="HB36" s="2"/>
      <c r="HE36" s="2"/>
      <c r="HH36" s="2"/>
      <c r="HK36" s="2"/>
      <c r="HN36" s="2"/>
      <c r="HQ36" s="2"/>
      <c r="HT36" s="2"/>
      <c r="HW36" s="2"/>
      <c r="HZ36" s="2"/>
      <c r="IC36" s="2"/>
      <c r="IF36" s="2"/>
      <c r="II36" s="2"/>
      <c r="IL36" s="2"/>
      <c r="IO36" s="2"/>
      <c r="IR36" s="2"/>
      <c r="IU36" s="2"/>
      <c r="IX36" s="2"/>
      <c r="JA36" s="2"/>
      <c r="JD36" s="2"/>
      <c r="JG36" s="2"/>
      <c r="JJ36" s="2"/>
      <c r="JM36" s="2"/>
      <c r="JP36" s="2"/>
    </row>
  </sheetData>
  <mergeCells count="3390">
    <mergeCell ref="A1:D1"/>
    <mergeCell ref="F1:H1"/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AY1:BA1"/>
    <mergeCell ref="BB1:BD1"/>
    <mergeCell ref="BE1:BG1"/>
    <mergeCell ref="BH1:BJ1"/>
    <mergeCell ref="BK1:BM1"/>
    <mergeCell ref="BN1:BP1"/>
    <mergeCell ref="BQ1:BS1"/>
    <mergeCell ref="BT1:BV1"/>
    <mergeCell ref="BW1:BY1"/>
    <mergeCell ref="BZ1:CB1"/>
    <mergeCell ref="CC1:CE1"/>
    <mergeCell ref="CF1:CH1"/>
    <mergeCell ref="CI1:CK1"/>
    <mergeCell ref="CL1:CN1"/>
    <mergeCell ref="CO1:CQ1"/>
    <mergeCell ref="CR1:CT1"/>
    <mergeCell ref="CU1:CW1"/>
    <mergeCell ref="CX1:CZ1"/>
    <mergeCell ref="DA1:DC1"/>
    <mergeCell ref="DD1:DF1"/>
    <mergeCell ref="DG1:DI1"/>
    <mergeCell ref="DJ1:DL1"/>
    <mergeCell ref="DM1:DO1"/>
    <mergeCell ref="DP1:DR1"/>
    <mergeCell ref="DS1:DU1"/>
    <mergeCell ref="DV1:DX1"/>
    <mergeCell ref="DY1:EA1"/>
    <mergeCell ref="EB1:ED1"/>
    <mergeCell ref="EE1:EG1"/>
    <mergeCell ref="EH1:EJ1"/>
    <mergeCell ref="EK1:EM1"/>
    <mergeCell ref="EN1:EP1"/>
    <mergeCell ref="EQ1:ES1"/>
    <mergeCell ref="ET1:EV1"/>
    <mergeCell ref="EW1:EY1"/>
    <mergeCell ref="EZ1:FB1"/>
    <mergeCell ref="FC1:FE1"/>
    <mergeCell ref="FF1:FH1"/>
    <mergeCell ref="FI1:FK1"/>
    <mergeCell ref="FL1:FN1"/>
    <mergeCell ref="FO1:FQ1"/>
    <mergeCell ref="FR1:FT1"/>
    <mergeCell ref="FU1:FW1"/>
    <mergeCell ref="FX1:FZ1"/>
    <mergeCell ref="GA1:GC1"/>
    <mergeCell ref="GD1:GF1"/>
    <mergeCell ref="GG1:GI1"/>
    <mergeCell ref="GJ1:GL1"/>
    <mergeCell ref="GM1:GO1"/>
    <mergeCell ref="GP1:GR1"/>
    <mergeCell ref="GS1:GU1"/>
    <mergeCell ref="GV1:GX1"/>
    <mergeCell ref="GY1:HA1"/>
    <mergeCell ref="HB1:HD1"/>
    <mergeCell ref="HE1:HG1"/>
    <mergeCell ref="HH1:HJ1"/>
    <mergeCell ref="HK1:HM1"/>
    <mergeCell ref="HN1:HP1"/>
    <mergeCell ref="HQ1:HS1"/>
    <mergeCell ref="HT1:HV1"/>
    <mergeCell ref="HW1:HY1"/>
    <mergeCell ref="HZ1:IB1"/>
    <mergeCell ref="IC1:IE1"/>
    <mergeCell ref="IF1:IH1"/>
    <mergeCell ref="II1:IK1"/>
    <mergeCell ref="IL1:IN1"/>
    <mergeCell ref="IO1:IQ1"/>
    <mergeCell ref="IR1:IT1"/>
    <mergeCell ref="IU1:IW1"/>
    <mergeCell ref="IX1:IZ1"/>
    <mergeCell ref="JA1:JC1"/>
    <mergeCell ref="JD1:JF1"/>
    <mergeCell ref="JG1:JI1"/>
    <mergeCell ref="JJ1:JL1"/>
    <mergeCell ref="JM1:JO1"/>
    <mergeCell ref="JP1:JR1"/>
    <mergeCell ref="FG5:FH5"/>
    <mergeCell ref="BB6:BC6"/>
    <mergeCell ref="BK6:BL6"/>
    <mergeCell ref="BN6:BO6"/>
    <mergeCell ref="BQ6:BR6"/>
    <mergeCell ref="BT6:BU6"/>
    <mergeCell ref="BW6:BX6"/>
    <mergeCell ref="BZ6:CA6"/>
    <mergeCell ref="CC6:CD6"/>
    <mergeCell ref="CF6:CG6"/>
    <mergeCell ref="CI6:CJ6"/>
    <mergeCell ref="CL6:CM6"/>
    <mergeCell ref="CO6:CP6"/>
    <mergeCell ref="CR6:CS6"/>
    <mergeCell ref="CU6:CV6"/>
    <mergeCell ref="CX6:CY6"/>
    <mergeCell ref="DA6:DB6"/>
    <mergeCell ref="DD6:DE6"/>
    <mergeCell ref="DG6:DH6"/>
    <mergeCell ref="DJ6:DK6"/>
    <mergeCell ref="DM6:DN6"/>
    <mergeCell ref="DP6:DQ6"/>
    <mergeCell ref="DS6:DT6"/>
    <mergeCell ref="DV6:DW6"/>
    <mergeCell ref="DY6:DZ6"/>
    <mergeCell ref="EB6:EC6"/>
    <mergeCell ref="EE6:EF6"/>
    <mergeCell ref="EH6:EI6"/>
    <mergeCell ref="EK6:EL6"/>
    <mergeCell ref="EN6:EO6"/>
    <mergeCell ref="EQ6:ER6"/>
    <mergeCell ref="ET6:EU6"/>
    <mergeCell ref="EW6:EX6"/>
    <mergeCell ref="EZ6:FA6"/>
    <mergeCell ref="FC6:FD6"/>
    <mergeCell ref="FF6:FG6"/>
    <mergeCell ref="FI6:FJ6"/>
    <mergeCell ref="FL6:FM6"/>
    <mergeCell ref="FO6:FP6"/>
    <mergeCell ref="FR6:FS6"/>
    <mergeCell ref="FU6:FV6"/>
    <mergeCell ref="FX6:FY6"/>
    <mergeCell ref="GA6:GB6"/>
    <mergeCell ref="GD6:GE6"/>
    <mergeCell ref="GG6:GH6"/>
    <mergeCell ref="GJ6:GK6"/>
    <mergeCell ref="GM6:GN6"/>
    <mergeCell ref="GP6:GQ6"/>
    <mergeCell ref="GS6:GT6"/>
    <mergeCell ref="GV6:GW6"/>
    <mergeCell ref="GY6:GZ6"/>
    <mergeCell ref="HB6:HC6"/>
    <mergeCell ref="HE6:HF6"/>
    <mergeCell ref="HH6:HI6"/>
    <mergeCell ref="HK6:HL6"/>
    <mergeCell ref="HN6:HO6"/>
    <mergeCell ref="HQ6:HR6"/>
    <mergeCell ref="HT6:HU6"/>
    <mergeCell ref="HW6:HX6"/>
    <mergeCell ref="HZ6:IA6"/>
    <mergeCell ref="IC6:ID6"/>
    <mergeCell ref="IF6:IG6"/>
    <mergeCell ref="II6:IJ6"/>
    <mergeCell ref="IL6:IM6"/>
    <mergeCell ref="IO6:IP6"/>
    <mergeCell ref="IR6:IS6"/>
    <mergeCell ref="IU6:IV6"/>
    <mergeCell ref="IX6:IY6"/>
    <mergeCell ref="JA6:JB6"/>
    <mergeCell ref="JD6:JE6"/>
    <mergeCell ref="JG6:JH6"/>
    <mergeCell ref="JJ6:JK6"/>
    <mergeCell ref="JM6:JN6"/>
    <mergeCell ref="JP6:JQ6"/>
    <mergeCell ref="X9:Y9"/>
    <mergeCell ref="AA9:AB9"/>
    <mergeCell ref="AM9:AN9"/>
    <mergeCell ref="AV9:AW9"/>
    <mergeCell ref="BB9:BC9"/>
    <mergeCell ref="BE9:BF9"/>
    <mergeCell ref="BH9:BI9"/>
    <mergeCell ref="BK9:BL9"/>
    <mergeCell ref="BN9:BO9"/>
    <mergeCell ref="BQ9:BR9"/>
    <mergeCell ref="BT9:BU9"/>
    <mergeCell ref="BW9:BX9"/>
    <mergeCell ref="BZ9:CA9"/>
    <mergeCell ref="CC9:CD9"/>
    <mergeCell ref="CF9:CG9"/>
    <mergeCell ref="CI9:CJ9"/>
    <mergeCell ref="CL9:CM9"/>
    <mergeCell ref="CO9:CP9"/>
    <mergeCell ref="CR9:CS9"/>
    <mergeCell ref="CU9:CV9"/>
    <mergeCell ref="CX9:CY9"/>
    <mergeCell ref="DA9:DB9"/>
    <mergeCell ref="DD9:DE9"/>
    <mergeCell ref="DG9:DH9"/>
    <mergeCell ref="DJ9:DK9"/>
    <mergeCell ref="DM9:DN9"/>
    <mergeCell ref="DP9:DQ9"/>
    <mergeCell ref="DS9:DT9"/>
    <mergeCell ref="DV9:DW9"/>
    <mergeCell ref="DY9:DZ9"/>
    <mergeCell ref="EB9:EC9"/>
    <mergeCell ref="EE9:EF9"/>
    <mergeCell ref="EH9:EI9"/>
    <mergeCell ref="EK9:EL9"/>
    <mergeCell ref="EN9:EO9"/>
    <mergeCell ref="EQ9:ER9"/>
    <mergeCell ref="ET9:EU9"/>
    <mergeCell ref="EW9:EX9"/>
    <mergeCell ref="EZ9:FA9"/>
    <mergeCell ref="FC9:FD9"/>
    <mergeCell ref="FF9:FG9"/>
    <mergeCell ref="FI9:FJ9"/>
    <mergeCell ref="FL9:FM9"/>
    <mergeCell ref="FO9:FP9"/>
    <mergeCell ref="FR9:FS9"/>
    <mergeCell ref="FU9:FV9"/>
    <mergeCell ref="FX9:FY9"/>
    <mergeCell ref="GA9:GB9"/>
    <mergeCell ref="GD9:GE9"/>
    <mergeCell ref="GG9:GH9"/>
    <mergeCell ref="GJ9:GK9"/>
    <mergeCell ref="GM9:GN9"/>
    <mergeCell ref="GP9:GQ9"/>
    <mergeCell ref="GS9:GT9"/>
    <mergeCell ref="GV9:GW9"/>
    <mergeCell ref="GY9:GZ9"/>
    <mergeCell ref="HB9:HC9"/>
    <mergeCell ref="HE9:HF9"/>
    <mergeCell ref="HH9:HI9"/>
    <mergeCell ref="HK9:HL9"/>
    <mergeCell ref="HN9:HO9"/>
    <mergeCell ref="HQ9:HR9"/>
    <mergeCell ref="HT9:HU9"/>
    <mergeCell ref="HW9:HX9"/>
    <mergeCell ref="HZ9:IA9"/>
    <mergeCell ref="IC9:ID9"/>
    <mergeCell ref="IF9:IG9"/>
    <mergeCell ref="II9:IJ9"/>
    <mergeCell ref="IL9:IM9"/>
    <mergeCell ref="IO9:IP9"/>
    <mergeCell ref="IR9:IS9"/>
    <mergeCell ref="IU9:IV9"/>
    <mergeCell ref="IX9:IY9"/>
    <mergeCell ref="JA9:JB9"/>
    <mergeCell ref="JD9:JE9"/>
    <mergeCell ref="JG9:JH9"/>
    <mergeCell ref="JJ9:JK9"/>
    <mergeCell ref="JM9:JN9"/>
    <mergeCell ref="JP9:JQ9"/>
    <mergeCell ref="BH12:BI12"/>
    <mergeCell ref="BK12:BL12"/>
    <mergeCell ref="BN12:BO12"/>
    <mergeCell ref="BQ12:BR12"/>
    <mergeCell ref="BT12:BU12"/>
    <mergeCell ref="BW12:BX12"/>
    <mergeCell ref="BZ12:CA12"/>
    <mergeCell ref="CC12:CD12"/>
    <mergeCell ref="CF12:CG12"/>
    <mergeCell ref="CI12:CJ12"/>
    <mergeCell ref="CL12:CM12"/>
    <mergeCell ref="CO12:CP12"/>
    <mergeCell ref="CR12:CS12"/>
    <mergeCell ref="CU12:CV12"/>
    <mergeCell ref="CX12:CY12"/>
    <mergeCell ref="DA12:DB12"/>
    <mergeCell ref="DD12:DE12"/>
    <mergeCell ref="DG12:DH12"/>
    <mergeCell ref="DJ12:DK12"/>
    <mergeCell ref="DM12:DN12"/>
    <mergeCell ref="DP12:DQ12"/>
    <mergeCell ref="DS12:DT12"/>
    <mergeCell ref="DV12:DW12"/>
    <mergeCell ref="DY12:DZ12"/>
    <mergeCell ref="EB12:EC12"/>
    <mergeCell ref="EE12:EF12"/>
    <mergeCell ref="EH12:EI12"/>
    <mergeCell ref="EK12:EL12"/>
    <mergeCell ref="EN12:EO12"/>
    <mergeCell ref="EQ12:ER12"/>
    <mergeCell ref="ET12:EU12"/>
    <mergeCell ref="EW12:EX12"/>
    <mergeCell ref="EZ12:FA12"/>
    <mergeCell ref="FC12:FD12"/>
    <mergeCell ref="FF12:FG12"/>
    <mergeCell ref="FI12:FJ12"/>
    <mergeCell ref="FL12:FM12"/>
    <mergeCell ref="FO12:FP12"/>
    <mergeCell ref="FR12:FS12"/>
    <mergeCell ref="FU12:FV12"/>
    <mergeCell ref="FX12:FY12"/>
    <mergeCell ref="GA12:GB12"/>
    <mergeCell ref="GD12:GE12"/>
    <mergeCell ref="GG12:GH12"/>
    <mergeCell ref="GJ12:GK12"/>
    <mergeCell ref="GM12:GN12"/>
    <mergeCell ref="GP12:GQ12"/>
    <mergeCell ref="GS12:GT12"/>
    <mergeCell ref="GV12:GW12"/>
    <mergeCell ref="GY12:GZ12"/>
    <mergeCell ref="HB12:HC12"/>
    <mergeCell ref="HE12:HF12"/>
    <mergeCell ref="HH12:HI12"/>
    <mergeCell ref="HK12:HL12"/>
    <mergeCell ref="HN12:HO12"/>
    <mergeCell ref="HQ12:HR12"/>
    <mergeCell ref="HT12:HU12"/>
    <mergeCell ref="HW12:HX12"/>
    <mergeCell ref="HZ12:IA12"/>
    <mergeCell ref="IC12:ID12"/>
    <mergeCell ref="IF12:IG12"/>
    <mergeCell ref="II12:IJ12"/>
    <mergeCell ref="FU18:FV18"/>
    <mergeCell ref="FX18:FY18"/>
    <mergeCell ref="GA18:GB18"/>
    <mergeCell ref="GD18:GE18"/>
    <mergeCell ref="GG18:GH18"/>
    <mergeCell ref="GJ18:GK18"/>
    <mergeCell ref="GM18:GN18"/>
    <mergeCell ref="GP18:GQ18"/>
    <mergeCell ref="GS18:GT18"/>
    <mergeCell ref="GV18:GW18"/>
    <mergeCell ref="GY18:GZ18"/>
    <mergeCell ref="HB18:HC18"/>
    <mergeCell ref="HE18:HF18"/>
    <mergeCell ref="HH18:HI18"/>
    <mergeCell ref="HK18:HL18"/>
    <mergeCell ref="HN18:HO18"/>
    <mergeCell ref="HQ18:HR18"/>
    <mergeCell ref="HT18:HU18"/>
    <mergeCell ref="HW18:HX18"/>
    <mergeCell ref="HZ18:IA18"/>
    <mergeCell ref="IC18:ID18"/>
    <mergeCell ref="IF18:IG18"/>
    <mergeCell ref="II18:IJ18"/>
    <mergeCell ref="IL18:IM18"/>
    <mergeCell ref="IO18:IP18"/>
    <mergeCell ref="IR18:IS18"/>
    <mergeCell ref="IU18:IV18"/>
    <mergeCell ref="IX18:IY18"/>
    <mergeCell ref="JA18:JB18"/>
    <mergeCell ref="JD18:JE18"/>
    <mergeCell ref="JG18:JH18"/>
    <mergeCell ref="JJ18:JK18"/>
    <mergeCell ref="JM18:JN18"/>
    <mergeCell ref="JP18:JQ18"/>
    <mergeCell ref="EX21:EY21"/>
    <mergeCell ref="A3:A4"/>
    <mergeCell ref="A7:A8"/>
    <mergeCell ref="A10:A11"/>
    <mergeCell ref="A13:A14"/>
    <mergeCell ref="A16:A17"/>
    <mergeCell ref="A19:A20"/>
    <mergeCell ref="A22:A23"/>
    <mergeCell ref="A25:A26"/>
    <mergeCell ref="A28:A29"/>
    <mergeCell ref="A31:A32"/>
    <mergeCell ref="A34:A35"/>
    <mergeCell ref="B3:B4"/>
    <mergeCell ref="B7:B8"/>
    <mergeCell ref="B10:B11"/>
    <mergeCell ref="B13:B14"/>
    <mergeCell ref="B16:B17"/>
    <mergeCell ref="B19:B20"/>
    <mergeCell ref="B22:B23"/>
    <mergeCell ref="B25:B26"/>
    <mergeCell ref="B28:B29"/>
    <mergeCell ref="B31:B32"/>
    <mergeCell ref="B34:B35"/>
    <mergeCell ref="C13:C14"/>
    <mergeCell ref="D3:D4"/>
    <mergeCell ref="D7:D8"/>
    <mergeCell ref="D10:D11"/>
    <mergeCell ref="D13:D14"/>
    <mergeCell ref="D16:D17"/>
    <mergeCell ref="D19:D20"/>
    <mergeCell ref="D22:D23"/>
    <mergeCell ref="D25:D26"/>
    <mergeCell ref="D28:D29"/>
    <mergeCell ref="D31:D32"/>
    <mergeCell ref="D34:D35"/>
    <mergeCell ref="E3:E4"/>
    <mergeCell ref="E7:E8"/>
    <mergeCell ref="E10:E11"/>
    <mergeCell ref="E13:E14"/>
    <mergeCell ref="E16:E17"/>
    <mergeCell ref="E19:E20"/>
    <mergeCell ref="E22:E23"/>
    <mergeCell ref="E25:E26"/>
    <mergeCell ref="E28:E29"/>
    <mergeCell ref="E31:E32"/>
    <mergeCell ref="E34:E35"/>
    <mergeCell ref="F3:F4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G3:G4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H3:H4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I3:I4"/>
    <mergeCell ref="I7:I8"/>
    <mergeCell ref="I10:I11"/>
    <mergeCell ref="I13:I14"/>
    <mergeCell ref="I16:I17"/>
    <mergeCell ref="I19:I20"/>
    <mergeCell ref="I22:I23"/>
    <mergeCell ref="I25:I26"/>
    <mergeCell ref="I28:I29"/>
    <mergeCell ref="I31:I32"/>
    <mergeCell ref="I34:I35"/>
    <mergeCell ref="J3:J4"/>
    <mergeCell ref="J7:J8"/>
    <mergeCell ref="J10:J11"/>
    <mergeCell ref="J13:J14"/>
    <mergeCell ref="J16:J17"/>
    <mergeCell ref="J19:J20"/>
    <mergeCell ref="J22:J23"/>
    <mergeCell ref="J25:J26"/>
    <mergeCell ref="J28:J29"/>
    <mergeCell ref="J31:J32"/>
    <mergeCell ref="J34:J35"/>
    <mergeCell ref="K3:K4"/>
    <mergeCell ref="K7:K8"/>
    <mergeCell ref="K10:K11"/>
    <mergeCell ref="K13:K14"/>
    <mergeCell ref="K16:K17"/>
    <mergeCell ref="K19:K20"/>
    <mergeCell ref="K22:K23"/>
    <mergeCell ref="K25:K26"/>
    <mergeCell ref="K28:K29"/>
    <mergeCell ref="K31:K32"/>
    <mergeCell ref="K34:K35"/>
    <mergeCell ref="L3:L4"/>
    <mergeCell ref="L7:L8"/>
    <mergeCell ref="L10:L11"/>
    <mergeCell ref="L13:L14"/>
    <mergeCell ref="L16:L17"/>
    <mergeCell ref="L19:L20"/>
    <mergeCell ref="L22:L23"/>
    <mergeCell ref="L25:L26"/>
    <mergeCell ref="L28:L29"/>
    <mergeCell ref="L31:L32"/>
    <mergeCell ref="L34:L35"/>
    <mergeCell ref="M3:M4"/>
    <mergeCell ref="M7:M8"/>
    <mergeCell ref="M10:M11"/>
    <mergeCell ref="M13:M14"/>
    <mergeCell ref="M16:M17"/>
    <mergeCell ref="M19:M20"/>
    <mergeCell ref="M22:M23"/>
    <mergeCell ref="M25:M26"/>
    <mergeCell ref="M28:M29"/>
    <mergeCell ref="M31:M32"/>
    <mergeCell ref="M34:M35"/>
    <mergeCell ref="N3:N4"/>
    <mergeCell ref="N7:N8"/>
    <mergeCell ref="N10:N11"/>
    <mergeCell ref="N13:N14"/>
    <mergeCell ref="N16:N17"/>
    <mergeCell ref="N19:N20"/>
    <mergeCell ref="N22:N23"/>
    <mergeCell ref="N25:N26"/>
    <mergeCell ref="N28:N29"/>
    <mergeCell ref="N31:N32"/>
    <mergeCell ref="N34:N35"/>
    <mergeCell ref="O3:O4"/>
    <mergeCell ref="O7:O8"/>
    <mergeCell ref="O10:O11"/>
    <mergeCell ref="O13:O14"/>
    <mergeCell ref="O16:O17"/>
    <mergeCell ref="O19:O20"/>
    <mergeCell ref="O22:O23"/>
    <mergeCell ref="O25:O26"/>
    <mergeCell ref="O28:O29"/>
    <mergeCell ref="O31:O32"/>
    <mergeCell ref="O34:O35"/>
    <mergeCell ref="P3:P4"/>
    <mergeCell ref="P7:P8"/>
    <mergeCell ref="P10:P11"/>
    <mergeCell ref="P13:P14"/>
    <mergeCell ref="P16:P17"/>
    <mergeCell ref="P19:P20"/>
    <mergeCell ref="P22:P23"/>
    <mergeCell ref="P25:P26"/>
    <mergeCell ref="P28:P29"/>
    <mergeCell ref="P31:P32"/>
    <mergeCell ref="P34:P35"/>
    <mergeCell ref="Q3:Q4"/>
    <mergeCell ref="Q7:Q8"/>
    <mergeCell ref="Q10:Q11"/>
    <mergeCell ref="Q13:Q14"/>
    <mergeCell ref="Q16:Q17"/>
    <mergeCell ref="Q19:Q20"/>
    <mergeCell ref="Q22:Q23"/>
    <mergeCell ref="Q25:Q26"/>
    <mergeCell ref="Q28:Q29"/>
    <mergeCell ref="Q31:Q32"/>
    <mergeCell ref="Q34:Q35"/>
    <mergeCell ref="R3:R4"/>
    <mergeCell ref="R7:R8"/>
    <mergeCell ref="R10:R11"/>
    <mergeCell ref="R13:R14"/>
    <mergeCell ref="R16:R17"/>
    <mergeCell ref="R19:R20"/>
    <mergeCell ref="R22:R23"/>
    <mergeCell ref="R25:R26"/>
    <mergeCell ref="R28:R29"/>
    <mergeCell ref="R31:R32"/>
    <mergeCell ref="R34:R35"/>
    <mergeCell ref="S3:S4"/>
    <mergeCell ref="S7:S8"/>
    <mergeCell ref="S10:S11"/>
    <mergeCell ref="S13:S14"/>
    <mergeCell ref="S16:S17"/>
    <mergeCell ref="S19:S20"/>
    <mergeCell ref="S22:S23"/>
    <mergeCell ref="S25:S26"/>
    <mergeCell ref="S28:S29"/>
    <mergeCell ref="S31:S32"/>
    <mergeCell ref="S34:S35"/>
    <mergeCell ref="T3:T4"/>
    <mergeCell ref="T7:T8"/>
    <mergeCell ref="T10:T11"/>
    <mergeCell ref="T13:T14"/>
    <mergeCell ref="T16:T17"/>
    <mergeCell ref="T19:T20"/>
    <mergeCell ref="T22:T23"/>
    <mergeCell ref="T25:T26"/>
    <mergeCell ref="T28:T29"/>
    <mergeCell ref="T31:T32"/>
    <mergeCell ref="T34:T35"/>
    <mergeCell ref="U3:U4"/>
    <mergeCell ref="U7:U8"/>
    <mergeCell ref="U10:U11"/>
    <mergeCell ref="U13:U14"/>
    <mergeCell ref="U16:U17"/>
    <mergeCell ref="U19:U20"/>
    <mergeCell ref="U22:U23"/>
    <mergeCell ref="U25:U26"/>
    <mergeCell ref="U28:U29"/>
    <mergeCell ref="U31:U32"/>
    <mergeCell ref="U34:U35"/>
    <mergeCell ref="V3:V4"/>
    <mergeCell ref="V7:V8"/>
    <mergeCell ref="V10:V11"/>
    <mergeCell ref="V13:V14"/>
    <mergeCell ref="V16:V17"/>
    <mergeCell ref="V19:V20"/>
    <mergeCell ref="V22:V23"/>
    <mergeCell ref="V25:V26"/>
    <mergeCell ref="V28:V29"/>
    <mergeCell ref="V31:V32"/>
    <mergeCell ref="V34:V35"/>
    <mergeCell ref="W3:W4"/>
    <mergeCell ref="W7:W8"/>
    <mergeCell ref="W10:W11"/>
    <mergeCell ref="W13:W14"/>
    <mergeCell ref="W16:W17"/>
    <mergeCell ref="W19:W20"/>
    <mergeCell ref="W22:W23"/>
    <mergeCell ref="W25:W26"/>
    <mergeCell ref="W28:W29"/>
    <mergeCell ref="W31:W32"/>
    <mergeCell ref="W34:W35"/>
    <mergeCell ref="X3:X4"/>
    <mergeCell ref="X7:X8"/>
    <mergeCell ref="X10:X11"/>
    <mergeCell ref="X13:X14"/>
    <mergeCell ref="X16:X17"/>
    <mergeCell ref="X19:X20"/>
    <mergeCell ref="X22:X23"/>
    <mergeCell ref="X25:X26"/>
    <mergeCell ref="X28:X29"/>
    <mergeCell ref="X31:X32"/>
    <mergeCell ref="X34:X35"/>
    <mergeCell ref="Y3:Y4"/>
    <mergeCell ref="Y7:Y8"/>
    <mergeCell ref="Y10:Y11"/>
    <mergeCell ref="Y13:Y14"/>
    <mergeCell ref="Y16:Y17"/>
    <mergeCell ref="Y19:Y20"/>
    <mergeCell ref="Y22:Y23"/>
    <mergeCell ref="Y25:Y26"/>
    <mergeCell ref="Y28:Y29"/>
    <mergeCell ref="Y31:Y32"/>
    <mergeCell ref="Y34:Y35"/>
    <mergeCell ref="Z3:Z4"/>
    <mergeCell ref="Z7:Z8"/>
    <mergeCell ref="Z10:Z11"/>
    <mergeCell ref="Z13:Z14"/>
    <mergeCell ref="Z16:Z17"/>
    <mergeCell ref="Z19:Z20"/>
    <mergeCell ref="Z22:Z23"/>
    <mergeCell ref="Z25:Z26"/>
    <mergeCell ref="Z28:Z29"/>
    <mergeCell ref="Z31:Z32"/>
    <mergeCell ref="Z34:Z35"/>
    <mergeCell ref="AA3:AA4"/>
    <mergeCell ref="AA7:AA8"/>
    <mergeCell ref="AA10:AA11"/>
    <mergeCell ref="AA13:AA14"/>
    <mergeCell ref="AA16:AA17"/>
    <mergeCell ref="AA19:AA20"/>
    <mergeCell ref="AA22:AA23"/>
    <mergeCell ref="AA25:AA26"/>
    <mergeCell ref="AA28:AA29"/>
    <mergeCell ref="AA31:AA32"/>
    <mergeCell ref="AA34:AA35"/>
    <mergeCell ref="AB3:AB4"/>
    <mergeCell ref="AB7:AB8"/>
    <mergeCell ref="AB10:AB11"/>
    <mergeCell ref="AB13:AB14"/>
    <mergeCell ref="AB16:AB17"/>
    <mergeCell ref="AB19:AB20"/>
    <mergeCell ref="AB22:AB23"/>
    <mergeCell ref="AB25:AB26"/>
    <mergeCell ref="AB28:AB29"/>
    <mergeCell ref="AB31:AB32"/>
    <mergeCell ref="AB34:AB35"/>
    <mergeCell ref="AC3:AC4"/>
    <mergeCell ref="AC7:AC8"/>
    <mergeCell ref="AC10:AC11"/>
    <mergeCell ref="AC13:AC14"/>
    <mergeCell ref="AC16:AC17"/>
    <mergeCell ref="AC19:AC20"/>
    <mergeCell ref="AC22:AC23"/>
    <mergeCell ref="AC25:AC26"/>
    <mergeCell ref="AC28:AC29"/>
    <mergeCell ref="AC31:AC32"/>
    <mergeCell ref="AC34:AC35"/>
    <mergeCell ref="AD3:AD4"/>
    <mergeCell ref="AD7:AD8"/>
    <mergeCell ref="AD10:AD11"/>
    <mergeCell ref="AD13:AD14"/>
    <mergeCell ref="AD16:AD17"/>
    <mergeCell ref="AD19:AD20"/>
    <mergeCell ref="AD22:AD23"/>
    <mergeCell ref="AD25:AD26"/>
    <mergeCell ref="AD28:AD29"/>
    <mergeCell ref="AD31:AD32"/>
    <mergeCell ref="AD34:AD35"/>
    <mergeCell ref="AE3:AE4"/>
    <mergeCell ref="AE7:AE8"/>
    <mergeCell ref="AE10:AE11"/>
    <mergeCell ref="AE13:AE14"/>
    <mergeCell ref="AE16:AE17"/>
    <mergeCell ref="AE19:AE20"/>
    <mergeCell ref="AE22:AE23"/>
    <mergeCell ref="AE25:AE26"/>
    <mergeCell ref="AE28:AE29"/>
    <mergeCell ref="AE31:AE32"/>
    <mergeCell ref="AE34:AE35"/>
    <mergeCell ref="AF3:AF4"/>
    <mergeCell ref="AF7:AF8"/>
    <mergeCell ref="AF10:AF11"/>
    <mergeCell ref="AF13:AF14"/>
    <mergeCell ref="AF16:AF17"/>
    <mergeCell ref="AF19:AF20"/>
    <mergeCell ref="AF22:AF23"/>
    <mergeCell ref="AF25:AF26"/>
    <mergeCell ref="AF28:AF29"/>
    <mergeCell ref="AF31:AF32"/>
    <mergeCell ref="AF34:AF35"/>
    <mergeCell ref="AG3:AG4"/>
    <mergeCell ref="AG7:AG8"/>
    <mergeCell ref="AG10:AG11"/>
    <mergeCell ref="AG13:AG14"/>
    <mergeCell ref="AG16:AG17"/>
    <mergeCell ref="AG19:AG20"/>
    <mergeCell ref="AG22:AG23"/>
    <mergeCell ref="AG25:AG26"/>
    <mergeCell ref="AG28:AG29"/>
    <mergeCell ref="AG31:AG32"/>
    <mergeCell ref="AG34:AG35"/>
    <mergeCell ref="AH3:AH4"/>
    <mergeCell ref="AH7:AH8"/>
    <mergeCell ref="AH10:AH11"/>
    <mergeCell ref="AH13:AH14"/>
    <mergeCell ref="AH16:AH17"/>
    <mergeCell ref="AH19:AH20"/>
    <mergeCell ref="AH22:AH23"/>
    <mergeCell ref="AH25:AH26"/>
    <mergeCell ref="AH28:AH29"/>
    <mergeCell ref="AH31:AH32"/>
    <mergeCell ref="AH34:AH35"/>
    <mergeCell ref="AI3:AI4"/>
    <mergeCell ref="AI7:AI8"/>
    <mergeCell ref="AI10:AI11"/>
    <mergeCell ref="AI13:AI14"/>
    <mergeCell ref="AI16:AI17"/>
    <mergeCell ref="AI19:AI20"/>
    <mergeCell ref="AI22:AI23"/>
    <mergeCell ref="AI25:AI26"/>
    <mergeCell ref="AI28:AI29"/>
    <mergeCell ref="AI31:AI32"/>
    <mergeCell ref="AI34:AI35"/>
    <mergeCell ref="AJ3:AJ4"/>
    <mergeCell ref="AJ7:AJ8"/>
    <mergeCell ref="AJ10:AJ11"/>
    <mergeCell ref="AJ13:AJ14"/>
    <mergeCell ref="AJ16:AJ17"/>
    <mergeCell ref="AJ19:AJ20"/>
    <mergeCell ref="AJ22:AJ23"/>
    <mergeCell ref="AJ25:AJ26"/>
    <mergeCell ref="AJ28:AJ29"/>
    <mergeCell ref="AJ31:AJ32"/>
    <mergeCell ref="AJ34:AJ35"/>
    <mergeCell ref="AK3:AK4"/>
    <mergeCell ref="AK7:AK8"/>
    <mergeCell ref="AK10:AK11"/>
    <mergeCell ref="AK13:AK14"/>
    <mergeCell ref="AK16:AK17"/>
    <mergeCell ref="AK19:AK20"/>
    <mergeCell ref="AK22:AK23"/>
    <mergeCell ref="AK25:AK26"/>
    <mergeCell ref="AK28:AK29"/>
    <mergeCell ref="AK31:AK32"/>
    <mergeCell ref="AK34:AK35"/>
    <mergeCell ref="AL3:AL4"/>
    <mergeCell ref="AL7:AL8"/>
    <mergeCell ref="AL10:AL11"/>
    <mergeCell ref="AL13:AL14"/>
    <mergeCell ref="AL16:AL17"/>
    <mergeCell ref="AL19:AL20"/>
    <mergeCell ref="AL22:AL23"/>
    <mergeCell ref="AL25:AL26"/>
    <mergeCell ref="AL28:AL29"/>
    <mergeCell ref="AL31:AL32"/>
    <mergeCell ref="AL34:AL35"/>
    <mergeCell ref="AM3:AM4"/>
    <mergeCell ref="AM7:AM8"/>
    <mergeCell ref="AM10:AM11"/>
    <mergeCell ref="AM13:AM14"/>
    <mergeCell ref="AM16:AM17"/>
    <mergeCell ref="AM19:AM20"/>
    <mergeCell ref="AM22:AM23"/>
    <mergeCell ref="AM25:AM26"/>
    <mergeCell ref="AM28:AM29"/>
    <mergeCell ref="AM31:AM32"/>
    <mergeCell ref="AM34:AM35"/>
    <mergeCell ref="AN3:AN4"/>
    <mergeCell ref="AN7:AN8"/>
    <mergeCell ref="AN10:AN11"/>
    <mergeCell ref="AN13:AN14"/>
    <mergeCell ref="AN16:AN17"/>
    <mergeCell ref="AN19:AN20"/>
    <mergeCell ref="AN22:AN23"/>
    <mergeCell ref="AN25:AN26"/>
    <mergeCell ref="AN28:AN29"/>
    <mergeCell ref="AN31:AN32"/>
    <mergeCell ref="AN34:AN35"/>
    <mergeCell ref="AO3:AO4"/>
    <mergeCell ref="AO7:AO8"/>
    <mergeCell ref="AO10:AO11"/>
    <mergeCell ref="AO13:AO14"/>
    <mergeCell ref="AO16:AO17"/>
    <mergeCell ref="AO19:AO20"/>
    <mergeCell ref="AO22:AO23"/>
    <mergeCell ref="AO25:AO26"/>
    <mergeCell ref="AO28:AO29"/>
    <mergeCell ref="AO31:AO32"/>
    <mergeCell ref="AO34:AO35"/>
    <mergeCell ref="AP3:AP4"/>
    <mergeCell ref="AP7:AP8"/>
    <mergeCell ref="AP10:AP11"/>
    <mergeCell ref="AP13:AP14"/>
    <mergeCell ref="AP16:AP17"/>
    <mergeCell ref="AP19:AP20"/>
    <mergeCell ref="AP22:AP23"/>
    <mergeCell ref="AP25:AP26"/>
    <mergeCell ref="AP28:AP29"/>
    <mergeCell ref="AP31:AP32"/>
    <mergeCell ref="AP34:AP35"/>
    <mergeCell ref="AQ3:AQ4"/>
    <mergeCell ref="AQ7:AQ8"/>
    <mergeCell ref="AQ10:AQ11"/>
    <mergeCell ref="AQ13:AQ14"/>
    <mergeCell ref="AQ16:AQ17"/>
    <mergeCell ref="AQ19:AQ20"/>
    <mergeCell ref="AQ22:AQ23"/>
    <mergeCell ref="AQ25:AQ26"/>
    <mergeCell ref="AQ28:AQ29"/>
    <mergeCell ref="AQ31:AQ32"/>
    <mergeCell ref="AQ34:AQ35"/>
    <mergeCell ref="AR3:AR4"/>
    <mergeCell ref="AR7:AR8"/>
    <mergeCell ref="AR10:AR11"/>
    <mergeCell ref="AR13:AR14"/>
    <mergeCell ref="AR16:AR17"/>
    <mergeCell ref="AR19:AR20"/>
    <mergeCell ref="AR22:AR23"/>
    <mergeCell ref="AR25:AR26"/>
    <mergeCell ref="AR28:AR29"/>
    <mergeCell ref="AR31:AR32"/>
    <mergeCell ref="AR34:AR35"/>
    <mergeCell ref="AS3:AS4"/>
    <mergeCell ref="AS7:AS8"/>
    <mergeCell ref="AS10:AS11"/>
    <mergeCell ref="AS13:AS14"/>
    <mergeCell ref="AS16:AS17"/>
    <mergeCell ref="AS19:AS20"/>
    <mergeCell ref="AS22:AS23"/>
    <mergeCell ref="AS25:AS26"/>
    <mergeCell ref="AS28:AS29"/>
    <mergeCell ref="AS31:AS32"/>
    <mergeCell ref="AS34:AS35"/>
    <mergeCell ref="AT3:AT4"/>
    <mergeCell ref="AT7:AT8"/>
    <mergeCell ref="AT10:AT11"/>
    <mergeCell ref="AT13:AT14"/>
    <mergeCell ref="AT16:AT17"/>
    <mergeCell ref="AT19:AT20"/>
    <mergeCell ref="AT22:AT23"/>
    <mergeCell ref="AT25:AT26"/>
    <mergeCell ref="AT28:AT29"/>
    <mergeCell ref="AT31:AT32"/>
    <mergeCell ref="AT34:AT35"/>
    <mergeCell ref="AU3:AU4"/>
    <mergeCell ref="AU7:AU8"/>
    <mergeCell ref="AU10:AU11"/>
    <mergeCell ref="AU13:AU14"/>
    <mergeCell ref="AU16:AU17"/>
    <mergeCell ref="AU19:AU20"/>
    <mergeCell ref="AU22:AU23"/>
    <mergeCell ref="AU25:AU26"/>
    <mergeCell ref="AU28:AU29"/>
    <mergeCell ref="AU31:AU32"/>
    <mergeCell ref="AU34:AU35"/>
    <mergeCell ref="AV3:AV4"/>
    <mergeCell ref="AV7:AV8"/>
    <mergeCell ref="AV10:AV11"/>
    <mergeCell ref="AV13:AV14"/>
    <mergeCell ref="AV16:AV17"/>
    <mergeCell ref="AV19:AV20"/>
    <mergeCell ref="AV22:AV23"/>
    <mergeCell ref="AV25:AV26"/>
    <mergeCell ref="AV28:AV29"/>
    <mergeCell ref="AV31:AV32"/>
    <mergeCell ref="AV34:AV35"/>
    <mergeCell ref="AW3:AW4"/>
    <mergeCell ref="AW7:AW8"/>
    <mergeCell ref="AW10:AW11"/>
    <mergeCell ref="AW13:AW14"/>
    <mergeCell ref="AW16:AW17"/>
    <mergeCell ref="AW19:AW20"/>
    <mergeCell ref="AW22:AW23"/>
    <mergeCell ref="AW25:AW26"/>
    <mergeCell ref="AW28:AW29"/>
    <mergeCell ref="AW31:AW32"/>
    <mergeCell ref="AW34:AW35"/>
    <mergeCell ref="AX3:AX4"/>
    <mergeCell ref="AX7:AX8"/>
    <mergeCell ref="AX10:AX11"/>
    <mergeCell ref="AX13:AX14"/>
    <mergeCell ref="AX16:AX17"/>
    <mergeCell ref="AX19:AX20"/>
    <mergeCell ref="AX22:AX23"/>
    <mergeCell ref="AX25:AX26"/>
    <mergeCell ref="AX28:AX29"/>
    <mergeCell ref="AX31:AX32"/>
    <mergeCell ref="AX34:AX35"/>
    <mergeCell ref="AY3:AY4"/>
    <mergeCell ref="AY7:AY8"/>
    <mergeCell ref="AY10:AY11"/>
    <mergeCell ref="AY13:AY14"/>
    <mergeCell ref="AY16:AY17"/>
    <mergeCell ref="AY19:AY20"/>
    <mergeCell ref="AY22:AY23"/>
    <mergeCell ref="AY25:AY26"/>
    <mergeCell ref="AY28:AY29"/>
    <mergeCell ref="AY31:AY32"/>
    <mergeCell ref="AY34:AY35"/>
    <mergeCell ref="AZ3:AZ4"/>
    <mergeCell ref="AZ7:AZ8"/>
    <mergeCell ref="AZ10:AZ11"/>
    <mergeCell ref="AZ13:AZ14"/>
    <mergeCell ref="AZ16:AZ17"/>
    <mergeCell ref="AZ19:AZ20"/>
    <mergeCell ref="AZ22:AZ23"/>
    <mergeCell ref="AZ25:AZ26"/>
    <mergeCell ref="AZ28:AZ29"/>
    <mergeCell ref="AZ31:AZ32"/>
    <mergeCell ref="AZ34:AZ35"/>
    <mergeCell ref="BA3:BA4"/>
    <mergeCell ref="BA7:BA8"/>
    <mergeCell ref="BA10:BA11"/>
    <mergeCell ref="BA13:BA14"/>
    <mergeCell ref="BA16:BA17"/>
    <mergeCell ref="BA19:BA20"/>
    <mergeCell ref="BA22:BA23"/>
    <mergeCell ref="BA25:BA26"/>
    <mergeCell ref="BA28:BA29"/>
    <mergeCell ref="BA31:BA32"/>
    <mergeCell ref="BA34:BA35"/>
    <mergeCell ref="BB3:BB4"/>
    <mergeCell ref="BB7:BB8"/>
    <mergeCell ref="BB10:BB11"/>
    <mergeCell ref="BB13:BB14"/>
    <mergeCell ref="BB16:BB17"/>
    <mergeCell ref="BB19:BB20"/>
    <mergeCell ref="BB22:BB23"/>
    <mergeCell ref="BB25:BB26"/>
    <mergeCell ref="BB28:BB29"/>
    <mergeCell ref="BB31:BB32"/>
    <mergeCell ref="BB34:BB35"/>
    <mergeCell ref="BC3:BC4"/>
    <mergeCell ref="BC7:BC8"/>
    <mergeCell ref="BC10:BC11"/>
    <mergeCell ref="BC13:BC14"/>
    <mergeCell ref="BC16:BC17"/>
    <mergeCell ref="BC19:BC20"/>
    <mergeCell ref="BC22:BC23"/>
    <mergeCell ref="BC25:BC26"/>
    <mergeCell ref="BC28:BC29"/>
    <mergeCell ref="BC31:BC32"/>
    <mergeCell ref="BC34:BC35"/>
    <mergeCell ref="BD3:BD4"/>
    <mergeCell ref="BD7:BD8"/>
    <mergeCell ref="BD10:BD11"/>
    <mergeCell ref="BD13:BD14"/>
    <mergeCell ref="BD16:BD17"/>
    <mergeCell ref="BD19:BD20"/>
    <mergeCell ref="BD22:BD23"/>
    <mergeCell ref="BD25:BD26"/>
    <mergeCell ref="BD28:BD29"/>
    <mergeCell ref="BD31:BD32"/>
    <mergeCell ref="BD34:BD35"/>
    <mergeCell ref="BE3:BE4"/>
    <mergeCell ref="BE7:BE8"/>
    <mergeCell ref="BE10:BE11"/>
    <mergeCell ref="BE13:BE14"/>
    <mergeCell ref="BE16:BE17"/>
    <mergeCell ref="BE19:BE20"/>
    <mergeCell ref="BE22:BE23"/>
    <mergeCell ref="BE25:BE26"/>
    <mergeCell ref="BE28:BE29"/>
    <mergeCell ref="BE31:BE32"/>
    <mergeCell ref="BE34:BE35"/>
    <mergeCell ref="BF3:BF4"/>
    <mergeCell ref="BF7:BF8"/>
    <mergeCell ref="BF10:BF11"/>
    <mergeCell ref="BF13:BF14"/>
    <mergeCell ref="BF16:BF17"/>
    <mergeCell ref="BF19:BF20"/>
    <mergeCell ref="BF22:BF23"/>
    <mergeCell ref="BF25:BF26"/>
    <mergeCell ref="BF28:BF29"/>
    <mergeCell ref="BF31:BF32"/>
    <mergeCell ref="BF34:BF35"/>
    <mergeCell ref="BG3:BG4"/>
    <mergeCell ref="BG7:BG8"/>
    <mergeCell ref="BG10:BG11"/>
    <mergeCell ref="BG13:BG14"/>
    <mergeCell ref="BG16:BG17"/>
    <mergeCell ref="BG19:BG20"/>
    <mergeCell ref="BG22:BG23"/>
    <mergeCell ref="BG25:BG26"/>
    <mergeCell ref="BG28:BG29"/>
    <mergeCell ref="BG31:BG32"/>
    <mergeCell ref="BG34:BG35"/>
    <mergeCell ref="BH3:BH4"/>
    <mergeCell ref="BH7:BH8"/>
    <mergeCell ref="BH10:BH11"/>
    <mergeCell ref="BH13:BH14"/>
    <mergeCell ref="BH16:BH17"/>
    <mergeCell ref="BH19:BH20"/>
    <mergeCell ref="BH22:BH23"/>
    <mergeCell ref="BH25:BH26"/>
    <mergeCell ref="BH28:BH29"/>
    <mergeCell ref="BH31:BH32"/>
    <mergeCell ref="BH34:BH35"/>
    <mergeCell ref="BI3:BI4"/>
    <mergeCell ref="BI7:BI8"/>
    <mergeCell ref="BI10:BI11"/>
    <mergeCell ref="BI13:BI14"/>
    <mergeCell ref="BI16:BI17"/>
    <mergeCell ref="BI19:BI20"/>
    <mergeCell ref="BI22:BI23"/>
    <mergeCell ref="BI25:BI26"/>
    <mergeCell ref="BI28:BI29"/>
    <mergeCell ref="BI31:BI32"/>
    <mergeCell ref="BI34:BI35"/>
    <mergeCell ref="BJ3:BJ4"/>
    <mergeCell ref="BJ7:BJ8"/>
    <mergeCell ref="BJ10:BJ11"/>
    <mergeCell ref="BJ13:BJ14"/>
    <mergeCell ref="BJ16:BJ17"/>
    <mergeCell ref="BJ19:BJ20"/>
    <mergeCell ref="BJ22:BJ23"/>
    <mergeCell ref="BJ25:BJ26"/>
    <mergeCell ref="BJ28:BJ29"/>
    <mergeCell ref="BJ31:BJ32"/>
    <mergeCell ref="BJ34:BJ35"/>
    <mergeCell ref="BK3:BK4"/>
    <mergeCell ref="BK7:BK8"/>
    <mergeCell ref="BK10:BK11"/>
    <mergeCell ref="BK13:BK14"/>
    <mergeCell ref="BK16:BK17"/>
    <mergeCell ref="BK19:BK20"/>
    <mergeCell ref="BK22:BK23"/>
    <mergeCell ref="BK25:BK26"/>
    <mergeCell ref="BK28:BK29"/>
    <mergeCell ref="BK31:BK32"/>
    <mergeCell ref="BK34:BK35"/>
    <mergeCell ref="BL3:BL4"/>
    <mergeCell ref="BL7:BL8"/>
    <mergeCell ref="BL10:BL11"/>
    <mergeCell ref="BL13:BL14"/>
    <mergeCell ref="BL16:BL17"/>
    <mergeCell ref="BL19:BL20"/>
    <mergeCell ref="BL22:BL23"/>
    <mergeCell ref="BL25:BL26"/>
    <mergeCell ref="BL28:BL29"/>
    <mergeCell ref="BL31:BL32"/>
    <mergeCell ref="BL34:BL35"/>
    <mergeCell ref="BM3:BM4"/>
    <mergeCell ref="BM7:BM8"/>
    <mergeCell ref="BM10:BM11"/>
    <mergeCell ref="BM13:BM14"/>
    <mergeCell ref="BM16:BM17"/>
    <mergeCell ref="BM19:BM20"/>
    <mergeCell ref="BM22:BM23"/>
    <mergeCell ref="BM25:BM26"/>
    <mergeCell ref="BM28:BM29"/>
    <mergeCell ref="BM31:BM32"/>
    <mergeCell ref="BM34:BM35"/>
    <mergeCell ref="BN3:BN4"/>
    <mergeCell ref="BN7:BN8"/>
    <mergeCell ref="BN10:BN11"/>
    <mergeCell ref="BN13:BN14"/>
    <mergeCell ref="BN16:BN17"/>
    <mergeCell ref="BN19:BN20"/>
    <mergeCell ref="BN22:BN23"/>
    <mergeCell ref="BN25:BN26"/>
    <mergeCell ref="BN28:BN29"/>
    <mergeCell ref="BN31:BN32"/>
    <mergeCell ref="BN34:BN35"/>
    <mergeCell ref="BO3:BO4"/>
    <mergeCell ref="BO7:BO8"/>
    <mergeCell ref="BO10:BO11"/>
    <mergeCell ref="BO13:BO14"/>
    <mergeCell ref="BO16:BO17"/>
    <mergeCell ref="BO19:BO20"/>
    <mergeCell ref="BO22:BO23"/>
    <mergeCell ref="BO25:BO26"/>
    <mergeCell ref="BO28:BO29"/>
    <mergeCell ref="BO31:BO32"/>
    <mergeCell ref="BO34:BO35"/>
    <mergeCell ref="BP3:BP4"/>
    <mergeCell ref="BP7:BP8"/>
    <mergeCell ref="BP10:BP11"/>
    <mergeCell ref="BP13:BP14"/>
    <mergeCell ref="BP16:BP17"/>
    <mergeCell ref="BP19:BP20"/>
    <mergeCell ref="BP22:BP23"/>
    <mergeCell ref="BP25:BP26"/>
    <mergeCell ref="BP28:BP29"/>
    <mergeCell ref="BP31:BP32"/>
    <mergeCell ref="BP34:BP35"/>
    <mergeCell ref="BQ3:BQ4"/>
    <mergeCell ref="BQ7:BQ8"/>
    <mergeCell ref="BQ10:BQ11"/>
    <mergeCell ref="BQ13:BQ14"/>
    <mergeCell ref="BQ16:BQ17"/>
    <mergeCell ref="BQ19:BQ20"/>
    <mergeCell ref="BQ22:BQ23"/>
    <mergeCell ref="BQ25:BQ26"/>
    <mergeCell ref="BQ28:BQ29"/>
    <mergeCell ref="BQ31:BQ32"/>
    <mergeCell ref="BQ34:BQ35"/>
    <mergeCell ref="BR3:BR4"/>
    <mergeCell ref="BR7:BR8"/>
    <mergeCell ref="BR10:BR11"/>
    <mergeCell ref="BR13:BR14"/>
    <mergeCell ref="BR16:BR17"/>
    <mergeCell ref="BR19:BR20"/>
    <mergeCell ref="BR22:BR23"/>
    <mergeCell ref="BR25:BR26"/>
    <mergeCell ref="BR28:BR29"/>
    <mergeCell ref="BR31:BR32"/>
    <mergeCell ref="BR34:BR35"/>
    <mergeCell ref="BS3:BS4"/>
    <mergeCell ref="BS7:BS8"/>
    <mergeCell ref="BS10:BS11"/>
    <mergeCell ref="BS13:BS14"/>
    <mergeCell ref="BS16:BS17"/>
    <mergeCell ref="BS19:BS20"/>
    <mergeCell ref="BS22:BS23"/>
    <mergeCell ref="BS25:BS26"/>
    <mergeCell ref="BS28:BS29"/>
    <mergeCell ref="BS31:BS32"/>
    <mergeCell ref="BS34:BS35"/>
    <mergeCell ref="BT3:BT4"/>
    <mergeCell ref="BT7:BT8"/>
    <mergeCell ref="BT10:BT11"/>
    <mergeCell ref="BT13:BT14"/>
    <mergeCell ref="BT16:BT17"/>
    <mergeCell ref="BT19:BT20"/>
    <mergeCell ref="BT22:BT23"/>
    <mergeCell ref="BT25:BT26"/>
    <mergeCell ref="BT28:BT29"/>
    <mergeCell ref="BT31:BT32"/>
    <mergeCell ref="BT34:BT35"/>
    <mergeCell ref="BU3:BU4"/>
    <mergeCell ref="BU7:BU8"/>
    <mergeCell ref="BU10:BU11"/>
    <mergeCell ref="BU13:BU14"/>
    <mergeCell ref="BU16:BU17"/>
    <mergeCell ref="BU19:BU20"/>
    <mergeCell ref="BU22:BU23"/>
    <mergeCell ref="BU25:BU26"/>
    <mergeCell ref="BU28:BU29"/>
    <mergeCell ref="BU31:BU32"/>
    <mergeCell ref="BU34:BU35"/>
    <mergeCell ref="BV3:BV4"/>
    <mergeCell ref="BV7:BV8"/>
    <mergeCell ref="BV10:BV11"/>
    <mergeCell ref="BV13:BV14"/>
    <mergeCell ref="BV16:BV17"/>
    <mergeCell ref="BV19:BV20"/>
    <mergeCell ref="BV22:BV23"/>
    <mergeCell ref="BV25:BV26"/>
    <mergeCell ref="BV28:BV29"/>
    <mergeCell ref="BV31:BV32"/>
    <mergeCell ref="BV34:BV35"/>
    <mergeCell ref="BW3:BW4"/>
    <mergeCell ref="BW7:BW8"/>
    <mergeCell ref="BW10:BW11"/>
    <mergeCell ref="BW13:BW14"/>
    <mergeCell ref="BW16:BW17"/>
    <mergeCell ref="BW19:BW20"/>
    <mergeCell ref="BW22:BW23"/>
    <mergeCell ref="BW25:BW26"/>
    <mergeCell ref="BW28:BW29"/>
    <mergeCell ref="BW31:BW32"/>
    <mergeCell ref="BW34:BW35"/>
    <mergeCell ref="BX3:BX4"/>
    <mergeCell ref="BX7:BX8"/>
    <mergeCell ref="BX10:BX11"/>
    <mergeCell ref="BX13:BX14"/>
    <mergeCell ref="BX16:BX17"/>
    <mergeCell ref="BX19:BX20"/>
    <mergeCell ref="BX22:BX23"/>
    <mergeCell ref="BX25:BX26"/>
    <mergeCell ref="BX28:BX29"/>
    <mergeCell ref="BX31:BX32"/>
    <mergeCell ref="BX34:BX35"/>
    <mergeCell ref="BY3:BY4"/>
    <mergeCell ref="BY7:BY8"/>
    <mergeCell ref="BY10:BY11"/>
    <mergeCell ref="BY13:BY14"/>
    <mergeCell ref="BY16:BY17"/>
    <mergeCell ref="BY19:BY20"/>
    <mergeCell ref="BY22:BY23"/>
    <mergeCell ref="BY25:BY26"/>
    <mergeCell ref="BY28:BY29"/>
    <mergeCell ref="BY31:BY32"/>
    <mergeCell ref="BY34:BY35"/>
    <mergeCell ref="BZ3:BZ4"/>
    <mergeCell ref="BZ7:BZ8"/>
    <mergeCell ref="BZ10:BZ11"/>
    <mergeCell ref="BZ13:BZ14"/>
    <mergeCell ref="BZ16:BZ17"/>
    <mergeCell ref="BZ19:BZ20"/>
    <mergeCell ref="BZ22:BZ23"/>
    <mergeCell ref="BZ25:BZ26"/>
    <mergeCell ref="BZ28:BZ29"/>
    <mergeCell ref="BZ31:BZ32"/>
    <mergeCell ref="BZ34:BZ35"/>
    <mergeCell ref="CA3:CA4"/>
    <mergeCell ref="CA7:CA8"/>
    <mergeCell ref="CA10:CA11"/>
    <mergeCell ref="CA13:CA14"/>
    <mergeCell ref="CA16:CA17"/>
    <mergeCell ref="CA19:CA20"/>
    <mergeCell ref="CA22:CA23"/>
    <mergeCell ref="CA25:CA26"/>
    <mergeCell ref="CA28:CA29"/>
    <mergeCell ref="CA31:CA32"/>
    <mergeCell ref="CA34:CA35"/>
    <mergeCell ref="CB3:CB4"/>
    <mergeCell ref="CB7:CB8"/>
    <mergeCell ref="CB10:CB11"/>
    <mergeCell ref="CB13:CB14"/>
    <mergeCell ref="CB16:CB17"/>
    <mergeCell ref="CB19:CB20"/>
    <mergeCell ref="CB22:CB23"/>
    <mergeCell ref="CB25:CB26"/>
    <mergeCell ref="CB28:CB29"/>
    <mergeCell ref="CB31:CB32"/>
    <mergeCell ref="CB34:CB35"/>
    <mergeCell ref="CC3:CC4"/>
    <mergeCell ref="CC7:CC8"/>
    <mergeCell ref="CC10:CC11"/>
    <mergeCell ref="CC13:CC14"/>
    <mergeCell ref="CC16:CC17"/>
    <mergeCell ref="CC19:CC20"/>
    <mergeCell ref="CC22:CC23"/>
    <mergeCell ref="CC25:CC26"/>
    <mergeCell ref="CC28:CC29"/>
    <mergeCell ref="CC31:CC32"/>
    <mergeCell ref="CC34:CC35"/>
    <mergeCell ref="CD3:CD4"/>
    <mergeCell ref="CD7:CD8"/>
    <mergeCell ref="CD10:CD11"/>
    <mergeCell ref="CD13:CD14"/>
    <mergeCell ref="CD16:CD17"/>
    <mergeCell ref="CD19:CD20"/>
    <mergeCell ref="CD22:CD23"/>
    <mergeCell ref="CD25:CD26"/>
    <mergeCell ref="CD28:CD29"/>
    <mergeCell ref="CD31:CD32"/>
    <mergeCell ref="CD34:CD35"/>
    <mergeCell ref="CE3:CE4"/>
    <mergeCell ref="CE7:CE8"/>
    <mergeCell ref="CE10:CE11"/>
    <mergeCell ref="CE13:CE14"/>
    <mergeCell ref="CE16:CE17"/>
    <mergeCell ref="CE19:CE20"/>
    <mergeCell ref="CE22:CE23"/>
    <mergeCell ref="CE25:CE26"/>
    <mergeCell ref="CE28:CE29"/>
    <mergeCell ref="CE31:CE32"/>
    <mergeCell ref="CE34:CE35"/>
    <mergeCell ref="CF3:CF4"/>
    <mergeCell ref="CF7:CF8"/>
    <mergeCell ref="CF10:CF11"/>
    <mergeCell ref="CF13:CF14"/>
    <mergeCell ref="CF16:CF17"/>
    <mergeCell ref="CF19:CF20"/>
    <mergeCell ref="CF22:CF23"/>
    <mergeCell ref="CF25:CF26"/>
    <mergeCell ref="CF28:CF29"/>
    <mergeCell ref="CF31:CF32"/>
    <mergeCell ref="CF34:CF35"/>
    <mergeCell ref="CG3:CG4"/>
    <mergeCell ref="CG7:CG8"/>
    <mergeCell ref="CG10:CG11"/>
    <mergeCell ref="CG13:CG14"/>
    <mergeCell ref="CG16:CG17"/>
    <mergeCell ref="CG19:CG20"/>
    <mergeCell ref="CG22:CG23"/>
    <mergeCell ref="CG25:CG26"/>
    <mergeCell ref="CG28:CG29"/>
    <mergeCell ref="CG31:CG32"/>
    <mergeCell ref="CG34:CG35"/>
    <mergeCell ref="CH3:CH4"/>
    <mergeCell ref="CH7:CH8"/>
    <mergeCell ref="CH10:CH11"/>
    <mergeCell ref="CH13:CH14"/>
    <mergeCell ref="CH16:CH17"/>
    <mergeCell ref="CH19:CH20"/>
    <mergeCell ref="CH22:CH23"/>
    <mergeCell ref="CH25:CH26"/>
    <mergeCell ref="CH28:CH29"/>
    <mergeCell ref="CH31:CH32"/>
    <mergeCell ref="CH34:CH35"/>
    <mergeCell ref="CI3:CI4"/>
    <mergeCell ref="CI7:CI8"/>
    <mergeCell ref="CI10:CI11"/>
    <mergeCell ref="CI13:CI14"/>
    <mergeCell ref="CI16:CI17"/>
    <mergeCell ref="CI19:CI20"/>
    <mergeCell ref="CI22:CI23"/>
    <mergeCell ref="CI25:CI26"/>
    <mergeCell ref="CI28:CI29"/>
    <mergeCell ref="CI31:CI32"/>
    <mergeCell ref="CI34:CI35"/>
    <mergeCell ref="CJ3:CJ4"/>
    <mergeCell ref="CJ7:CJ8"/>
    <mergeCell ref="CJ10:CJ11"/>
    <mergeCell ref="CJ13:CJ14"/>
    <mergeCell ref="CJ16:CJ17"/>
    <mergeCell ref="CJ19:CJ20"/>
    <mergeCell ref="CJ22:CJ23"/>
    <mergeCell ref="CJ25:CJ26"/>
    <mergeCell ref="CJ28:CJ29"/>
    <mergeCell ref="CJ31:CJ32"/>
    <mergeCell ref="CJ34:CJ35"/>
    <mergeCell ref="CK3:CK4"/>
    <mergeCell ref="CK7:CK8"/>
    <mergeCell ref="CK10:CK11"/>
    <mergeCell ref="CK13:CK14"/>
    <mergeCell ref="CK16:CK17"/>
    <mergeCell ref="CK19:CK20"/>
    <mergeCell ref="CK22:CK23"/>
    <mergeCell ref="CK25:CK26"/>
    <mergeCell ref="CK28:CK29"/>
    <mergeCell ref="CK31:CK32"/>
    <mergeCell ref="CK34:CK35"/>
    <mergeCell ref="CL3:CL4"/>
    <mergeCell ref="CL7:CL8"/>
    <mergeCell ref="CL10:CL11"/>
    <mergeCell ref="CL13:CL14"/>
    <mergeCell ref="CL16:CL17"/>
    <mergeCell ref="CL19:CL20"/>
    <mergeCell ref="CL22:CL23"/>
    <mergeCell ref="CL25:CL26"/>
    <mergeCell ref="CL28:CL29"/>
    <mergeCell ref="CL31:CL32"/>
    <mergeCell ref="CL34:CL35"/>
    <mergeCell ref="CM3:CM4"/>
    <mergeCell ref="CM7:CM8"/>
    <mergeCell ref="CM10:CM11"/>
    <mergeCell ref="CM13:CM14"/>
    <mergeCell ref="CM16:CM17"/>
    <mergeCell ref="CM19:CM20"/>
    <mergeCell ref="CM22:CM23"/>
    <mergeCell ref="CM25:CM26"/>
    <mergeCell ref="CM28:CM29"/>
    <mergeCell ref="CM31:CM32"/>
    <mergeCell ref="CM34:CM35"/>
    <mergeCell ref="CN3:CN4"/>
    <mergeCell ref="CN7:CN8"/>
    <mergeCell ref="CN10:CN11"/>
    <mergeCell ref="CN13:CN14"/>
    <mergeCell ref="CN16:CN17"/>
    <mergeCell ref="CN19:CN20"/>
    <mergeCell ref="CN22:CN23"/>
    <mergeCell ref="CN25:CN26"/>
    <mergeCell ref="CN28:CN29"/>
    <mergeCell ref="CN31:CN32"/>
    <mergeCell ref="CN34:CN35"/>
    <mergeCell ref="CO3:CO4"/>
    <mergeCell ref="CO7:CO8"/>
    <mergeCell ref="CO10:CO11"/>
    <mergeCell ref="CO13:CO14"/>
    <mergeCell ref="CO16:CO17"/>
    <mergeCell ref="CO19:CO20"/>
    <mergeCell ref="CO22:CO23"/>
    <mergeCell ref="CO25:CO26"/>
    <mergeCell ref="CO28:CO29"/>
    <mergeCell ref="CO31:CO32"/>
    <mergeCell ref="CO34:CO35"/>
    <mergeCell ref="CP3:CP4"/>
    <mergeCell ref="CP7:CP8"/>
    <mergeCell ref="CP10:CP11"/>
    <mergeCell ref="CP13:CP14"/>
    <mergeCell ref="CP16:CP17"/>
    <mergeCell ref="CP19:CP20"/>
    <mergeCell ref="CP22:CP23"/>
    <mergeCell ref="CP25:CP26"/>
    <mergeCell ref="CP28:CP29"/>
    <mergeCell ref="CP31:CP32"/>
    <mergeCell ref="CP34:CP35"/>
    <mergeCell ref="CQ3:CQ4"/>
    <mergeCell ref="CQ7:CQ8"/>
    <mergeCell ref="CQ10:CQ11"/>
    <mergeCell ref="CQ13:CQ14"/>
    <mergeCell ref="CQ16:CQ17"/>
    <mergeCell ref="CQ19:CQ20"/>
    <mergeCell ref="CQ22:CQ23"/>
    <mergeCell ref="CQ25:CQ26"/>
    <mergeCell ref="CQ28:CQ29"/>
    <mergeCell ref="CQ31:CQ32"/>
    <mergeCell ref="CQ34:CQ35"/>
    <mergeCell ref="CR3:CR4"/>
    <mergeCell ref="CR7:CR8"/>
    <mergeCell ref="CR10:CR11"/>
    <mergeCell ref="CR13:CR14"/>
    <mergeCell ref="CR16:CR17"/>
    <mergeCell ref="CR19:CR20"/>
    <mergeCell ref="CR22:CR23"/>
    <mergeCell ref="CR25:CR26"/>
    <mergeCell ref="CR28:CR29"/>
    <mergeCell ref="CR31:CR32"/>
    <mergeCell ref="CR34:CR35"/>
    <mergeCell ref="CS3:CS4"/>
    <mergeCell ref="CS7:CS8"/>
    <mergeCell ref="CS10:CS11"/>
    <mergeCell ref="CS13:CS14"/>
    <mergeCell ref="CS16:CS17"/>
    <mergeCell ref="CS19:CS20"/>
    <mergeCell ref="CS22:CS23"/>
    <mergeCell ref="CS25:CS26"/>
    <mergeCell ref="CS28:CS29"/>
    <mergeCell ref="CS31:CS32"/>
    <mergeCell ref="CS34:CS35"/>
    <mergeCell ref="CT3:CT4"/>
    <mergeCell ref="CT7:CT8"/>
    <mergeCell ref="CT10:CT11"/>
    <mergeCell ref="CT13:CT14"/>
    <mergeCell ref="CT16:CT17"/>
    <mergeCell ref="CT19:CT20"/>
    <mergeCell ref="CT22:CT23"/>
    <mergeCell ref="CT25:CT26"/>
    <mergeCell ref="CT28:CT29"/>
    <mergeCell ref="CT31:CT32"/>
    <mergeCell ref="CT34:CT35"/>
    <mergeCell ref="CU3:CU4"/>
    <mergeCell ref="CU7:CU8"/>
    <mergeCell ref="CU10:CU11"/>
    <mergeCell ref="CU13:CU14"/>
    <mergeCell ref="CU16:CU17"/>
    <mergeCell ref="CU19:CU20"/>
    <mergeCell ref="CU22:CU23"/>
    <mergeCell ref="CU25:CU26"/>
    <mergeCell ref="CU28:CU29"/>
    <mergeCell ref="CU31:CU32"/>
    <mergeCell ref="CU34:CU35"/>
    <mergeCell ref="CV3:CV4"/>
    <mergeCell ref="CV7:CV8"/>
    <mergeCell ref="CV10:CV11"/>
    <mergeCell ref="CV13:CV14"/>
    <mergeCell ref="CV16:CV17"/>
    <mergeCell ref="CV19:CV20"/>
    <mergeCell ref="CV22:CV23"/>
    <mergeCell ref="CV25:CV26"/>
    <mergeCell ref="CV28:CV29"/>
    <mergeCell ref="CV31:CV32"/>
    <mergeCell ref="CV34:CV35"/>
    <mergeCell ref="CW3:CW4"/>
    <mergeCell ref="CW7:CW8"/>
    <mergeCell ref="CW10:CW11"/>
    <mergeCell ref="CW13:CW14"/>
    <mergeCell ref="CW16:CW17"/>
    <mergeCell ref="CW19:CW20"/>
    <mergeCell ref="CW22:CW23"/>
    <mergeCell ref="CW25:CW26"/>
    <mergeCell ref="CW28:CW29"/>
    <mergeCell ref="CW31:CW32"/>
    <mergeCell ref="CW34:CW35"/>
    <mergeCell ref="CX3:CX4"/>
    <mergeCell ref="CX7:CX8"/>
    <mergeCell ref="CX10:CX11"/>
    <mergeCell ref="CX13:CX14"/>
    <mergeCell ref="CX16:CX17"/>
    <mergeCell ref="CX19:CX20"/>
    <mergeCell ref="CX22:CX23"/>
    <mergeCell ref="CX25:CX26"/>
    <mergeCell ref="CX28:CX29"/>
    <mergeCell ref="CX31:CX32"/>
    <mergeCell ref="CX34:CX35"/>
    <mergeCell ref="CY3:CY4"/>
    <mergeCell ref="CY7:CY8"/>
    <mergeCell ref="CY10:CY11"/>
    <mergeCell ref="CY13:CY14"/>
    <mergeCell ref="CY16:CY17"/>
    <mergeCell ref="CY19:CY20"/>
    <mergeCell ref="CY22:CY23"/>
    <mergeCell ref="CY25:CY26"/>
    <mergeCell ref="CY28:CY29"/>
    <mergeCell ref="CY31:CY32"/>
    <mergeCell ref="CY34:CY35"/>
    <mergeCell ref="CZ3:CZ4"/>
    <mergeCell ref="CZ7:CZ8"/>
    <mergeCell ref="CZ10:CZ11"/>
    <mergeCell ref="CZ13:CZ14"/>
    <mergeCell ref="CZ16:CZ17"/>
    <mergeCell ref="CZ19:CZ20"/>
    <mergeCell ref="CZ22:CZ23"/>
    <mergeCell ref="CZ25:CZ26"/>
    <mergeCell ref="CZ28:CZ29"/>
    <mergeCell ref="CZ31:CZ32"/>
    <mergeCell ref="CZ34:CZ35"/>
    <mergeCell ref="DA3:DA4"/>
    <mergeCell ref="DA7:DA8"/>
    <mergeCell ref="DA10:DA11"/>
    <mergeCell ref="DA13:DA14"/>
    <mergeCell ref="DA16:DA17"/>
    <mergeCell ref="DA19:DA20"/>
    <mergeCell ref="DA22:DA23"/>
    <mergeCell ref="DA25:DA26"/>
    <mergeCell ref="DA28:DA29"/>
    <mergeCell ref="DA31:DA32"/>
    <mergeCell ref="DA34:DA35"/>
    <mergeCell ref="DB3:DB4"/>
    <mergeCell ref="DB7:DB8"/>
    <mergeCell ref="DB10:DB11"/>
    <mergeCell ref="DB13:DB14"/>
    <mergeCell ref="DB16:DB17"/>
    <mergeCell ref="DB19:DB20"/>
    <mergeCell ref="DB22:DB23"/>
    <mergeCell ref="DB25:DB26"/>
    <mergeCell ref="DB28:DB29"/>
    <mergeCell ref="DB31:DB32"/>
    <mergeCell ref="DB34:DB35"/>
    <mergeCell ref="DC3:DC4"/>
    <mergeCell ref="DC7:DC8"/>
    <mergeCell ref="DC10:DC11"/>
    <mergeCell ref="DC13:DC14"/>
    <mergeCell ref="DC16:DC17"/>
    <mergeCell ref="DC19:DC20"/>
    <mergeCell ref="DC22:DC23"/>
    <mergeCell ref="DC25:DC26"/>
    <mergeCell ref="DC28:DC29"/>
    <mergeCell ref="DC31:DC32"/>
    <mergeCell ref="DC34:DC35"/>
    <mergeCell ref="DD3:DD4"/>
    <mergeCell ref="DD7:DD8"/>
    <mergeCell ref="DD10:DD11"/>
    <mergeCell ref="DD13:DD14"/>
    <mergeCell ref="DD16:DD17"/>
    <mergeCell ref="DD19:DD20"/>
    <mergeCell ref="DD22:DD23"/>
    <mergeCell ref="DD25:DD26"/>
    <mergeCell ref="DD28:DD29"/>
    <mergeCell ref="DD31:DD32"/>
    <mergeCell ref="DD34:DD35"/>
    <mergeCell ref="DE3:DE4"/>
    <mergeCell ref="DE7:DE8"/>
    <mergeCell ref="DE10:DE11"/>
    <mergeCell ref="DE13:DE14"/>
    <mergeCell ref="DE16:DE17"/>
    <mergeCell ref="DE19:DE20"/>
    <mergeCell ref="DE22:DE23"/>
    <mergeCell ref="DE25:DE26"/>
    <mergeCell ref="DE28:DE29"/>
    <mergeCell ref="DE31:DE32"/>
    <mergeCell ref="DE34:DE35"/>
    <mergeCell ref="DF3:DF4"/>
    <mergeCell ref="DF7:DF8"/>
    <mergeCell ref="DF10:DF11"/>
    <mergeCell ref="DF13:DF14"/>
    <mergeCell ref="DF16:DF17"/>
    <mergeCell ref="DF19:DF20"/>
    <mergeCell ref="DF22:DF23"/>
    <mergeCell ref="DF25:DF26"/>
    <mergeCell ref="DF28:DF29"/>
    <mergeCell ref="DF31:DF32"/>
    <mergeCell ref="DF34:DF35"/>
    <mergeCell ref="DG3:DG4"/>
    <mergeCell ref="DG7:DG8"/>
    <mergeCell ref="DG10:DG11"/>
    <mergeCell ref="DG13:DG14"/>
    <mergeCell ref="DG16:DG17"/>
    <mergeCell ref="DG19:DG20"/>
    <mergeCell ref="DG22:DG23"/>
    <mergeCell ref="DG25:DG26"/>
    <mergeCell ref="DG28:DG29"/>
    <mergeCell ref="DG31:DG32"/>
    <mergeCell ref="DG34:DG35"/>
    <mergeCell ref="DH3:DH4"/>
    <mergeCell ref="DH7:DH8"/>
    <mergeCell ref="DH10:DH11"/>
    <mergeCell ref="DH13:DH14"/>
    <mergeCell ref="DH16:DH17"/>
    <mergeCell ref="DH19:DH20"/>
    <mergeCell ref="DH22:DH23"/>
    <mergeCell ref="DH25:DH26"/>
    <mergeCell ref="DH28:DH29"/>
    <mergeCell ref="DH31:DH32"/>
    <mergeCell ref="DH34:DH35"/>
    <mergeCell ref="DI3:DI4"/>
    <mergeCell ref="DI7:DI8"/>
    <mergeCell ref="DI10:DI11"/>
    <mergeCell ref="DI13:DI14"/>
    <mergeCell ref="DI16:DI17"/>
    <mergeCell ref="DI19:DI20"/>
    <mergeCell ref="DI22:DI23"/>
    <mergeCell ref="DI25:DI26"/>
    <mergeCell ref="DI28:DI29"/>
    <mergeCell ref="DI31:DI32"/>
    <mergeCell ref="DI34:DI35"/>
    <mergeCell ref="DJ3:DJ4"/>
    <mergeCell ref="DJ7:DJ8"/>
    <mergeCell ref="DJ10:DJ11"/>
    <mergeCell ref="DJ13:DJ14"/>
    <mergeCell ref="DJ16:DJ17"/>
    <mergeCell ref="DJ19:DJ20"/>
    <mergeCell ref="DJ22:DJ23"/>
    <mergeCell ref="DJ25:DJ26"/>
    <mergeCell ref="DJ28:DJ29"/>
    <mergeCell ref="DJ31:DJ32"/>
    <mergeCell ref="DJ34:DJ35"/>
    <mergeCell ref="DK3:DK4"/>
    <mergeCell ref="DK7:DK8"/>
    <mergeCell ref="DK10:DK11"/>
    <mergeCell ref="DK13:DK14"/>
    <mergeCell ref="DK16:DK17"/>
    <mergeCell ref="DK19:DK20"/>
    <mergeCell ref="DK22:DK23"/>
    <mergeCell ref="DK25:DK26"/>
    <mergeCell ref="DK28:DK29"/>
    <mergeCell ref="DK31:DK32"/>
    <mergeCell ref="DK34:DK35"/>
    <mergeCell ref="DL3:DL4"/>
    <mergeCell ref="DL7:DL8"/>
    <mergeCell ref="DL10:DL11"/>
    <mergeCell ref="DL13:DL14"/>
    <mergeCell ref="DL16:DL17"/>
    <mergeCell ref="DL19:DL20"/>
    <mergeCell ref="DL22:DL23"/>
    <mergeCell ref="DL25:DL26"/>
    <mergeCell ref="DL28:DL29"/>
    <mergeCell ref="DL31:DL32"/>
    <mergeCell ref="DL34:DL35"/>
    <mergeCell ref="DM3:DM4"/>
    <mergeCell ref="DM7:DM8"/>
    <mergeCell ref="DM10:DM11"/>
    <mergeCell ref="DM13:DM14"/>
    <mergeCell ref="DM16:DM17"/>
    <mergeCell ref="DM19:DM20"/>
    <mergeCell ref="DM22:DM23"/>
    <mergeCell ref="DM25:DM26"/>
    <mergeCell ref="DM28:DM29"/>
    <mergeCell ref="DM31:DM32"/>
    <mergeCell ref="DM34:DM35"/>
    <mergeCell ref="DN3:DN4"/>
    <mergeCell ref="DN7:DN8"/>
    <mergeCell ref="DN10:DN11"/>
    <mergeCell ref="DN13:DN14"/>
    <mergeCell ref="DN16:DN17"/>
    <mergeCell ref="DN19:DN20"/>
    <mergeCell ref="DN22:DN23"/>
    <mergeCell ref="DN25:DN26"/>
    <mergeCell ref="DN28:DN29"/>
    <mergeCell ref="DN31:DN32"/>
    <mergeCell ref="DN34:DN35"/>
    <mergeCell ref="DO3:DO4"/>
    <mergeCell ref="DO7:DO8"/>
    <mergeCell ref="DO10:DO11"/>
    <mergeCell ref="DO13:DO14"/>
    <mergeCell ref="DO16:DO17"/>
    <mergeCell ref="DO19:DO20"/>
    <mergeCell ref="DO22:DO23"/>
    <mergeCell ref="DO25:DO26"/>
    <mergeCell ref="DO28:DO29"/>
    <mergeCell ref="DO31:DO32"/>
    <mergeCell ref="DO34:DO35"/>
    <mergeCell ref="DP3:DP4"/>
    <mergeCell ref="DP7:DP8"/>
    <mergeCell ref="DP10:DP11"/>
    <mergeCell ref="DP13:DP14"/>
    <mergeCell ref="DP16:DP17"/>
    <mergeCell ref="DP19:DP20"/>
    <mergeCell ref="DP22:DP23"/>
    <mergeCell ref="DP25:DP26"/>
    <mergeCell ref="DP28:DP29"/>
    <mergeCell ref="DP31:DP32"/>
    <mergeCell ref="DP34:DP35"/>
    <mergeCell ref="DQ3:DQ4"/>
    <mergeCell ref="DQ7:DQ8"/>
    <mergeCell ref="DQ10:DQ11"/>
    <mergeCell ref="DQ13:DQ14"/>
    <mergeCell ref="DQ16:DQ17"/>
    <mergeCell ref="DQ19:DQ20"/>
    <mergeCell ref="DQ22:DQ23"/>
    <mergeCell ref="DQ25:DQ26"/>
    <mergeCell ref="DQ28:DQ29"/>
    <mergeCell ref="DQ31:DQ32"/>
    <mergeCell ref="DQ34:DQ35"/>
    <mergeCell ref="DR3:DR4"/>
    <mergeCell ref="DR7:DR8"/>
    <mergeCell ref="DR10:DR11"/>
    <mergeCell ref="DR13:DR14"/>
    <mergeCell ref="DR16:DR17"/>
    <mergeCell ref="DR19:DR20"/>
    <mergeCell ref="DR22:DR23"/>
    <mergeCell ref="DR25:DR26"/>
    <mergeCell ref="DR28:DR29"/>
    <mergeCell ref="DR31:DR32"/>
    <mergeCell ref="DR34:DR35"/>
    <mergeCell ref="DS3:DS4"/>
    <mergeCell ref="DS7:DS8"/>
    <mergeCell ref="DS10:DS11"/>
    <mergeCell ref="DS13:DS14"/>
    <mergeCell ref="DS16:DS17"/>
    <mergeCell ref="DS19:DS20"/>
    <mergeCell ref="DS22:DS23"/>
    <mergeCell ref="DS25:DS26"/>
    <mergeCell ref="DS28:DS29"/>
    <mergeCell ref="DS31:DS32"/>
    <mergeCell ref="DS34:DS35"/>
    <mergeCell ref="DT3:DT4"/>
    <mergeCell ref="DT7:DT8"/>
    <mergeCell ref="DT10:DT11"/>
    <mergeCell ref="DT13:DT14"/>
    <mergeCell ref="DT16:DT17"/>
    <mergeCell ref="DT19:DT20"/>
    <mergeCell ref="DT22:DT23"/>
    <mergeCell ref="DT25:DT26"/>
    <mergeCell ref="DT28:DT29"/>
    <mergeCell ref="DT31:DT32"/>
    <mergeCell ref="DT34:DT35"/>
    <mergeCell ref="DU3:DU4"/>
    <mergeCell ref="DU7:DU8"/>
    <mergeCell ref="DU10:DU11"/>
    <mergeCell ref="DU13:DU14"/>
    <mergeCell ref="DU16:DU17"/>
    <mergeCell ref="DU19:DU20"/>
    <mergeCell ref="DU22:DU23"/>
    <mergeCell ref="DU25:DU26"/>
    <mergeCell ref="DU28:DU29"/>
    <mergeCell ref="DU31:DU32"/>
    <mergeCell ref="DU34:DU35"/>
    <mergeCell ref="DV3:DV4"/>
    <mergeCell ref="DV7:DV8"/>
    <mergeCell ref="DV10:DV11"/>
    <mergeCell ref="DV13:DV14"/>
    <mergeCell ref="DV16:DV17"/>
    <mergeCell ref="DV19:DV20"/>
    <mergeCell ref="DV22:DV23"/>
    <mergeCell ref="DV25:DV26"/>
    <mergeCell ref="DV28:DV29"/>
    <mergeCell ref="DV31:DV32"/>
    <mergeCell ref="DV34:DV35"/>
    <mergeCell ref="DW3:DW4"/>
    <mergeCell ref="DW7:DW8"/>
    <mergeCell ref="DW10:DW11"/>
    <mergeCell ref="DW13:DW14"/>
    <mergeCell ref="DW16:DW17"/>
    <mergeCell ref="DW19:DW20"/>
    <mergeCell ref="DW22:DW23"/>
    <mergeCell ref="DW25:DW26"/>
    <mergeCell ref="DW28:DW29"/>
    <mergeCell ref="DW31:DW32"/>
    <mergeCell ref="DW34:DW35"/>
    <mergeCell ref="DX3:DX4"/>
    <mergeCell ref="DX7:DX8"/>
    <mergeCell ref="DX10:DX11"/>
    <mergeCell ref="DX13:DX14"/>
    <mergeCell ref="DX16:DX17"/>
    <mergeCell ref="DX19:DX20"/>
    <mergeCell ref="DX22:DX23"/>
    <mergeCell ref="DX25:DX26"/>
    <mergeCell ref="DX28:DX29"/>
    <mergeCell ref="DX31:DX32"/>
    <mergeCell ref="DX34:DX35"/>
    <mergeCell ref="DY3:DY4"/>
    <mergeCell ref="DY7:DY8"/>
    <mergeCell ref="DY10:DY11"/>
    <mergeCell ref="DY13:DY14"/>
    <mergeCell ref="DY16:DY17"/>
    <mergeCell ref="DY19:DY20"/>
    <mergeCell ref="DY22:DY23"/>
    <mergeCell ref="DY25:DY26"/>
    <mergeCell ref="DY28:DY29"/>
    <mergeCell ref="DY31:DY32"/>
    <mergeCell ref="DY34:DY35"/>
    <mergeCell ref="DZ3:DZ4"/>
    <mergeCell ref="DZ7:DZ8"/>
    <mergeCell ref="DZ10:DZ11"/>
    <mergeCell ref="DZ13:DZ14"/>
    <mergeCell ref="DZ16:DZ17"/>
    <mergeCell ref="DZ19:DZ20"/>
    <mergeCell ref="DZ22:DZ23"/>
    <mergeCell ref="DZ25:DZ26"/>
    <mergeCell ref="DZ28:DZ29"/>
    <mergeCell ref="DZ31:DZ32"/>
    <mergeCell ref="DZ34:DZ35"/>
    <mergeCell ref="EA3:EA4"/>
    <mergeCell ref="EA7:EA8"/>
    <mergeCell ref="EA10:EA11"/>
    <mergeCell ref="EA13:EA14"/>
    <mergeCell ref="EA16:EA17"/>
    <mergeCell ref="EA19:EA20"/>
    <mergeCell ref="EA22:EA23"/>
    <mergeCell ref="EA25:EA26"/>
    <mergeCell ref="EA28:EA29"/>
    <mergeCell ref="EA31:EA32"/>
    <mergeCell ref="EA34:EA35"/>
    <mergeCell ref="EB3:EB4"/>
    <mergeCell ref="EB7:EB8"/>
    <mergeCell ref="EB10:EB11"/>
    <mergeCell ref="EB13:EB14"/>
    <mergeCell ref="EB16:EB17"/>
    <mergeCell ref="EB19:EB20"/>
    <mergeCell ref="EB22:EB23"/>
    <mergeCell ref="EB25:EB26"/>
    <mergeCell ref="EB28:EB29"/>
    <mergeCell ref="EB31:EB32"/>
    <mergeCell ref="EB34:EB35"/>
    <mergeCell ref="EC3:EC4"/>
    <mergeCell ref="EC7:EC8"/>
    <mergeCell ref="EC10:EC11"/>
    <mergeCell ref="EC13:EC14"/>
    <mergeCell ref="EC16:EC17"/>
    <mergeCell ref="EC19:EC20"/>
    <mergeCell ref="EC22:EC23"/>
    <mergeCell ref="EC25:EC26"/>
    <mergeCell ref="EC28:EC29"/>
    <mergeCell ref="EC31:EC32"/>
    <mergeCell ref="EC34:EC35"/>
    <mergeCell ref="ED3:ED4"/>
    <mergeCell ref="ED7:ED8"/>
    <mergeCell ref="ED10:ED11"/>
    <mergeCell ref="ED13:ED14"/>
    <mergeCell ref="ED16:ED17"/>
    <mergeCell ref="ED19:ED20"/>
    <mergeCell ref="ED22:ED23"/>
    <mergeCell ref="ED25:ED26"/>
    <mergeCell ref="ED28:ED29"/>
    <mergeCell ref="ED31:ED32"/>
    <mergeCell ref="ED34:ED35"/>
    <mergeCell ref="EE3:EE4"/>
    <mergeCell ref="EE7:EE8"/>
    <mergeCell ref="EE10:EE11"/>
    <mergeCell ref="EE13:EE14"/>
    <mergeCell ref="EE16:EE17"/>
    <mergeCell ref="EE19:EE20"/>
    <mergeCell ref="EE22:EE23"/>
    <mergeCell ref="EE25:EE26"/>
    <mergeCell ref="EE28:EE29"/>
    <mergeCell ref="EE31:EE32"/>
    <mergeCell ref="EE34:EE35"/>
    <mergeCell ref="EF3:EF4"/>
    <mergeCell ref="EF7:EF8"/>
    <mergeCell ref="EF10:EF11"/>
    <mergeCell ref="EF13:EF14"/>
    <mergeCell ref="EF16:EF17"/>
    <mergeCell ref="EF19:EF20"/>
    <mergeCell ref="EF22:EF23"/>
    <mergeCell ref="EF25:EF26"/>
    <mergeCell ref="EF28:EF29"/>
    <mergeCell ref="EF31:EF32"/>
    <mergeCell ref="EF34:EF35"/>
    <mergeCell ref="EG3:EG4"/>
    <mergeCell ref="EG7:EG8"/>
    <mergeCell ref="EG10:EG11"/>
    <mergeCell ref="EG13:EG14"/>
    <mergeCell ref="EG16:EG17"/>
    <mergeCell ref="EG19:EG20"/>
    <mergeCell ref="EG22:EG23"/>
    <mergeCell ref="EG25:EG26"/>
    <mergeCell ref="EG28:EG29"/>
    <mergeCell ref="EG31:EG32"/>
    <mergeCell ref="EG34:EG35"/>
    <mergeCell ref="EH3:EH4"/>
    <mergeCell ref="EH7:EH8"/>
    <mergeCell ref="EH10:EH11"/>
    <mergeCell ref="EH13:EH14"/>
    <mergeCell ref="EH16:EH17"/>
    <mergeCell ref="EH19:EH20"/>
    <mergeCell ref="EH22:EH23"/>
    <mergeCell ref="EH25:EH26"/>
    <mergeCell ref="EH28:EH29"/>
    <mergeCell ref="EH31:EH32"/>
    <mergeCell ref="EH34:EH35"/>
    <mergeCell ref="EI3:EI4"/>
    <mergeCell ref="EI7:EI8"/>
    <mergeCell ref="EI10:EI11"/>
    <mergeCell ref="EI13:EI14"/>
    <mergeCell ref="EI16:EI17"/>
    <mergeCell ref="EI19:EI20"/>
    <mergeCell ref="EI22:EI23"/>
    <mergeCell ref="EI25:EI26"/>
    <mergeCell ref="EI28:EI29"/>
    <mergeCell ref="EI31:EI32"/>
    <mergeCell ref="EI34:EI35"/>
    <mergeCell ref="EJ3:EJ4"/>
    <mergeCell ref="EJ7:EJ8"/>
    <mergeCell ref="EJ10:EJ11"/>
    <mergeCell ref="EJ13:EJ14"/>
    <mergeCell ref="EJ16:EJ17"/>
    <mergeCell ref="EJ19:EJ20"/>
    <mergeCell ref="EJ22:EJ23"/>
    <mergeCell ref="EJ25:EJ26"/>
    <mergeCell ref="EJ28:EJ29"/>
    <mergeCell ref="EJ31:EJ32"/>
    <mergeCell ref="EJ34:EJ35"/>
    <mergeCell ref="EK3:EK4"/>
    <mergeCell ref="EK7:EK8"/>
    <mergeCell ref="EK10:EK11"/>
    <mergeCell ref="EK13:EK14"/>
    <mergeCell ref="EK16:EK17"/>
    <mergeCell ref="EK19:EK20"/>
    <mergeCell ref="EK22:EK23"/>
    <mergeCell ref="EK25:EK26"/>
    <mergeCell ref="EK28:EK29"/>
    <mergeCell ref="EK31:EK32"/>
    <mergeCell ref="EK34:EK35"/>
    <mergeCell ref="EL3:EL4"/>
    <mergeCell ref="EL7:EL8"/>
    <mergeCell ref="EL10:EL11"/>
    <mergeCell ref="EL13:EL14"/>
    <mergeCell ref="EL16:EL17"/>
    <mergeCell ref="EL19:EL20"/>
    <mergeCell ref="EL22:EL23"/>
    <mergeCell ref="EL25:EL26"/>
    <mergeCell ref="EL28:EL29"/>
    <mergeCell ref="EL31:EL32"/>
    <mergeCell ref="EL34:EL35"/>
    <mergeCell ref="EM3:EM4"/>
    <mergeCell ref="EM7:EM8"/>
    <mergeCell ref="EM10:EM11"/>
    <mergeCell ref="EM13:EM14"/>
    <mergeCell ref="EM16:EM17"/>
    <mergeCell ref="EM19:EM20"/>
    <mergeCell ref="EM22:EM23"/>
    <mergeCell ref="EM25:EM26"/>
    <mergeCell ref="EM28:EM29"/>
    <mergeCell ref="EM31:EM32"/>
    <mergeCell ref="EM34:EM35"/>
    <mergeCell ref="EN3:EN4"/>
    <mergeCell ref="EN7:EN8"/>
    <mergeCell ref="EN10:EN11"/>
    <mergeCell ref="EN13:EN14"/>
    <mergeCell ref="EN16:EN17"/>
    <mergeCell ref="EN19:EN20"/>
    <mergeCell ref="EN22:EN23"/>
    <mergeCell ref="EN25:EN26"/>
    <mergeCell ref="EN28:EN29"/>
    <mergeCell ref="EN31:EN32"/>
    <mergeCell ref="EN34:EN35"/>
    <mergeCell ref="EO3:EO4"/>
    <mergeCell ref="EO7:EO8"/>
    <mergeCell ref="EO10:EO11"/>
    <mergeCell ref="EO13:EO14"/>
    <mergeCell ref="EO16:EO17"/>
    <mergeCell ref="EO19:EO20"/>
    <mergeCell ref="EO22:EO23"/>
    <mergeCell ref="EO25:EO26"/>
    <mergeCell ref="EO28:EO29"/>
    <mergeCell ref="EO31:EO32"/>
    <mergeCell ref="EO34:EO35"/>
    <mergeCell ref="EP3:EP4"/>
    <mergeCell ref="EP7:EP8"/>
    <mergeCell ref="EP10:EP11"/>
    <mergeCell ref="EP13:EP14"/>
    <mergeCell ref="EP16:EP17"/>
    <mergeCell ref="EP19:EP20"/>
    <mergeCell ref="EP22:EP23"/>
    <mergeCell ref="EP25:EP26"/>
    <mergeCell ref="EP28:EP29"/>
    <mergeCell ref="EP31:EP32"/>
    <mergeCell ref="EP34:EP35"/>
    <mergeCell ref="EQ3:EQ4"/>
    <mergeCell ref="EQ7:EQ8"/>
    <mergeCell ref="EQ10:EQ11"/>
    <mergeCell ref="EQ13:EQ14"/>
    <mergeCell ref="EQ16:EQ17"/>
    <mergeCell ref="EQ19:EQ20"/>
    <mergeCell ref="EQ22:EQ23"/>
    <mergeCell ref="EQ25:EQ26"/>
    <mergeCell ref="EQ28:EQ29"/>
    <mergeCell ref="EQ31:EQ32"/>
    <mergeCell ref="EQ34:EQ35"/>
    <mergeCell ref="ER3:ER4"/>
    <mergeCell ref="ER7:ER8"/>
    <mergeCell ref="ER10:ER11"/>
    <mergeCell ref="ER13:ER14"/>
    <mergeCell ref="ER16:ER17"/>
    <mergeCell ref="ER19:ER20"/>
    <mergeCell ref="ER22:ER23"/>
    <mergeCell ref="ER25:ER26"/>
    <mergeCell ref="ER28:ER29"/>
    <mergeCell ref="ER31:ER32"/>
    <mergeCell ref="ER34:ER35"/>
    <mergeCell ref="ES3:ES4"/>
    <mergeCell ref="ES7:ES8"/>
    <mergeCell ref="ES10:ES11"/>
    <mergeCell ref="ES13:ES14"/>
    <mergeCell ref="ES16:ES17"/>
    <mergeCell ref="ES19:ES20"/>
    <mergeCell ref="ES22:ES23"/>
    <mergeCell ref="ES25:ES26"/>
    <mergeCell ref="ES28:ES29"/>
    <mergeCell ref="ES31:ES32"/>
    <mergeCell ref="ES34:ES35"/>
    <mergeCell ref="ET3:ET4"/>
    <mergeCell ref="ET7:ET8"/>
    <mergeCell ref="ET10:ET11"/>
    <mergeCell ref="ET13:ET14"/>
    <mergeCell ref="ET16:ET17"/>
    <mergeCell ref="ET19:ET20"/>
    <mergeCell ref="ET22:ET23"/>
    <mergeCell ref="ET25:ET26"/>
    <mergeCell ref="ET28:ET29"/>
    <mergeCell ref="ET31:ET32"/>
    <mergeCell ref="ET34:ET35"/>
    <mergeCell ref="EU3:EU4"/>
    <mergeCell ref="EU7:EU8"/>
    <mergeCell ref="EU10:EU11"/>
    <mergeCell ref="EU13:EU14"/>
    <mergeCell ref="EU16:EU17"/>
    <mergeCell ref="EU19:EU20"/>
    <mergeCell ref="EU22:EU23"/>
    <mergeCell ref="EU25:EU26"/>
    <mergeCell ref="EU28:EU29"/>
    <mergeCell ref="EU31:EU32"/>
    <mergeCell ref="EU34:EU35"/>
    <mergeCell ref="EV3:EV4"/>
    <mergeCell ref="EV7:EV8"/>
    <mergeCell ref="EV10:EV11"/>
    <mergeCell ref="EV13:EV14"/>
    <mergeCell ref="EV16:EV17"/>
    <mergeCell ref="EV19:EV20"/>
    <mergeCell ref="EV22:EV23"/>
    <mergeCell ref="EV25:EV26"/>
    <mergeCell ref="EV28:EV29"/>
    <mergeCell ref="EV31:EV32"/>
    <mergeCell ref="EV34:EV35"/>
    <mergeCell ref="EW3:EW4"/>
    <mergeCell ref="EW7:EW8"/>
    <mergeCell ref="EW10:EW11"/>
    <mergeCell ref="EW13:EW14"/>
    <mergeCell ref="EW16:EW17"/>
    <mergeCell ref="EW19:EW20"/>
    <mergeCell ref="EW22:EW23"/>
    <mergeCell ref="EW25:EW26"/>
    <mergeCell ref="EW28:EW29"/>
    <mergeCell ref="EW31:EW32"/>
    <mergeCell ref="EW34:EW35"/>
    <mergeCell ref="EX3:EX4"/>
    <mergeCell ref="EX7:EX8"/>
    <mergeCell ref="EX10:EX11"/>
    <mergeCell ref="EX13:EX14"/>
    <mergeCell ref="EX16:EX17"/>
    <mergeCell ref="EX19:EX20"/>
    <mergeCell ref="EX22:EX23"/>
    <mergeCell ref="EX25:EX26"/>
    <mergeCell ref="EX28:EX29"/>
    <mergeCell ref="EX31:EX32"/>
    <mergeCell ref="EX34:EX35"/>
    <mergeCell ref="EY3:EY4"/>
    <mergeCell ref="EY7:EY8"/>
    <mergeCell ref="EY10:EY11"/>
    <mergeCell ref="EY13:EY14"/>
    <mergeCell ref="EY16:EY17"/>
    <mergeCell ref="EY19:EY20"/>
    <mergeCell ref="EY22:EY23"/>
    <mergeCell ref="EY25:EY26"/>
    <mergeCell ref="EY28:EY29"/>
    <mergeCell ref="EY31:EY32"/>
    <mergeCell ref="EY34:EY35"/>
    <mergeCell ref="EZ3:EZ4"/>
    <mergeCell ref="EZ7:EZ8"/>
    <mergeCell ref="EZ10:EZ11"/>
    <mergeCell ref="EZ13:EZ14"/>
    <mergeCell ref="EZ16:EZ17"/>
    <mergeCell ref="EZ19:EZ20"/>
    <mergeCell ref="EZ22:EZ23"/>
    <mergeCell ref="EZ25:EZ26"/>
    <mergeCell ref="EZ28:EZ29"/>
    <mergeCell ref="EZ31:EZ32"/>
    <mergeCell ref="EZ34:EZ35"/>
    <mergeCell ref="FA3:FA4"/>
    <mergeCell ref="FA7:FA8"/>
    <mergeCell ref="FA10:FA11"/>
    <mergeCell ref="FA13:FA14"/>
    <mergeCell ref="FA16:FA17"/>
    <mergeCell ref="FA19:FA20"/>
    <mergeCell ref="FA22:FA23"/>
    <mergeCell ref="FA25:FA26"/>
    <mergeCell ref="FA28:FA29"/>
    <mergeCell ref="FA31:FA32"/>
    <mergeCell ref="FA34:FA35"/>
    <mergeCell ref="FB3:FB4"/>
    <mergeCell ref="FB7:FB8"/>
    <mergeCell ref="FB10:FB11"/>
    <mergeCell ref="FB13:FB14"/>
    <mergeCell ref="FB16:FB17"/>
    <mergeCell ref="FB19:FB20"/>
    <mergeCell ref="FB22:FB23"/>
    <mergeCell ref="FB25:FB26"/>
    <mergeCell ref="FB28:FB29"/>
    <mergeCell ref="FB31:FB32"/>
    <mergeCell ref="FB34:FB35"/>
    <mergeCell ref="FC3:FC4"/>
    <mergeCell ref="FC7:FC8"/>
    <mergeCell ref="FC10:FC11"/>
    <mergeCell ref="FC13:FC14"/>
    <mergeCell ref="FC16:FC17"/>
    <mergeCell ref="FC19:FC20"/>
    <mergeCell ref="FC22:FC23"/>
    <mergeCell ref="FC25:FC26"/>
    <mergeCell ref="FC28:FC29"/>
    <mergeCell ref="FC31:FC32"/>
    <mergeCell ref="FC34:FC35"/>
    <mergeCell ref="FD3:FD4"/>
    <mergeCell ref="FD7:FD8"/>
    <mergeCell ref="FD10:FD11"/>
    <mergeCell ref="FD13:FD14"/>
    <mergeCell ref="FD16:FD17"/>
    <mergeCell ref="FD19:FD20"/>
    <mergeCell ref="FD22:FD23"/>
    <mergeCell ref="FD25:FD26"/>
    <mergeCell ref="FD28:FD29"/>
    <mergeCell ref="FD31:FD32"/>
    <mergeCell ref="FD34:FD35"/>
    <mergeCell ref="FE3:FE4"/>
    <mergeCell ref="FE7:FE8"/>
    <mergeCell ref="FE10:FE11"/>
    <mergeCell ref="FE13:FE14"/>
    <mergeCell ref="FE16:FE17"/>
    <mergeCell ref="FE19:FE20"/>
    <mergeCell ref="FE22:FE23"/>
    <mergeCell ref="FE25:FE26"/>
    <mergeCell ref="FE28:FE29"/>
    <mergeCell ref="FE31:FE32"/>
    <mergeCell ref="FE34:FE35"/>
    <mergeCell ref="FF3:FF4"/>
    <mergeCell ref="FF7:FF8"/>
    <mergeCell ref="FF10:FF11"/>
    <mergeCell ref="FF13:FF14"/>
    <mergeCell ref="FF16:FF17"/>
    <mergeCell ref="FF19:FF20"/>
    <mergeCell ref="FF22:FF23"/>
    <mergeCell ref="FF25:FF26"/>
    <mergeCell ref="FF28:FF29"/>
    <mergeCell ref="FF31:FF32"/>
    <mergeCell ref="FF34:FF35"/>
    <mergeCell ref="FG3:FG4"/>
    <mergeCell ref="FG7:FG8"/>
    <mergeCell ref="FG10:FG11"/>
    <mergeCell ref="FG13:FG14"/>
    <mergeCell ref="FG16:FG17"/>
    <mergeCell ref="FG19:FG20"/>
    <mergeCell ref="FG22:FG23"/>
    <mergeCell ref="FG25:FG26"/>
    <mergeCell ref="FG28:FG29"/>
    <mergeCell ref="FG31:FG32"/>
    <mergeCell ref="FG34:FG35"/>
    <mergeCell ref="FH3:FH4"/>
    <mergeCell ref="FH7:FH8"/>
    <mergeCell ref="FH10:FH11"/>
    <mergeCell ref="FH13:FH14"/>
    <mergeCell ref="FH16:FH17"/>
    <mergeCell ref="FH19:FH20"/>
    <mergeCell ref="FH22:FH23"/>
    <mergeCell ref="FH25:FH26"/>
    <mergeCell ref="FH28:FH29"/>
    <mergeCell ref="FH31:FH32"/>
    <mergeCell ref="FH34:FH35"/>
    <mergeCell ref="FI3:FI4"/>
    <mergeCell ref="FI7:FI8"/>
    <mergeCell ref="FI10:FI11"/>
    <mergeCell ref="FI13:FI14"/>
    <mergeCell ref="FI16:FI17"/>
    <mergeCell ref="FI19:FI20"/>
    <mergeCell ref="FI22:FI23"/>
    <mergeCell ref="FI25:FI26"/>
    <mergeCell ref="FI28:FI29"/>
    <mergeCell ref="FI31:FI32"/>
    <mergeCell ref="FI34:FI35"/>
    <mergeCell ref="FJ3:FJ4"/>
    <mergeCell ref="FJ7:FJ8"/>
    <mergeCell ref="FJ10:FJ11"/>
    <mergeCell ref="FJ13:FJ14"/>
    <mergeCell ref="FJ16:FJ17"/>
    <mergeCell ref="FJ19:FJ20"/>
    <mergeCell ref="FJ22:FJ23"/>
    <mergeCell ref="FJ25:FJ26"/>
    <mergeCell ref="FJ28:FJ29"/>
    <mergeCell ref="FJ31:FJ32"/>
    <mergeCell ref="FJ34:FJ35"/>
    <mergeCell ref="FK3:FK4"/>
    <mergeCell ref="FK7:FK8"/>
    <mergeCell ref="FK10:FK11"/>
    <mergeCell ref="FK13:FK14"/>
    <mergeCell ref="FK16:FK17"/>
    <mergeCell ref="FK19:FK20"/>
    <mergeCell ref="FK22:FK23"/>
    <mergeCell ref="FK25:FK26"/>
    <mergeCell ref="FK28:FK29"/>
    <mergeCell ref="FK31:FK32"/>
    <mergeCell ref="FK34:FK35"/>
    <mergeCell ref="FL3:FL4"/>
    <mergeCell ref="FL7:FL8"/>
    <mergeCell ref="FL10:FL11"/>
    <mergeCell ref="FL13:FL14"/>
    <mergeCell ref="FL16:FL17"/>
    <mergeCell ref="FL19:FL20"/>
    <mergeCell ref="FL22:FL23"/>
    <mergeCell ref="FL25:FL26"/>
    <mergeCell ref="FL28:FL29"/>
    <mergeCell ref="FL31:FL32"/>
    <mergeCell ref="FL34:FL35"/>
    <mergeCell ref="FM3:FM4"/>
    <mergeCell ref="FM7:FM8"/>
    <mergeCell ref="FM10:FM11"/>
    <mergeCell ref="FM13:FM14"/>
    <mergeCell ref="FM16:FM17"/>
    <mergeCell ref="FM19:FM20"/>
    <mergeCell ref="FM22:FM23"/>
    <mergeCell ref="FM25:FM26"/>
    <mergeCell ref="FM28:FM29"/>
    <mergeCell ref="FM31:FM32"/>
    <mergeCell ref="FM34:FM35"/>
    <mergeCell ref="FN3:FN4"/>
    <mergeCell ref="FN7:FN8"/>
    <mergeCell ref="FN10:FN11"/>
    <mergeCell ref="FN13:FN14"/>
    <mergeCell ref="FN16:FN17"/>
    <mergeCell ref="FN19:FN20"/>
    <mergeCell ref="FN22:FN23"/>
    <mergeCell ref="FN25:FN26"/>
    <mergeCell ref="FN28:FN29"/>
    <mergeCell ref="FN31:FN32"/>
    <mergeCell ref="FN34:FN35"/>
    <mergeCell ref="FO3:FO4"/>
    <mergeCell ref="FO7:FO8"/>
    <mergeCell ref="FO10:FO11"/>
    <mergeCell ref="FO13:FO14"/>
    <mergeCell ref="FO16:FO17"/>
    <mergeCell ref="FO19:FO20"/>
    <mergeCell ref="FO22:FO23"/>
    <mergeCell ref="FO25:FO26"/>
    <mergeCell ref="FO28:FO29"/>
    <mergeCell ref="FO31:FO32"/>
    <mergeCell ref="FO34:FO35"/>
    <mergeCell ref="FP3:FP4"/>
    <mergeCell ref="FP7:FP8"/>
    <mergeCell ref="FP10:FP11"/>
    <mergeCell ref="FP13:FP14"/>
    <mergeCell ref="FP16:FP17"/>
    <mergeCell ref="FP19:FP20"/>
    <mergeCell ref="FP22:FP23"/>
    <mergeCell ref="FP25:FP26"/>
    <mergeCell ref="FP28:FP29"/>
    <mergeCell ref="FP31:FP32"/>
    <mergeCell ref="FP34:FP35"/>
    <mergeCell ref="FQ3:FQ4"/>
    <mergeCell ref="FQ7:FQ8"/>
    <mergeCell ref="FQ10:FQ11"/>
    <mergeCell ref="FQ13:FQ14"/>
    <mergeCell ref="FQ16:FQ17"/>
    <mergeCell ref="FQ19:FQ20"/>
    <mergeCell ref="FQ22:FQ23"/>
    <mergeCell ref="FQ25:FQ26"/>
    <mergeCell ref="FQ28:FQ29"/>
    <mergeCell ref="FQ31:FQ32"/>
    <mergeCell ref="FQ34:FQ35"/>
    <mergeCell ref="FR3:FR4"/>
    <mergeCell ref="FR7:FR8"/>
    <mergeCell ref="FR10:FR11"/>
    <mergeCell ref="FR13:FR14"/>
    <mergeCell ref="FR16:FR17"/>
    <mergeCell ref="FR19:FR20"/>
    <mergeCell ref="FR22:FR23"/>
    <mergeCell ref="FR25:FR26"/>
    <mergeCell ref="FR28:FR29"/>
    <mergeCell ref="FR31:FR32"/>
    <mergeCell ref="FR34:FR35"/>
    <mergeCell ref="FS3:FS4"/>
    <mergeCell ref="FS7:FS8"/>
    <mergeCell ref="FS10:FS11"/>
    <mergeCell ref="FS13:FS14"/>
    <mergeCell ref="FS16:FS17"/>
    <mergeCell ref="FS19:FS20"/>
    <mergeCell ref="FS22:FS23"/>
    <mergeCell ref="FS25:FS26"/>
    <mergeCell ref="FS28:FS29"/>
    <mergeCell ref="FS31:FS32"/>
    <mergeCell ref="FS34:FS35"/>
    <mergeCell ref="FT3:FT4"/>
    <mergeCell ref="FT7:FT8"/>
    <mergeCell ref="FT10:FT11"/>
    <mergeCell ref="FT13:FT14"/>
    <mergeCell ref="FT16:FT17"/>
    <mergeCell ref="FT19:FT20"/>
    <mergeCell ref="FT22:FT23"/>
    <mergeCell ref="FT25:FT26"/>
    <mergeCell ref="FT28:FT29"/>
    <mergeCell ref="FT31:FT32"/>
    <mergeCell ref="FT34:FT35"/>
    <mergeCell ref="FU3:FU4"/>
    <mergeCell ref="FU7:FU8"/>
    <mergeCell ref="FU10:FU11"/>
    <mergeCell ref="FU13:FU14"/>
    <mergeCell ref="FU16:FU17"/>
    <mergeCell ref="FU19:FU20"/>
    <mergeCell ref="FU22:FU23"/>
    <mergeCell ref="FU25:FU26"/>
    <mergeCell ref="FU28:FU29"/>
    <mergeCell ref="FU31:FU32"/>
    <mergeCell ref="FU34:FU35"/>
    <mergeCell ref="FV3:FV4"/>
    <mergeCell ref="FV7:FV8"/>
    <mergeCell ref="FV10:FV11"/>
    <mergeCell ref="FV13:FV14"/>
    <mergeCell ref="FV16:FV17"/>
    <mergeCell ref="FV19:FV20"/>
    <mergeCell ref="FV22:FV23"/>
    <mergeCell ref="FV25:FV26"/>
    <mergeCell ref="FV28:FV29"/>
    <mergeCell ref="FV31:FV32"/>
    <mergeCell ref="FV34:FV35"/>
    <mergeCell ref="FW3:FW4"/>
    <mergeCell ref="FW7:FW8"/>
    <mergeCell ref="FW10:FW11"/>
    <mergeCell ref="FW13:FW14"/>
    <mergeCell ref="FW16:FW17"/>
    <mergeCell ref="FW19:FW20"/>
    <mergeCell ref="FW22:FW23"/>
    <mergeCell ref="FW25:FW26"/>
    <mergeCell ref="FW28:FW29"/>
    <mergeCell ref="FW31:FW32"/>
    <mergeCell ref="FW34:FW35"/>
    <mergeCell ref="FX3:FX4"/>
    <mergeCell ref="FX7:FX8"/>
    <mergeCell ref="FX10:FX11"/>
    <mergeCell ref="FX13:FX14"/>
    <mergeCell ref="FX16:FX17"/>
    <mergeCell ref="FX19:FX20"/>
    <mergeCell ref="FX22:FX23"/>
    <mergeCell ref="FX25:FX26"/>
    <mergeCell ref="FX28:FX29"/>
    <mergeCell ref="FX31:FX32"/>
    <mergeCell ref="FX34:FX35"/>
    <mergeCell ref="FY3:FY4"/>
    <mergeCell ref="FY7:FY8"/>
    <mergeCell ref="FY10:FY11"/>
    <mergeCell ref="FY13:FY14"/>
    <mergeCell ref="FY16:FY17"/>
    <mergeCell ref="FY19:FY20"/>
    <mergeCell ref="FY22:FY23"/>
    <mergeCell ref="FY25:FY26"/>
    <mergeCell ref="FY28:FY29"/>
    <mergeCell ref="FY31:FY32"/>
    <mergeCell ref="FY34:FY35"/>
    <mergeCell ref="FZ3:FZ4"/>
    <mergeCell ref="FZ7:FZ8"/>
    <mergeCell ref="FZ10:FZ11"/>
    <mergeCell ref="FZ13:FZ14"/>
    <mergeCell ref="FZ16:FZ17"/>
    <mergeCell ref="FZ19:FZ20"/>
    <mergeCell ref="FZ22:FZ23"/>
    <mergeCell ref="FZ25:FZ26"/>
    <mergeCell ref="FZ28:FZ29"/>
    <mergeCell ref="FZ31:FZ32"/>
    <mergeCell ref="FZ34:FZ35"/>
    <mergeCell ref="GA3:GA4"/>
    <mergeCell ref="GA7:GA8"/>
    <mergeCell ref="GA10:GA11"/>
    <mergeCell ref="GA13:GA14"/>
    <mergeCell ref="GA16:GA17"/>
    <mergeCell ref="GA19:GA20"/>
    <mergeCell ref="GA22:GA23"/>
    <mergeCell ref="GA25:GA26"/>
    <mergeCell ref="GA28:GA29"/>
    <mergeCell ref="GA31:GA32"/>
    <mergeCell ref="GA34:GA35"/>
    <mergeCell ref="GB3:GB4"/>
    <mergeCell ref="GB7:GB8"/>
    <mergeCell ref="GB10:GB11"/>
    <mergeCell ref="GB13:GB14"/>
    <mergeCell ref="GB16:GB17"/>
    <mergeCell ref="GB19:GB20"/>
    <mergeCell ref="GB22:GB23"/>
    <mergeCell ref="GB25:GB26"/>
    <mergeCell ref="GB28:GB29"/>
    <mergeCell ref="GB31:GB32"/>
    <mergeCell ref="GB34:GB35"/>
    <mergeCell ref="GC3:GC4"/>
    <mergeCell ref="GC7:GC8"/>
    <mergeCell ref="GC10:GC11"/>
    <mergeCell ref="GC13:GC14"/>
    <mergeCell ref="GC16:GC17"/>
    <mergeCell ref="GC19:GC20"/>
    <mergeCell ref="GC22:GC23"/>
    <mergeCell ref="GC25:GC26"/>
    <mergeCell ref="GC28:GC29"/>
    <mergeCell ref="GC31:GC32"/>
    <mergeCell ref="GC34:GC35"/>
    <mergeCell ref="GD3:GD4"/>
    <mergeCell ref="GD7:GD8"/>
    <mergeCell ref="GD10:GD11"/>
    <mergeCell ref="GD13:GD14"/>
    <mergeCell ref="GD16:GD17"/>
    <mergeCell ref="GD19:GD20"/>
    <mergeCell ref="GD22:GD23"/>
    <mergeCell ref="GD25:GD26"/>
    <mergeCell ref="GD28:GD29"/>
    <mergeCell ref="GD31:GD32"/>
    <mergeCell ref="GD34:GD35"/>
    <mergeCell ref="GE3:GE4"/>
    <mergeCell ref="GE7:GE8"/>
    <mergeCell ref="GE10:GE11"/>
    <mergeCell ref="GE13:GE14"/>
    <mergeCell ref="GE16:GE17"/>
    <mergeCell ref="GE19:GE20"/>
    <mergeCell ref="GE22:GE23"/>
    <mergeCell ref="GE25:GE26"/>
    <mergeCell ref="GE28:GE29"/>
    <mergeCell ref="GE31:GE32"/>
    <mergeCell ref="GE34:GE35"/>
    <mergeCell ref="GF3:GF4"/>
    <mergeCell ref="GF7:GF8"/>
    <mergeCell ref="GF10:GF11"/>
    <mergeCell ref="GF13:GF14"/>
    <mergeCell ref="GF16:GF17"/>
    <mergeCell ref="GF19:GF20"/>
    <mergeCell ref="GF22:GF23"/>
    <mergeCell ref="GF25:GF26"/>
    <mergeCell ref="GF28:GF29"/>
    <mergeCell ref="GF31:GF32"/>
    <mergeCell ref="GF34:GF35"/>
    <mergeCell ref="GG3:GG4"/>
    <mergeCell ref="GG7:GG8"/>
    <mergeCell ref="GG10:GG11"/>
    <mergeCell ref="GG13:GG14"/>
    <mergeCell ref="GG16:GG17"/>
    <mergeCell ref="GG19:GG20"/>
    <mergeCell ref="GG22:GG23"/>
    <mergeCell ref="GG25:GG26"/>
    <mergeCell ref="GG28:GG29"/>
    <mergeCell ref="GG31:GG32"/>
    <mergeCell ref="GG34:GG35"/>
    <mergeCell ref="GH3:GH4"/>
    <mergeCell ref="GH7:GH8"/>
    <mergeCell ref="GH10:GH11"/>
    <mergeCell ref="GH13:GH14"/>
    <mergeCell ref="GH16:GH17"/>
    <mergeCell ref="GH19:GH20"/>
    <mergeCell ref="GH22:GH23"/>
    <mergeCell ref="GH25:GH26"/>
    <mergeCell ref="GH28:GH29"/>
    <mergeCell ref="GH31:GH32"/>
    <mergeCell ref="GH34:GH35"/>
    <mergeCell ref="GI3:GI4"/>
    <mergeCell ref="GI7:GI8"/>
    <mergeCell ref="GI10:GI11"/>
    <mergeCell ref="GI13:GI14"/>
    <mergeCell ref="GI16:GI17"/>
    <mergeCell ref="GI19:GI20"/>
    <mergeCell ref="GI22:GI23"/>
    <mergeCell ref="GI25:GI26"/>
    <mergeCell ref="GI28:GI29"/>
    <mergeCell ref="GI31:GI32"/>
    <mergeCell ref="GI34:GI35"/>
    <mergeCell ref="GJ3:GJ4"/>
    <mergeCell ref="GJ7:GJ8"/>
    <mergeCell ref="GJ10:GJ11"/>
    <mergeCell ref="GJ13:GJ14"/>
    <mergeCell ref="GJ16:GJ17"/>
    <mergeCell ref="GJ19:GJ20"/>
    <mergeCell ref="GJ22:GJ23"/>
    <mergeCell ref="GJ25:GJ26"/>
    <mergeCell ref="GJ28:GJ29"/>
    <mergeCell ref="GJ31:GJ32"/>
    <mergeCell ref="GJ34:GJ35"/>
    <mergeCell ref="GK3:GK4"/>
    <mergeCell ref="GK7:GK8"/>
    <mergeCell ref="GK10:GK11"/>
    <mergeCell ref="GK13:GK14"/>
    <mergeCell ref="GK16:GK17"/>
    <mergeCell ref="GK19:GK20"/>
    <mergeCell ref="GK22:GK23"/>
    <mergeCell ref="GK25:GK26"/>
    <mergeCell ref="GK28:GK29"/>
    <mergeCell ref="GK31:GK32"/>
    <mergeCell ref="GK34:GK35"/>
    <mergeCell ref="GL3:GL4"/>
    <mergeCell ref="GL7:GL8"/>
    <mergeCell ref="GL10:GL11"/>
    <mergeCell ref="GL13:GL14"/>
    <mergeCell ref="GL16:GL17"/>
    <mergeCell ref="GL19:GL20"/>
    <mergeCell ref="GL22:GL23"/>
    <mergeCell ref="GL25:GL26"/>
    <mergeCell ref="GL28:GL29"/>
    <mergeCell ref="GL31:GL32"/>
    <mergeCell ref="GL34:GL35"/>
    <mergeCell ref="GM3:GM4"/>
    <mergeCell ref="GM7:GM8"/>
    <mergeCell ref="GM10:GM11"/>
    <mergeCell ref="GM13:GM14"/>
    <mergeCell ref="GM16:GM17"/>
    <mergeCell ref="GM19:GM20"/>
    <mergeCell ref="GM22:GM23"/>
    <mergeCell ref="GM25:GM26"/>
    <mergeCell ref="GM28:GM29"/>
    <mergeCell ref="GM31:GM32"/>
    <mergeCell ref="GM34:GM35"/>
    <mergeCell ref="GN3:GN4"/>
    <mergeCell ref="GN7:GN8"/>
    <mergeCell ref="GN10:GN11"/>
    <mergeCell ref="GN13:GN14"/>
    <mergeCell ref="GN16:GN17"/>
    <mergeCell ref="GN19:GN20"/>
    <mergeCell ref="GN22:GN23"/>
    <mergeCell ref="GN25:GN26"/>
    <mergeCell ref="GN28:GN29"/>
    <mergeCell ref="GN31:GN32"/>
    <mergeCell ref="GN34:GN35"/>
    <mergeCell ref="GO3:GO4"/>
    <mergeCell ref="GO7:GO8"/>
    <mergeCell ref="GO10:GO11"/>
    <mergeCell ref="GO13:GO14"/>
    <mergeCell ref="GO16:GO17"/>
    <mergeCell ref="GO19:GO20"/>
    <mergeCell ref="GO22:GO23"/>
    <mergeCell ref="GO25:GO26"/>
    <mergeCell ref="GO28:GO29"/>
    <mergeCell ref="GO31:GO32"/>
    <mergeCell ref="GO34:GO35"/>
    <mergeCell ref="GP3:GP4"/>
    <mergeCell ref="GP7:GP8"/>
    <mergeCell ref="GP10:GP11"/>
    <mergeCell ref="GP13:GP14"/>
    <mergeCell ref="GP16:GP17"/>
    <mergeCell ref="GP19:GP20"/>
    <mergeCell ref="GP22:GP23"/>
    <mergeCell ref="GP25:GP26"/>
    <mergeCell ref="GP28:GP29"/>
    <mergeCell ref="GP31:GP32"/>
    <mergeCell ref="GP34:GP35"/>
    <mergeCell ref="GQ3:GQ4"/>
    <mergeCell ref="GQ7:GQ8"/>
    <mergeCell ref="GQ10:GQ11"/>
    <mergeCell ref="GQ13:GQ14"/>
    <mergeCell ref="GQ16:GQ17"/>
    <mergeCell ref="GQ19:GQ20"/>
    <mergeCell ref="GQ22:GQ23"/>
    <mergeCell ref="GQ25:GQ26"/>
    <mergeCell ref="GQ28:GQ29"/>
    <mergeCell ref="GQ31:GQ32"/>
    <mergeCell ref="GQ34:GQ35"/>
    <mergeCell ref="GR3:GR4"/>
    <mergeCell ref="GR7:GR8"/>
    <mergeCell ref="GR10:GR11"/>
    <mergeCell ref="GR13:GR14"/>
    <mergeCell ref="GR16:GR17"/>
    <mergeCell ref="GR19:GR20"/>
    <mergeCell ref="GR22:GR23"/>
    <mergeCell ref="GR25:GR26"/>
    <mergeCell ref="GR28:GR29"/>
    <mergeCell ref="GR31:GR32"/>
    <mergeCell ref="GR34:GR35"/>
    <mergeCell ref="GS3:GS4"/>
    <mergeCell ref="GS7:GS8"/>
    <mergeCell ref="GS10:GS11"/>
    <mergeCell ref="GS13:GS14"/>
    <mergeCell ref="GS16:GS17"/>
    <mergeCell ref="GS19:GS20"/>
    <mergeCell ref="GS22:GS23"/>
    <mergeCell ref="GS25:GS26"/>
    <mergeCell ref="GS28:GS29"/>
    <mergeCell ref="GS31:GS32"/>
    <mergeCell ref="GS34:GS35"/>
    <mergeCell ref="GT3:GT4"/>
    <mergeCell ref="GT7:GT8"/>
    <mergeCell ref="GT10:GT11"/>
    <mergeCell ref="GT13:GT14"/>
    <mergeCell ref="GT16:GT17"/>
    <mergeCell ref="GT19:GT20"/>
    <mergeCell ref="GT22:GT23"/>
    <mergeCell ref="GT25:GT26"/>
    <mergeCell ref="GT28:GT29"/>
    <mergeCell ref="GT31:GT32"/>
    <mergeCell ref="GT34:GT35"/>
    <mergeCell ref="GU3:GU4"/>
    <mergeCell ref="GU7:GU8"/>
    <mergeCell ref="GU10:GU11"/>
    <mergeCell ref="GU13:GU14"/>
    <mergeCell ref="GU16:GU17"/>
    <mergeCell ref="GU19:GU20"/>
    <mergeCell ref="GU22:GU23"/>
    <mergeCell ref="GU25:GU26"/>
    <mergeCell ref="GU28:GU29"/>
    <mergeCell ref="GU31:GU32"/>
    <mergeCell ref="GU34:GU35"/>
    <mergeCell ref="GV3:GV4"/>
    <mergeCell ref="GV7:GV8"/>
    <mergeCell ref="GV10:GV11"/>
    <mergeCell ref="GV13:GV14"/>
    <mergeCell ref="GV16:GV17"/>
    <mergeCell ref="GV19:GV20"/>
    <mergeCell ref="GV22:GV23"/>
    <mergeCell ref="GV25:GV26"/>
    <mergeCell ref="GV28:GV29"/>
    <mergeCell ref="GV31:GV32"/>
    <mergeCell ref="GV34:GV35"/>
    <mergeCell ref="GW3:GW4"/>
    <mergeCell ref="GW7:GW8"/>
    <mergeCell ref="GW10:GW11"/>
    <mergeCell ref="GW13:GW14"/>
    <mergeCell ref="GW16:GW17"/>
    <mergeCell ref="GW19:GW20"/>
    <mergeCell ref="GW22:GW23"/>
    <mergeCell ref="GW25:GW26"/>
    <mergeCell ref="GW28:GW29"/>
    <mergeCell ref="GW31:GW32"/>
    <mergeCell ref="GW34:GW35"/>
    <mergeCell ref="GX3:GX4"/>
    <mergeCell ref="GX7:GX8"/>
    <mergeCell ref="GX10:GX11"/>
    <mergeCell ref="GX13:GX14"/>
    <mergeCell ref="GX16:GX17"/>
    <mergeCell ref="GX19:GX20"/>
    <mergeCell ref="GX22:GX23"/>
    <mergeCell ref="GX25:GX26"/>
    <mergeCell ref="GX28:GX29"/>
    <mergeCell ref="GX31:GX32"/>
    <mergeCell ref="GX34:GX35"/>
    <mergeCell ref="GY3:GY4"/>
    <mergeCell ref="GY7:GY8"/>
    <mergeCell ref="GY10:GY11"/>
    <mergeCell ref="GY13:GY14"/>
    <mergeCell ref="GY16:GY17"/>
    <mergeCell ref="GY19:GY20"/>
    <mergeCell ref="GY22:GY23"/>
    <mergeCell ref="GY25:GY26"/>
    <mergeCell ref="GY28:GY29"/>
    <mergeCell ref="GY31:GY32"/>
    <mergeCell ref="GY34:GY35"/>
    <mergeCell ref="GZ3:GZ4"/>
    <mergeCell ref="GZ7:GZ8"/>
    <mergeCell ref="GZ10:GZ11"/>
    <mergeCell ref="GZ13:GZ14"/>
    <mergeCell ref="GZ16:GZ17"/>
    <mergeCell ref="GZ19:GZ20"/>
    <mergeCell ref="GZ22:GZ23"/>
    <mergeCell ref="GZ25:GZ26"/>
    <mergeCell ref="GZ28:GZ29"/>
    <mergeCell ref="GZ31:GZ32"/>
    <mergeCell ref="GZ34:GZ35"/>
    <mergeCell ref="HA3:HA4"/>
    <mergeCell ref="HA7:HA8"/>
    <mergeCell ref="HA10:HA11"/>
    <mergeCell ref="HA13:HA14"/>
    <mergeCell ref="HA16:HA17"/>
    <mergeCell ref="HA19:HA20"/>
    <mergeCell ref="HA22:HA23"/>
    <mergeCell ref="HA25:HA26"/>
    <mergeCell ref="HA28:HA29"/>
    <mergeCell ref="HA31:HA32"/>
    <mergeCell ref="HA34:HA35"/>
    <mergeCell ref="HB3:HB4"/>
    <mergeCell ref="HB7:HB8"/>
    <mergeCell ref="HB10:HB11"/>
    <mergeCell ref="HB13:HB14"/>
    <mergeCell ref="HB16:HB17"/>
    <mergeCell ref="HB19:HB20"/>
    <mergeCell ref="HB22:HB23"/>
    <mergeCell ref="HB25:HB26"/>
    <mergeCell ref="HB28:HB29"/>
    <mergeCell ref="HB31:HB32"/>
    <mergeCell ref="HB34:HB35"/>
    <mergeCell ref="HC3:HC4"/>
    <mergeCell ref="HC7:HC8"/>
    <mergeCell ref="HC10:HC11"/>
    <mergeCell ref="HC13:HC14"/>
    <mergeCell ref="HC16:HC17"/>
    <mergeCell ref="HC19:HC20"/>
    <mergeCell ref="HC22:HC23"/>
    <mergeCell ref="HC25:HC26"/>
    <mergeCell ref="HC28:HC29"/>
    <mergeCell ref="HC31:HC32"/>
    <mergeCell ref="HC34:HC35"/>
    <mergeCell ref="HD3:HD4"/>
    <mergeCell ref="HD7:HD8"/>
    <mergeCell ref="HD10:HD11"/>
    <mergeCell ref="HD13:HD14"/>
    <mergeCell ref="HD16:HD17"/>
    <mergeCell ref="HD19:HD20"/>
    <mergeCell ref="HD22:HD23"/>
    <mergeCell ref="HD25:HD26"/>
    <mergeCell ref="HD28:HD29"/>
    <mergeCell ref="HD31:HD32"/>
    <mergeCell ref="HD34:HD35"/>
    <mergeCell ref="HE3:HE4"/>
    <mergeCell ref="HE7:HE8"/>
    <mergeCell ref="HE10:HE11"/>
    <mergeCell ref="HE13:HE14"/>
    <mergeCell ref="HE16:HE17"/>
    <mergeCell ref="HE19:HE20"/>
    <mergeCell ref="HE22:HE23"/>
    <mergeCell ref="HE25:HE26"/>
    <mergeCell ref="HE28:HE29"/>
    <mergeCell ref="HE31:HE32"/>
    <mergeCell ref="HE34:HE35"/>
    <mergeCell ref="HF3:HF4"/>
    <mergeCell ref="HF7:HF8"/>
    <mergeCell ref="HF10:HF11"/>
    <mergeCell ref="HF13:HF14"/>
    <mergeCell ref="HF16:HF17"/>
    <mergeCell ref="HF19:HF20"/>
    <mergeCell ref="HF22:HF23"/>
    <mergeCell ref="HF25:HF26"/>
    <mergeCell ref="HF28:HF29"/>
    <mergeCell ref="HF31:HF32"/>
    <mergeCell ref="HF34:HF35"/>
    <mergeCell ref="HG3:HG4"/>
    <mergeCell ref="HG7:HG8"/>
    <mergeCell ref="HG10:HG11"/>
    <mergeCell ref="HG13:HG14"/>
    <mergeCell ref="HG16:HG17"/>
    <mergeCell ref="HG19:HG20"/>
    <mergeCell ref="HG22:HG23"/>
    <mergeCell ref="HG25:HG26"/>
    <mergeCell ref="HG28:HG29"/>
    <mergeCell ref="HG31:HG32"/>
    <mergeCell ref="HG34:HG35"/>
    <mergeCell ref="HH3:HH4"/>
    <mergeCell ref="HH7:HH8"/>
    <mergeCell ref="HH10:HH11"/>
    <mergeCell ref="HH13:HH14"/>
    <mergeCell ref="HH16:HH17"/>
    <mergeCell ref="HH19:HH20"/>
    <mergeCell ref="HH22:HH23"/>
    <mergeCell ref="HH25:HH26"/>
    <mergeCell ref="HH28:HH29"/>
    <mergeCell ref="HH31:HH32"/>
    <mergeCell ref="HH34:HH35"/>
    <mergeCell ref="HI3:HI4"/>
    <mergeCell ref="HI7:HI8"/>
    <mergeCell ref="HI10:HI11"/>
    <mergeCell ref="HI13:HI14"/>
    <mergeCell ref="HI16:HI17"/>
    <mergeCell ref="HI19:HI20"/>
    <mergeCell ref="HI22:HI23"/>
    <mergeCell ref="HI25:HI26"/>
    <mergeCell ref="HI28:HI29"/>
    <mergeCell ref="HI31:HI32"/>
    <mergeCell ref="HI34:HI35"/>
    <mergeCell ref="HJ3:HJ4"/>
    <mergeCell ref="HJ7:HJ8"/>
    <mergeCell ref="HJ10:HJ11"/>
    <mergeCell ref="HJ13:HJ14"/>
    <mergeCell ref="HJ16:HJ17"/>
    <mergeCell ref="HJ19:HJ20"/>
    <mergeCell ref="HJ22:HJ23"/>
    <mergeCell ref="HJ25:HJ26"/>
    <mergeCell ref="HJ28:HJ29"/>
    <mergeCell ref="HJ31:HJ32"/>
    <mergeCell ref="HJ34:HJ35"/>
    <mergeCell ref="HK3:HK4"/>
    <mergeCell ref="HK7:HK8"/>
    <mergeCell ref="HK10:HK11"/>
    <mergeCell ref="HK13:HK14"/>
    <mergeCell ref="HK16:HK17"/>
    <mergeCell ref="HK19:HK20"/>
    <mergeCell ref="HK22:HK23"/>
    <mergeCell ref="HK25:HK26"/>
    <mergeCell ref="HK28:HK29"/>
    <mergeCell ref="HK31:HK32"/>
    <mergeCell ref="HK34:HK35"/>
    <mergeCell ref="HL3:HL4"/>
    <mergeCell ref="HL7:HL8"/>
    <mergeCell ref="HL10:HL11"/>
    <mergeCell ref="HL13:HL14"/>
    <mergeCell ref="HL16:HL17"/>
    <mergeCell ref="HL19:HL20"/>
    <mergeCell ref="HL22:HL23"/>
    <mergeCell ref="HL25:HL26"/>
    <mergeCell ref="HL28:HL29"/>
    <mergeCell ref="HL31:HL32"/>
    <mergeCell ref="HL34:HL35"/>
    <mergeCell ref="HM3:HM4"/>
    <mergeCell ref="HM7:HM8"/>
    <mergeCell ref="HM10:HM11"/>
    <mergeCell ref="HM13:HM14"/>
    <mergeCell ref="HM16:HM17"/>
    <mergeCell ref="HM19:HM20"/>
    <mergeCell ref="HM22:HM23"/>
    <mergeCell ref="HM25:HM26"/>
    <mergeCell ref="HM28:HM29"/>
    <mergeCell ref="HM31:HM32"/>
    <mergeCell ref="HM34:HM35"/>
    <mergeCell ref="HN3:HN4"/>
    <mergeCell ref="HN7:HN8"/>
    <mergeCell ref="HN10:HN11"/>
    <mergeCell ref="HN13:HN14"/>
    <mergeCell ref="HN16:HN17"/>
    <mergeCell ref="HN19:HN20"/>
    <mergeCell ref="HN22:HN23"/>
    <mergeCell ref="HN25:HN26"/>
    <mergeCell ref="HN28:HN29"/>
    <mergeCell ref="HN31:HN32"/>
    <mergeCell ref="HN34:HN35"/>
    <mergeCell ref="HO3:HO4"/>
    <mergeCell ref="HO7:HO8"/>
    <mergeCell ref="HO10:HO11"/>
    <mergeCell ref="HO13:HO14"/>
    <mergeCell ref="HO16:HO17"/>
    <mergeCell ref="HO19:HO20"/>
    <mergeCell ref="HO22:HO23"/>
    <mergeCell ref="HO25:HO26"/>
    <mergeCell ref="HO28:HO29"/>
    <mergeCell ref="HO31:HO32"/>
    <mergeCell ref="HO34:HO35"/>
    <mergeCell ref="HP3:HP4"/>
    <mergeCell ref="HP7:HP8"/>
    <mergeCell ref="HP10:HP11"/>
    <mergeCell ref="HP13:HP14"/>
    <mergeCell ref="HP16:HP17"/>
    <mergeCell ref="HP19:HP20"/>
    <mergeCell ref="HP22:HP23"/>
    <mergeCell ref="HP25:HP26"/>
    <mergeCell ref="HP28:HP29"/>
    <mergeCell ref="HP31:HP32"/>
    <mergeCell ref="HP34:HP35"/>
    <mergeCell ref="HQ3:HQ4"/>
    <mergeCell ref="HQ7:HQ8"/>
    <mergeCell ref="HQ10:HQ11"/>
    <mergeCell ref="HQ13:HQ14"/>
    <mergeCell ref="HQ16:HQ17"/>
    <mergeCell ref="HQ19:HQ20"/>
    <mergeCell ref="HQ22:HQ23"/>
    <mergeCell ref="HQ25:HQ26"/>
    <mergeCell ref="HQ28:HQ29"/>
    <mergeCell ref="HQ31:HQ32"/>
    <mergeCell ref="HQ34:HQ35"/>
    <mergeCell ref="HR3:HR4"/>
    <mergeCell ref="HR7:HR8"/>
    <mergeCell ref="HR10:HR11"/>
    <mergeCell ref="HR13:HR14"/>
    <mergeCell ref="HR16:HR17"/>
    <mergeCell ref="HR19:HR20"/>
    <mergeCell ref="HR22:HR23"/>
    <mergeCell ref="HR25:HR26"/>
    <mergeCell ref="HR28:HR29"/>
    <mergeCell ref="HR31:HR32"/>
    <mergeCell ref="HR34:HR35"/>
    <mergeCell ref="HS3:HS4"/>
    <mergeCell ref="HS7:HS8"/>
    <mergeCell ref="HS10:HS11"/>
    <mergeCell ref="HS13:HS14"/>
    <mergeCell ref="HS16:HS17"/>
    <mergeCell ref="HS19:HS20"/>
    <mergeCell ref="HS22:HS23"/>
    <mergeCell ref="HS25:HS26"/>
    <mergeCell ref="HS28:HS29"/>
    <mergeCell ref="HS31:HS32"/>
    <mergeCell ref="HS34:HS35"/>
    <mergeCell ref="HT3:HT4"/>
    <mergeCell ref="HT7:HT8"/>
    <mergeCell ref="HT10:HT11"/>
    <mergeCell ref="HT13:HT14"/>
    <mergeCell ref="HT16:HT17"/>
    <mergeCell ref="HT19:HT20"/>
    <mergeCell ref="HT22:HT23"/>
    <mergeCell ref="HT25:HT26"/>
    <mergeCell ref="HT28:HT29"/>
    <mergeCell ref="HT31:HT32"/>
    <mergeCell ref="HT34:HT35"/>
    <mergeCell ref="HU3:HU4"/>
    <mergeCell ref="HU7:HU8"/>
    <mergeCell ref="HU10:HU11"/>
    <mergeCell ref="HU13:HU14"/>
    <mergeCell ref="HU16:HU17"/>
    <mergeCell ref="HU19:HU20"/>
    <mergeCell ref="HU22:HU23"/>
    <mergeCell ref="HU25:HU26"/>
    <mergeCell ref="HU28:HU29"/>
    <mergeCell ref="HU31:HU32"/>
    <mergeCell ref="HU34:HU35"/>
    <mergeCell ref="HV3:HV4"/>
    <mergeCell ref="HV7:HV8"/>
    <mergeCell ref="HV10:HV11"/>
    <mergeCell ref="HV13:HV14"/>
    <mergeCell ref="HV16:HV17"/>
    <mergeCell ref="HV19:HV20"/>
    <mergeCell ref="HV22:HV23"/>
    <mergeCell ref="HV25:HV26"/>
    <mergeCell ref="HV28:HV29"/>
    <mergeCell ref="HV31:HV32"/>
    <mergeCell ref="HV34:HV35"/>
    <mergeCell ref="HW3:HW4"/>
    <mergeCell ref="HW7:HW8"/>
    <mergeCell ref="HW10:HW11"/>
    <mergeCell ref="HW13:HW14"/>
    <mergeCell ref="HW16:HW17"/>
    <mergeCell ref="HW19:HW20"/>
    <mergeCell ref="HW22:HW23"/>
    <mergeCell ref="HW25:HW26"/>
    <mergeCell ref="HW28:HW29"/>
    <mergeCell ref="HW31:HW32"/>
    <mergeCell ref="HW34:HW35"/>
    <mergeCell ref="HX3:HX4"/>
    <mergeCell ref="HX7:HX8"/>
    <mergeCell ref="HX10:HX11"/>
    <mergeCell ref="HX13:HX14"/>
    <mergeCell ref="HX16:HX17"/>
    <mergeCell ref="HX19:HX20"/>
    <mergeCell ref="HX22:HX23"/>
    <mergeCell ref="HX25:HX26"/>
    <mergeCell ref="HX28:HX29"/>
    <mergeCell ref="HX31:HX32"/>
    <mergeCell ref="HX34:HX35"/>
    <mergeCell ref="HY3:HY4"/>
    <mergeCell ref="HY7:HY8"/>
    <mergeCell ref="HY10:HY11"/>
    <mergeCell ref="HY13:HY14"/>
    <mergeCell ref="HY16:HY17"/>
    <mergeCell ref="HY19:HY20"/>
    <mergeCell ref="HY22:HY23"/>
    <mergeCell ref="HY25:HY26"/>
    <mergeCell ref="HY28:HY29"/>
    <mergeCell ref="HY31:HY32"/>
    <mergeCell ref="HY34:HY35"/>
    <mergeCell ref="HZ3:HZ4"/>
    <mergeCell ref="HZ7:HZ8"/>
    <mergeCell ref="HZ10:HZ11"/>
    <mergeCell ref="HZ13:HZ14"/>
    <mergeCell ref="HZ16:HZ17"/>
    <mergeCell ref="HZ19:HZ20"/>
    <mergeCell ref="HZ22:HZ23"/>
    <mergeCell ref="HZ25:HZ26"/>
    <mergeCell ref="HZ28:HZ29"/>
    <mergeCell ref="HZ31:HZ32"/>
    <mergeCell ref="HZ34:HZ35"/>
    <mergeCell ref="IA3:IA4"/>
    <mergeCell ref="IA7:IA8"/>
    <mergeCell ref="IA10:IA11"/>
    <mergeCell ref="IA13:IA14"/>
    <mergeCell ref="IA16:IA17"/>
    <mergeCell ref="IA19:IA20"/>
    <mergeCell ref="IA22:IA23"/>
    <mergeCell ref="IA25:IA26"/>
    <mergeCell ref="IA28:IA29"/>
    <mergeCell ref="IA31:IA32"/>
    <mergeCell ref="IA34:IA35"/>
    <mergeCell ref="IB3:IB4"/>
    <mergeCell ref="IB7:IB8"/>
    <mergeCell ref="IB10:IB11"/>
    <mergeCell ref="IB13:IB14"/>
    <mergeCell ref="IB16:IB17"/>
    <mergeCell ref="IB19:IB20"/>
    <mergeCell ref="IB22:IB23"/>
    <mergeCell ref="IB25:IB26"/>
    <mergeCell ref="IB28:IB29"/>
    <mergeCell ref="IB31:IB32"/>
    <mergeCell ref="IB34:IB35"/>
    <mergeCell ref="IC3:IC4"/>
    <mergeCell ref="IC7:IC8"/>
    <mergeCell ref="IC10:IC11"/>
    <mergeCell ref="IC13:IC14"/>
    <mergeCell ref="IC16:IC17"/>
    <mergeCell ref="IC19:IC20"/>
    <mergeCell ref="IC22:IC23"/>
    <mergeCell ref="IC25:IC26"/>
    <mergeCell ref="IC28:IC29"/>
    <mergeCell ref="IC31:IC32"/>
    <mergeCell ref="IC34:IC35"/>
    <mergeCell ref="ID3:ID4"/>
    <mergeCell ref="ID7:ID8"/>
    <mergeCell ref="ID10:ID11"/>
    <mergeCell ref="ID13:ID14"/>
    <mergeCell ref="ID16:ID17"/>
    <mergeCell ref="ID19:ID20"/>
    <mergeCell ref="ID22:ID23"/>
    <mergeCell ref="ID25:ID26"/>
    <mergeCell ref="ID28:ID29"/>
    <mergeCell ref="ID31:ID32"/>
    <mergeCell ref="ID34:ID35"/>
    <mergeCell ref="IE3:IE4"/>
    <mergeCell ref="IE7:IE8"/>
    <mergeCell ref="IE10:IE11"/>
    <mergeCell ref="IE13:IE14"/>
    <mergeCell ref="IE16:IE17"/>
    <mergeCell ref="IE19:IE20"/>
    <mergeCell ref="IE22:IE23"/>
    <mergeCell ref="IE25:IE26"/>
    <mergeCell ref="IE28:IE29"/>
    <mergeCell ref="IE31:IE32"/>
    <mergeCell ref="IE34:IE35"/>
    <mergeCell ref="IF3:IF4"/>
    <mergeCell ref="IF7:IF8"/>
    <mergeCell ref="IF10:IF11"/>
    <mergeCell ref="IF13:IF14"/>
    <mergeCell ref="IF16:IF17"/>
    <mergeCell ref="IF19:IF20"/>
    <mergeCell ref="IF22:IF23"/>
    <mergeCell ref="IF25:IF26"/>
    <mergeCell ref="IF28:IF29"/>
    <mergeCell ref="IF31:IF32"/>
    <mergeCell ref="IF34:IF35"/>
    <mergeCell ref="IG3:IG4"/>
    <mergeCell ref="IG7:IG8"/>
    <mergeCell ref="IG10:IG11"/>
    <mergeCell ref="IG13:IG14"/>
    <mergeCell ref="IG16:IG17"/>
    <mergeCell ref="IG19:IG20"/>
    <mergeCell ref="IG22:IG23"/>
    <mergeCell ref="IG25:IG26"/>
    <mergeCell ref="IG28:IG29"/>
    <mergeCell ref="IG31:IG32"/>
    <mergeCell ref="IG34:IG35"/>
    <mergeCell ref="IH3:IH4"/>
    <mergeCell ref="IH7:IH8"/>
    <mergeCell ref="IH10:IH11"/>
    <mergeCell ref="IH13:IH14"/>
    <mergeCell ref="IH16:IH17"/>
    <mergeCell ref="IH19:IH20"/>
    <mergeCell ref="IH22:IH23"/>
    <mergeCell ref="IH25:IH26"/>
    <mergeCell ref="IH28:IH29"/>
    <mergeCell ref="IH31:IH32"/>
    <mergeCell ref="IH34:IH35"/>
    <mergeCell ref="II3:II4"/>
    <mergeCell ref="II7:II8"/>
    <mergeCell ref="II10:II11"/>
    <mergeCell ref="II13:II14"/>
    <mergeCell ref="II16:II17"/>
    <mergeCell ref="II19:II20"/>
    <mergeCell ref="II22:II23"/>
    <mergeCell ref="II25:II26"/>
    <mergeCell ref="II28:II29"/>
    <mergeCell ref="II31:II32"/>
    <mergeCell ref="II34:II35"/>
    <mergeCell ref="IJ3:IJ4"/>
    <mergeCell ref="IJ7:IJ8"/>
    <mergeCell ref="IJ10:IJ11"/>
    <mergeCell ref="IJ13:IJ14"/>
    <mergeCell ref="IJ16:IJ17"/>
    <mergeCell ref="IJ19:IJ20"/>
    <mergeCell ref="IJ22:IJ23"/>
    <mergeCell ref="IJ25:IJ26"/>
    <mergeCell ref="IJ28:IJ29"/>
    <mergeCell ref="IJ31:IJ32"/>
    <mergeCell ref="IJ34:IJ35"/>
    <mergeCell ref="IK3:IK4"/>
    <mergeCell ref="IK7:IK8"/>
    <mergeCell ref="IK10:IK11"/>
    <mergeCell ref="IK13:IK14"/>
    <mergeCell ref="IK16:IK17"/>
    <mergeCell ref="IK19:IK20"/>
    <mergeCell ref="IK22:IK23"/>
    <mergeCell ref="IK25:IK26"/>
    <mergeCell ref="IK28:IK29"/>
    <mergeCell ref="IK31:IK32"/>
    <mergeCell ref="IK34:IK35"/>
    <mergeCell ref="IL3:IL4"/>
    <mergeCell ref="IL7:IL8"/>
    <mergeCell ref="IL10:IL11"/>
    <mergeCell ref="IL13:IL14"/>
    <mergeCell ref="IL16:IL17"/>
    <mergeCell ref="IL19:IL20"/>
    <mergeCell ref="IL22:IL23"/>
    <mergeCell ref="IL25:IL26"/>
    <mergeCell ref="IL28:IL29"/>
    <mergeCell ref="IL31:IL32"/>
    <mergeCell ref="IL34:IL35"/>
    <mergeCell ref="IM3:IM4"/>
    <mergeCell ref="IM7:IM8"/>
    <mergeCell ref="IM10:IM11"/>
    <mergeCell ref="IM13:IM14"/>
    <mergeCell ref="IM16:IM17"/>
    <mergeCell ref="IM19:IM20"/>
    <mergeCell ref="IM22:IM23"/>
    <mergeCell ref="IM25:IM26"/>
    <mergeCell ref="IM28:IM29"/>
    <mergeCell ref="IM31:IM32"/>
    <mergeCell ref="IM34:IM35"/>
    <mergeCell ref="IN3:IN4"/>
    <mergeCell ref="IN7:IN8"/>
    <mergeCell ref="IN10:IN11"/>
    <mergeCell ref="IN13:IN14"/>
    <mergeCell ref="IN16:IN17"/>
    <mergeCell ref="IN19:IN20"/>
    <mergeCell ref="IN22:IN23"/>
    <mergeCell ref="IN25:IN26"/>
    <mergeCell ref="IN28:IN29"/>
    <mergeCell ref="IN31:IN32"/>
    <mergeCell ref="IN34:IN35"/>
    <mergeCell ref="IO3:IO4"/>
    <mergeCell ref="IO7:IO8"/>
    <mergeCell ref="IO10:IO11"/>
    <mergeCell ref="IO13:IO14"/>
    <mergeCell ref="IO16:IO17"/>
    <mergeCell ref="IO19:IO20"/>
    <mergeCell ref="IO22:IO23"/>
    <mergeCell ref="IO25:IO26"/>
    <mergeCell ref="IO28:IO29"/>
    <mergeCell ref="IO31:IO32"/>
    <mergeCell ref="IO34:IO35"/>
    <mergeCell ref="IP3:IP4"/>
    <mergeCell ref="IP7:IP8"/>
    <mergeCell ref="IP10:IP11"/>
    <mergeCell ref="IP13:IP14"/>
    <mergeCell ref="IP16:IP17"/>
    <mergeCell ref="IP19:IP20"/>
    <mergeCell ref="IP22:IP23"/>
    <mergeCell ref="IP25:IP26"/>
    <mergeCell ref="IP28:IP29"/>
    <mergeCell ref="IP31:IP32"/>
    <mergeCell ref="IP34:IP35"/>
    <mergeCell ref="IQ3:IQ4"/>
    <mergeCell ref="IQ7:IQ8"/>
    <mergeCell ref="IQ10:IQ11"/>
    <mergeCell ref="IQ13:IQ14"/>
    <mergeCell ref="IQ16:IQ17"/>
    <mergeCell ref="IQ19:IQ20"/>
    <mergeCell ref="IQ22:IQ23"/>
    <mergeCell ref="IQ25:IQ26"/>
    <mergeCell ref="IQ28:IQ29"/>
    <mergeCell ref="IQ31:IQ32"/>
    <mergeCell ref="IQ34:IQ35"/>
    <mergeCell ref="IR3:IR4"/>
    <mergeCell ref="IR7:IR8"/>
    <mergeCell ref="IR10:IR11"/>
    <mergeCell ref="IR13:IR14"/>
    <mergeCell ref="IR16:IR17"/>
    <mergeCell ref="IR19:IR20"/>
    <mergeCell ref="IR22:IR23"/>
    <mergeCell ref="IR25:IR26"/>
    <mergeCell ref="IR28:IR29"/>
    <mergeCell ref="IR31:IR32"/>
    <mergeCell ref="IR34:IR35"/>
    <mergeCell ref="IS3:IS4"/>
    <mergeCell ref="IS7:IS8"/>
    <mergeCell ref="IS10:IS11"/>
    <mergeCell ref="IS13:IS14"/>
    <mergeCell ref="IS16:IS17"/>
    <mergeCell ref="IS19:IS20"/>
    <mergeCell ref="IS22:IS23"/>
    <mergeCell ref="IS25:IS26"/>
    <mergeCell ref="IS28:IS29"/>
    <mergeCell ref="IS31:IS32"/>
    <mergeCell ref="IS34:IS35"/>
    <mergeCell ref="IT3:IT4"/>
    <mergeCell ref="IT7:IT8"/>
    <mergeCell ref="IT10:IT11"/>
    <mergeCell ref="IT13:IT14"/>
    <mergeCell ref="IT16:IT17"/>
    <mergeCell ref="IT19:IT20"/>
    <mergeCell ref="IT22:IT23"/>
    <mergeCell ref="IT25:IT26"/>
    <mergeCell ref="IT28:IT29"/>
    <mergeCell ref="IT31:IT32"/>
    <mergeCell ref="IT34:IT35"/>
    <mergeCell ref="IU3:IU4"/>
    <mergeCell ref="IU7:IU8"/>
    <mergeCell ref="IU10:IU11"/>
    <mergeCell ref="IU13:IU14"/>
    <mergeCell ref="IU16:IU17"/>
    <mergeCell ref="IU19:IU20"/>
    <mergeCell ref="IU22:IU23"/>
    <mergeCell ref="IU25:IU26"/>
    <mergeCell ref="IU28:IU29"/>
    <mergeCell ref="IU31:IU32"/>
    <mergeCell ref="IU34:IU35"/>
    <mergeCell ref="IV3:IV4"/>
    <mergeCell ref="IV7:IV8"/>
    <mergeCell ref="IV10:IV11"/>
    <mergeCell ref="IV13:IV14"/>
    <mergeCell ref="IV16:IV17"/>
    <mergeCell ref="IV19:IV20"/>
    <mergeCell ref="IV22:IV23"/>
    <mergeCell ref="IV25:IV26"/>
    <mergeCell ref="IV28:IV29"/>
    <mergeCell ref="IV31:IV32"/>
    <mergeCell ref="IV34:IV35"/>
    <mergeCell ref="IW3:IW4"/>
    <mergeCell ref="IW7:IW8"/>
    <mergeCell ref="IW10:IW11"/>
    <mergeCell ref="IW13:IW14"/>
    <mergeCell ref="IW16:IW17"/>
    <mergeCell ref="IW19:IW20"/>
    <mergeCell ref="IW22:IW23"/>
    <mergeCell ref="IW25:IW26"/>
    <mergeCell ref="IW28:IW29"/>
    <mergeCell ref="IW31:IW32"/>
    <mergeCell ref="IW34:IW35"/>
    <mergeCell ref="IX3:IX4"/>
    <mergeCell ref="IX7:IX8"/>
    <mergeCell ref="IX10:IX11"/>
    <mergeCell ref="IX13:IX14"/>
    <mergeCell ref="IX16:IX17"/>
    <mergeCell ref="IX19:IX20"/>
    <mergeCell ref="IX22:IX23"/>
    <mergeCell ref="IX25:IX26"/>
    <mergeCell ref="IX28:IX29"/>
    <mergeCell ref="IX31:IX32"/>
    <mergeCell ref="IX34:IX35"/>
    <mergeCell ref="IY3:IY4"/>
    <mergeCell ref="IY7:IY8"/>
    <mergeCell ref="IY10:IY11"/>
    <mergeCell ref="IY13:IY14"/>
    <mergeCell ref="IY16:IY17"/>
    <mergeCell ref="IY19:IY20"/>
    <mergeCell ref="IY22:IY23"/>
    <mergeCell ref="IY25:IY26"/>
    <mergeCell ref="IY28:IY29"/>
    <mergeCell ref="IY31:IY32"/>
    <mergeCell ref="IY34:IY35"/>
    <mergeCell ref="IZ3:IZ4"/>
    <mergeCell ref="IZ7:IZ8"/>
    <mergeCell ref="IZ10:IZ11"/>
    <mergeCell ref="IZ13:IZ14"/>
    <mergeCell ref="IZ16:IZ17"/>
    <mergeCell ref="IZ19:IZ20"/>
    <mergeCell ref="IZ22:IZ23"/>
    <mergeCell ref="IZ25:IZ26"/>
    <mergeCell ref="IZ28:IZ29"/>
    <mergeCell ref="IZ31:IZ32"/>
    <mergeCell ref="IZ34:IZ35"/>
    <mergeCell ref="JA3:JA4"/>
    <mergeCell ref="JA7:JA8"/>
    <mergeCell ref="JA10:JA11"/>
    <mergeCell ref="JA13:JA14"/>
    <mergeCell ref="JA16:JA17"/>
    <mergeCell ref="JA19:JA20"/>
    <mergeCell ref="JA22:JA23"/>
    <mergeCell ref="JA25:JA26"/>
    <mergeCell ref="JA28:JA29"/>
    <mergeCell ref="JA31:JA32"/>
    <mergeCell ref="JA34:JA35"/>
    <mergeCell ref="JB3:JB4"/>
    <mergeCell ref="JB7:JB8"/>
    <mergeCell ref="JB10:JB11"/>
    <mergeCell ref="JB13:JB14"/>
    <mergeCell ref="JB16:JB17"/>
    <mergeCell ref="JB19:JB20"/>
    <mergeCell ref="JB22:JB23"/>
    <mergeCell ref="JB25:JB26"/>
    <mergeCell ref="JB28:JB29"/>
    <mergeCell ref="JB31:JB32"/>
    <mergeCell ref="JB34:JB35"/>
    <mergeCell ref="JC3:JC4"/>
    <mergeCell ref="JC7:JC8"/>
    <mergeCell ref="JC10:JC11"/>
    <mergeCell ref="JC13:JC14"/>
    <mergeCell ref="JC16:JC17"/>
    <mergeCell ref="JC19:JC20"/>
    <mergeCell ref="JC22:JC23"/>
    <mergeCell ref="JC25:JC26"/>
    <mergeCell ref="JC28:JC29"/>
    <mergeCell ref="JC31:JC32"/>
    <mergeCell ref="JC34:JC35"/>
    <mergeCell ref="JD3:JD4"/>
    <mergeCell ref="JD7:JD8"/>
    <mergeCell ref="JD10:JD11"/>
    <mergeCell ref="JD13:JD14"/>
    <mergeCell ref="JD16:JD17"/>
    <mergeCell ref="JD19:JD20"/>
    <mergeCell ref="JD22:JD23"/>
    <mergeCell ref="JD25:JD26"/>
    <mergeCell ref="JD28:JD29"/>
    <mergeCell ref="JD31:JD32"/>
    <mergeCell ref="JD34:JD35"/>
    <mergeCell ref="JE3:JE4"/>
    <mergeCell ref="JE7:JE8"/>
    <mergeCell ref="JE10:JE11"/>
    <mergeCell ref="JE13:JE14"/>
    <mergeCell ref="JE16:JE17"/>
    <mergeCell ref="JE19:JE20"/>
    <mergeCell ref="JE22:JE23"/>
    <mergeCell ref="JE25:JE26"/>
    <mergeCell ref="JE28:JE29"/>
    <mergeCell ref="JE31:JE32"/>
    <mergeCell ref="JE34:JE35"/>
    <mergeCell ref="JF3:JF4"/>
    <mergeCell ref="JF7:JF8"/>
    <mergeCell ref="JF10:JF11"/>
    <mergeCell ref="JF13:JF14"/>
    <mergeCell ref="JF16:JF17"/>
    <mergeCell ref="JF19:JF20"/>
    <mergeCell ref="JF22:JF23"/>
    <mergeCell ref="JF25:JF26"/>
    <mergeCell ref="JF28:JF29"/>
    <mergeCell ref="JF31:JF32"/>
    <mergeCell ref="JF34:JF35"/>
    <mergeCell ref="JG3:JG4"/>
    <mergeCell ref="JG7:JG8"/>
    <mergeCell ref="JG10:JG11"/>
    <mergeCell ref="JG13:JG14"/>
    <mergeCell ref="JG16:JG17"/>
    <mergeCell ref="JG19:JG20"/>
    <mergeCell ref="JG22:JG23"/>
    <mergeCell ref="JG25:JG26"/>
    <mergeCell ref="JG28:JG29"/>
    <mergeCell ref="JG31:JG32"/>
    <mergeCell ref="JG34:JG35"/>
    <mergeCell ref="JH3:JH4"/>
    <mergeCell ref="JH7:JH8"/>
    <mergeCell ref="JH10:JH11"/>
    <mergeCell ref="JH13:JH14"/>
    <mergeCell ref="JH16:JH17"/>
    <mergeCell ref="JH19:JH20"/>
    <mergeCell ref="JH22:JH23"/>
    <mergeCell ref="JH25:JH26"/>
    <mergeCell ref="JH28:JH29"/>
    <mergeCell ref="JH31:JH32"/>
    <mergeCell ref="JH34:JH35"/>
    <mergeCell ref="JI3:JI4"/>
    <mergeCell ref="JI7:JI8"/>
    <mergeCell ref="JI10:JI11"/>
    <mergeCell ref="JI13:JI14"/>
    <mergeCell ref="JI16:JI17"/>
    <mergeCell ref="JI19:JI20"/>
    <mergeCell ref="JI22:JI23"/>
    <mergeCell ref="JI25:JI26"/>
    <mergeCell ref="JI28:JI29"/>
    <mergeCell ref="JI31:JI32"/>
    <mergeCell ref="JI34:JI35"/>
    <mergeCell ref="JJ3:JJ4"/>
    <mergeCell ref="JJ7:JJ8"/>
    <mergeCell ref="JJ10:JJ11"/>
    <mergeCell ref="JJ13:JJ14"/>
    <mergeCell ref="JJ16:JJ17"/>
    <mergeCell ref="JJ19:JJ20"/>
    <mergeCell ref="JJ22:JJ23"/>
    <mergeCell ref="JJ25:JJ26"/>
    <mergeCell ref="JJ28:JJ29"/>
    <mergeCell ref="JJ31:JJ32"/>
    <mergeCell ref="JJ34:JJ35"/>
    <mergeCell ref="JK3:JK4"/>
    <mergeCell ref="JK7:JK8"/>
    <mergeCell ref="JK10:JK11"/>
    <mergeCell ref="JK13:JK14"/>
    <mergeCell ref="JK16:JK17"/>
    <mergeCell ref="JK19:JK20"/>
    <mergeCell ref="JK22:JK23"/>
    <mergeCell ref="JK25:JK26"/>
    <mergeCell ref="JK28:JK29"/>
    <mergeCell ref="JK31:JK32"/>
    <mergeCell ref="JK34:JK35"/>
    <mergeCell ref="JL3:JL4"/>
    <mergeCell ref="JL7:JL8"/>
    <mergeCell ref="JL10:JL11"/>
    <mergeCell ref="JL13:JL14"/>
    <mergeCell ref="JL16:JL17"/>
    <mergeCell ref="JL19:JL20"/>
    <mergeCell ref="JL22:JL23"/>
    <mergeCell ref="JL25:JL26"/>
    <mergeCell ref="JL28:JL29"/>
    <mergeCell ref="JL31:JL32"/>
    <mergeCell ref="JL34:JL35"/>
    <mergeCell ref="JM3:JM4"/>
    <mergeCell ref="JM7:JM8"/>
    <mergeCell ref="JM10:JM11"/>
    <mergeCell ref="JM13:JM14"/>
    <mergeCell ref="JM16:JM17"/>
    <mergeCell ref="JM19:JM20"/>
    <mergeCell ref="JM22:JM23"/>
    <mergeCell ref="JM25:JM26"/>
    <mergeCell ref="JM28:JM29"/>
    <mergeCell ref="JM31:JM32"/>
    <mergeCell ref="JM34:JM35"/>
    <mergeCell ref="JN3:JN4"/>
    <mergeCell ref="JN7:JN8"/>
    <mergeCell ref="JN10:JN11"/>
    <mergeCell ref="JN13:JN14"/>
    <mergeCell ref="JN16:JN17"/>
    <mergeCell ref="JN19:JN20"/>
    <mergeCell ref="JN22:JN23"/>
    <mergeCell ref="JN25:JN26"/>
    <mergeCell ref="JN28:JN29"/>
    <mergeCell ref="JN31:JN32"/>
    <mergeCell ref="JN34:JN35"/>
    <mergeCell ref="JO3:JO4"/>
    <mergeCell ref="JO7:JO8"/>
    <mergeCell ref="JO10:JO11"/>
    <mergeCell ref="JO13:JO14"/>
    <mergeCell ref="JO16:JO17"/>
    <mergeCell ref="JO19:JO20"/>
    <mergeCell ref="JO22:JO23"/>
    <mergeCell ref="JO25:JO26"/>
    <mergeCell ref="JO28:JO29"/>
    <mergeCell ref="JO31:JO32"/>
    <mergeCell ref="JO34:JO35"/>
    <mergeCell ref="JP3:JP4"/>
    <mergeCell ref="JP7:JP8"/>
    <mergeCell ref="JP10:JP11"/>
    <mergeCell ref="JP13:JP14"/>
    <mergeCell ref="JP16:JP17"/>
    <mergeCell ref="JP19:JP20"/>
    <mergeCell ref="JP22:JP23"/>
    <mergeCell ref="JP25:JP26"/>
    <mergeCell ref="JP28:JP29"/>
    <mergeCell ref="JP31:JP32"/>
    <mergeCell ref="JP34:JP35"/>
    <mergeCell ref="JQ3:JQ4"/>
    <mergeCell ref="JQ7:JQ8"/>
    <mergeCell ref="JQ10:JQ11"/>
    <mergeCell ref="JQ13:JQ14"/>
    <mergeCell ref="JQ16:JQ17"/>
    <mergeCell ref="JQ19:JQ20"/>
    <mergeCell ref="JQ22:JQ23"/>
    <mergeCell ref="JQ25:JQ26"/>
    <mergeCell ref="JQ28:JQ29"/>
    <mergeCell ref="JQ31:JQ32"/>
    <mergeCell ref="JQ34:JQ35"/>
    <mergeCell ref="JR3:JR4"/>
    <mergeCell ref="JR7:JR8"/>
    <mergeCell ref="JR10:JR11"/>
    <mergeCell ref="JR13:JR14"/>
    <mergeCell ref="JR16:JR17"/>
    <mergeCell ref="JR19:JR20"/>
    <mergeCell ref="JR22:JR23"/>
    <mergeCell ref="JR25:JR26"/>
    <mergeCell ref="JR28:JR29"/>
    <mergeCell ref="JR31:JR32"/>
    <mergeCell ref="JR34:JR35"/>
  </mergeCells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9"/>
  <sheetViews>
    <sheetView workbookViewId="0">
      <selection activeCell="B4" sqref="B4"/>
    </sheetView>
  </sheetViews>
  <sheetFormatPr defaultColWidth="9" defaultRowHeight="15"/>
  <cols>
    <col min="1" max="1" width="4.81904761904762" customWidth="1"/>
    <col min="2" max="2" width="35.6285714285714" customWidth="1"/>
    <col min="3" max="3" width="48.1809523809524" customWidth="1"/>
    <col min="4" max="4" width="24.1809523809524" customWidth="1"/>
    <col min="5" max="5" width="12.5428571428571" customWidth="1"/>
    <col min="6" max="6" width="12.2666666666667" customWidth="1"/>
    <col min="7" max="7" width="12.5428571428571" customWidth="1"/>
    <col min="8" max="8" width="13" customWidth="1"/>
    <col min="9" max="9" width="13.6285714285714" customWidth="1"/>
    <col min="10" max="10" width="15.4571428571429" customWidth="1"/>
  </cols>
  <sheetData>
    <row r="1" s="15" customFormat="1" ht="18.75" spans="1:11">
      <c r="A1" s="16" t="s">
        <v>468</v>
      </c>
      <c r="B1" s="16"/>
      <c r="C1" s="16"/>
      <c r="D1" s="16"/>
      <c r="E1" s="16"/>
      <c r="F1" s="16"/>
      <c r="G1" s="16"/>
      <c r="H1" s="16"/>
      <c r="I1" s="16"/>
      <c r="J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 t="s">
        <v>469</v>
      </c>
      <c r="J2" s="18">
        <v>2082</v>
      </c>
      <c r="K2" s="2"/>
    </row>
    <row r="3" ht="15.75" spans="1:11">
      <c r="A3" s="2">
        <v>1</v>
      </c>
      <c r="B3" t="s">
        <v>244</v>
      </c>
      <c r="C3" s="19" t="s">
        <v>245</v>
      </c>
      <c r="D3" s="2" t="s">
        <v>246</v>
      </c>
      <c r="E3" s="2" t="s">
        <v>470</v>
      </c>
      <c r="F3" s="20">
        <v>718758095</v>
      </c>
      <c r="G3" s="20">
        <v>612810574</v>
      </c>
      <c r="H3" s="20">
        <v>2447500416</v>
      </c>
      <c r="I3" s="69">
        <v>2143520425</v>
      </c>
      <c r="J3" s="20">
        <f>I3*1.333</f>
        <v>2857312726.525</v>
      </c>
      <c r="K3" s="2"/>
    </row>
    <row r="4" ht="15.75" spans="1:11">
      <c r="A4" s="2">
        <v>2</v>
      </c>
      <c r="B4" s="19" t="s">
        <v>247</v>
      </c>
      <c r="C4" s="19" t="s">
        <v>248</v>
      </c>
      <c r="D4" s="2" t="s">
        <v>246</v>
      </c>
      <c r="E4" s="22"/>
      <c r="F4" s="22">
        <v>715326095</v>
      </c>
      <c r="G4" s="22">
        <v>611049663</v>
      </c>
      <c r="H4" s="22">
        <v>1589883410</v>
      </c>
      <c r="I4" s="22">
        <v>1487197545</v>
      </c>
      <c r="J4" s="20">
        <f>I4*1.333</f>
        <v>1982434327.485</v>
      </c>
      <c r="K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/>
      <c r="F5" s="20">
        <v>715326095</v>
      </c>
      <c r="G5" s="20">
        <v>134740504</v>
      </c>
      <c r="H5" s="20">
        <v>416042022</v>
      </c>
      <c r="I5" s="21">
        <v>834187487</v>
      </c>
      <c r="J5" s="20">
        <f>I5*1.333</f>
        <v>1111971920.171</v>
      </c>
    </row>
    <row r="6" ht="15.75" spans="1:11">
      <c r="A6" s="2">
        <v>4</v>
      </c>
      <c r="B6" s="19" t="s">
        <v>251</v>
      </c>
      <c r="C6" s="19" t="s">
        <v>252</v>
      </c>
      <c r="D6" s="6" t="s">
        <v>253</v>
      </c>
      <c r="E6" s="24"/>
      <c r="F6" s="24">
        <f t="shared" ref="F6:G6" si="0">F5/F3</f>
        <v>0.995225097256122</v>
      </c>
      <c r="G6" s="24">
        <f t="shared" si="0"/>
        <v>0.219873007609036</v>
      </c>
      <c r="H6" s="24">
        <f t="shared" ref="H6:J6" si="1">H5/H3</f>
        <v>0.169986496950201</v>
      </c>
      <c r="I6" s="24">
        <f t="shared" si="1"/>
        <v>0.38916703441256</v>
      </c>
      <c r="J6" s="24">
        <f t="shared" si="1"/>
        <v>0.38916703441256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/>
      <c r="F7" s="2">
        <v>20.44</v>
      </c>
      <c r="G7" s="2">
        <v>3.85</v>
      </c>
      <c r="H7" s="2">
        <v>11.89</v>
      </c>
      <c r="I7" s="2">
        <v>13.39</v>
      </c>
      <c r="J7" s="2">
        <v>13.39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/>
      <c r="F8" s="25">
        <v>22.51</v>
      </c>
      <c r="G8" s="25">
        <v>125.7</v>
      </c>
      <c r="H8" s="25">
        <v>43.66</v>
      </c>
      <c r="I8" s="25">
        <v>32.81</v>
      </c>
      <c r="J8" s="25">
        <v>32.81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K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K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4" ht="18.75" spans="1:11">
      <c r="A14" s="280"/>
      <c r="B14" s="281" t="s">
        <v>471</v>
      </c>
      <c r="C14" s="281"/>
      <c r="D14" s="281"/>
      <c r="E14" s="281"/>
      <c r="F14" s="281"/>
      <c r="G14" s="281"/>
      <c r="H14" s="281"/>
      <c r="I14" s="281"/>
      <c r="J14" s="281"/>
    </row>
    <row r="15" ht="37.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2078</v>
      </c>
      <c r="F15" s="18">
        <v>2079</v>
      </c>
      <c r="G15" s="18">
        <v>2080</v>
      </c>
      <c r="H15" s="18">
        <v>2081</v>
      </c>
      <c r="I15" s="18" t="s">
        <v>469</v>
      </c>
      <c r="J15" s="18">
        <v>2082</v>
      </c>
    </row>
    <row r="16" ht="15.75" spans="1:11">
      <c r="A16" s="2">
        <v>1</v>
      </c>
      <c r="B16" t="s">
        <v>244</v>
      </c>
      <c r="C16" s="19" t="s">
        <v>245</v>
      </c>
      <c r="D16" s="2" t="s">
        <v>246</v>
      </c>
      <c r="E16" s="20">
        <v>168216348</v>
      </c>
      <c r="F16" s="20">
        <v>1234416352</v>
      </c>
      <c r="G16" s="20">
        <v>1217900592</v>
      </c>
      <c r="H16" s="20">
        <v>976214951</v>
      </c>
      <c r="I16" s="20">
        <v>922766940</v>
      </c>
      <c r="J16" s="20">
        <f>I16*1.333</f>
        <v>1230048331.02</v>
      </c>
    </row>
    <row r="17" ht="15.75" spans="1:10">
      <c r="A17" s="2">
        <v>2</v>
      </c>
      <c r="B17" s="19" t="s">
        <v>247</v>
      </c>
      <c r="C17" s="19" t="s">
        <v>248</v>
      </c>
      <c r="D17" s="2" t="s">
        <v>246</v>
      </c>
      <c r="E17" s="22">
        <v>108799064</v>
      </c>
      <c r="F17" s="22">
        <v>866686627</v>
      </c>
      <c r="G17" s="22">
        <v>702600710</v>
      </c>
      <c r="H17" s="22">
        <v>474754734</v>
      </c>
      <c r="I17" s="22">
        <v>660866156</v>
      </c>
      <c r="J17" s="20">
        <f>I17*1.333</f>
        <v>880934585.948</v>
      </c>
    </row>
    <row r="18" ht="15.75" spans="1:10">
      <c r="A18" s="2">
        <v>3</v>
      </c>
      <c r="B18" s="19" t="s">
        <v>249</v>
      </c>
      <c r="C18" s="19" t="s">
        <v>250</v>
      </c>
      <c r="D18" s="2" t="s">
        <v>246</v>
      </c>
      <c r="E18" s="20">
        <v>85420597</v>
      </c>
      <c r="F18" s="20">
        <v>611121538</v>
      </c>
      <c r="G18" s="20">
        <v>405961368</v>
      </c>
      <c r="H18" s="20">
        <v>203679932</v>
      </c>
      <c r="I18" s="20">
        <v>465064409</v>
      </c>
      <c r="J18" s="20">
        <f>I18*1.333</f>
        <v>619930857.197</v>
      </c>
    </row>
    <row r="19" ht="15.75" spans="1:10">
      <c r="A19" s="2">
        <v>4</v>
      </c>
      <c r="B19" s="19" t="s">
        <v>251</v>
      </c>
      <c r="C19" s="19" t="s">
        <v>252</v>
      </c>
      <c r="D19" s="6" t="s">
        <v>253</v>
      </c>
      <c r="E19" s="24">
        <f t="shared" ref="E19:J19" si="2">E18/E16</f>
        <v>0.507801994369774</v>
      </c>
      <c r="F19" s="24">
        <f t="shared" si="2"/>
        <v>0.49506921794244</v>
      </c>
      <c r="G19" s="24">
        <f t="shared" si="2"/>
        <v>0.333328820649756</v>
      </c>
      <c r="H19" s="24">
        <f t="shared" si="2"/>
        <v>0.208642504185536</v>
      </c>
      <c r="I19" s="24">
        <f t="shared" si="2"/>
        <v>0.50398902349059</v>
      </c>
      <c r="J19" s="24">
        <f t="shared" si="2"/>
        <v>0.50398902349059</v>
      </c>
    </row>
    <row r="20" ht="15.75" spans="1:10">
      <c r="A20" s="2">
        <v>5</v>
      </c>
      <c r="B20" s="19" t="s">
        <v>254</v>
      </c>
      <c r="C20" s="19" t="s">
        <v>255</v>
      </c>
      <c r="D20" s="2" t="s">
        <v>246</v>
      </c>
      <c r="E20" s="2">
        <v>4.7</v>
      </c>
      <c r="F20" s="2">
        <v>31.05</v>
      </c>
      <c r="G20" s="2">
        <v>20.63</v>
      </c>
      <c r="H20" s="2">
        <v>8.99</v>
      </c>
      <c r="I20" s="2">
        <v>11.07</v>
      </c>
      <c r="J20" s="2">
        <f>I20</f>
        <v>11.07</v>
      </c>
    </row>
    <row r="21" ht="31.5" spans="1:10">
      <c r="A21" s="2">
        <v>6</v>
      </c>
      <c r="B21" s="19" t="s">
        <v>256</v>
      </c>
      <c r="C21" s="19" t="s">
        <v>257</v>
      </c>
      <c r="D21" s="2" t="s">
        <v>246</v>
      </c>
      <c r="E21" s="25">
        <v>189.43</v>
      </c>
      <c r="F21" s="25">
        <v>25.25</v>
      </c>
      <c r="G21" s="25">
        <v>48.23</v>
      </c>
      <c r="H21" s="25">
        <v>73.19</v>
      </c>
      <c r="I21" s="93">
        <v>23.82</v>
      </c>
      <c r="J21" s="93">
        <f>I21</f>
        <v>23.82</v>
      </c>
    </row>
    <row r="22" ht="31.5" spans="1:10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10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10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10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  <row r="26" ht="15.75" spans="1:10">
      <c r="B26" s="19"/>
    </row>
    <row r="27" ht="18.75" spans="1:10">
      <c r="A27" s="280"/>
      <c r="B27" s="281" t="s">
        <v>472</v>
      </c>
      <c r="C27" s="281"/>
      <c r="D27" s="281"/>
      <c r="E27" s="281"/>
      <c r="F27" s="281"/>
      <c r="G27" s="281"/>
      <c r="H27" s="281"/>
      <c r="I27" s="281"/>
      <c r="J27" s="281"/>
    </row>
    <row r="28" ht="18.75" spans="1:10">
      <c r="A28" s="282"/>
      <c r="B28" s="17" t="s">
        <v>241</v>
      </c>
      <c r="C28" s="17" t="s">
        <v>242</v>
      </c>
      <c r="D28" s="17" t="s">
        <v>1</v>
      </c>
      <c r="E28" s="18">
        <v>2078</v>
      </c>
      <c r="F28" s="18">
        <v>2079</v>
      </c>
      <c r="G28" s="18">
        <v>2080</v>
      </c>
      <c r="H28" s="18">
        <v>2081</v>
      </c>
      <c r="I28" s="18" t="s">
        <v>469</v>
      </c>
      <c r="J28" s="18">
        <v>2082</v>
      </c>
    </row>
    <row r="29" ht="15.75" spans="1:10">
      <c r="A29" s="2">
        <v>1</v>
      </c>
      <c r="B29" t="s">
        <v>244</v>
      </c>
      <c r="C29" s="19" t="s">
        <v>245</v>
      </c>
      <c r="D29" s="2" t="s">
        <v>246</v>
      </c>
      <c r="E29" s="20">
        <v>132380459</v>
      </c>
      <c r="F29" s="20">
        <v>139173878</v>
      </c>
      <c r="G29" s="20">
        <v>262754918</v>
      </c>
      <c r="H29" s="20">
        <v>112273494</v>
      </c>
      <c r="I29" s="20">
        <v>197431605</v>
      </c>
      <c r="J29" s="20">
        <f>I29*1.333</f>
        <v>263176329.465</v>
      </c>
    </row>
    <row r="30" ht="15.75" spans="1:10">
      <c r="A30" s="2">
        <v>2</v>
      </c>
      <c r="B30" s="19" t="s">
        <v>247</v>
      </c>
      <c r="C30" s="19" t="s">
        <v>248</v>
      </c>
      <c r="D30" s="2" t="s">
        <v>246</v>
      </c>
      <c r="E30" s="22">
        <v>102131391</v>
      </c>
      <c r="F30" s="22">
        <v>114188098</v>
      </c>
      <c r="G30" s="22">
        <v>94069873</v>
      </c>
      <c r="H30" s="22">
        <v>62979719</v>
      </c>
      <c r="I30" s="22">
        <v>269676990</v>
      </c>
      <c r="J30" s="20">
        <f>I30*1.333</f>
        <v>359479427.67</v>
      </c>
    </row>
    <row r="31" ht="15.75" spans="1:10">
      <c r="A31" s="2">
        <v>3</v>
      </c>
      <c r="B31" s="19" t="s">
        <v>249</v>
      </c>
      <c r="C31" s="19" t="s">
        <v>250</v>
      </c>
      <c r="D31" s="2" t="s">
        <v>246</v>
      </c>
      <c r="E31" s="20">
        <v>80768831</v>
      </c>
      <c r="F31" s="20">
        <v>89966435</v>
      </c>
      <c r="G31" s="20">
        <v>58431263</v>
      </c>
      <c r="H31" s="20">
        <v>5884694</v>
      </c>
      <c r="I31" s="20">
        <v>341898520</v>
      </c>
      <c r="J31" s="20">
        <f>I31*1.333</f>
        <v>455750727.16</v>
      </c>
    </row>
    <row r="32" ht="15.75" spans="1:10">
      <c r="A32" s="2">
        <v>4</v>
      </c>
      <c r="B32" s="19" t="s">
        <v>251</v>
      </c>
      <c r="C32" s="19" t="s">
        <v>252</v>
      </c>
      <c r="D32" s="6" t="s">
        <v>253</v>
      </c>
      <c r="E32" s="24">
        <f t="shared" ref="E32" si="3">E31/E29</f>
        <v>0.610126536878075</v>
      </c>
      <c r="F32" s="24">
        <f t="shared" ref="F32" si="4">F31/F29</f>
        <v>0.646431904412407</v>
      </c>
      <c r="G32" s="24">
        <f t="shared" ref="G32" si="5">G31/G29</f>
        <v>0.222379331449849</v>
      </c>
      <c r="H32" s="24">
        <f t="shared" ref="H32:J32" si="6">H31/H29</f>
        <v>0.0524139205999949</v>
      </c>
      <c r="I32" s="24">
        <f t="shared" si="6"/>
        <v>1.73173145201347</v>
      </c>
      <c r="J32" s="24">
        <f t="shared" si="6"/>
        <v>1.73173145201347</v>
      </c>
    </row>
    <row r="33" ht="15.75" spans="1:10">
      <c r="A33" s="2">
        <v>5</v>
      </c>
      <c r="B33" s="19" t="s">
        <v>254</v>
      </c>
      <c r="C33" s="19" t="s">
        <v>255</v>
      </c>
      <c r="D33" s="2" t="s">
        <v>246</v>
      </c>
      <c r="E33" s="2">
        <v>5.19</v>
      </c>
      <c r="F33" s="2">
        <v>5.2</v>
      </c>
      <c r="G33" s="2">
        <v>3.13</v>
      </c>
      <c r="H33" s="2">
        <v>0.16</v>
      </c>
      <c r="I33" s="2">
        <v>11.85</v>
      </c>
      <c r="J33" s="2">
        <f>I33</f>
        <v>11.85</v>
      </c>
    </row>
    <row r="34" ht="31.5" spans="1:10">
      <c r="A34" s="2">
        <v>6</v>
      </c>
      <c r="B34" s="19" t="s">
        <v>256</v>
      </c>
      <c r="C34" s="19" t="s">
        <v>257</v>
      </c>
      <c r="D34" s="2" t="s">
        <v>246</v>
      </c>
      <c r="E34" s="25">
        <v>92.51</v>
      </c>
      <c r="F34" s="25">
        <v>68.46</v>
      </c>
      <c r="G34" s="25">
        <v>81.52</v>
      </c>
      <c r="H34" s="25">
        <v>1129.41</v>
      </c>
      <c r="I34" s="93">
        <v>23.98</v>
      </c>
      <c r="J34" s="93">
        <f>I34</f>
        <v>23.98</v>
      </c>
    </row>
    <row r="35" ht="31.5" spans="1:10">
      <c r="A35" s="2">
        <v>7</v>
      </c>
      <c r="B35" s="19" t="s">
        <v>258</v>
      </c>
      <c r="C35" s="19" t="s">
        <v>259</v>
      </c>
      <c r="D35" s="2" t="s">
        <v>246</v>
      </c>
      <c r="E35" s="2"/>
      <c r="F35" s="2"/>
      <c r="G35" s="2"/>
      <c r="H35" s="2"/>
    </row>
    <row r="36" ht="31.5" spans="1:10">
      <c r="A36" s="2">
        <v>8</v>
      </c>
      <c r="B36" s="19" t="s">
        <v>260</v>
      </c>
      <c r="C36" s="19" t="s">
        <v>261</v>
      </c>
      <c r="D36" s="2" t="s">
        <v>246</v>
      </c>
      <c r="E36" s="2"/>
      <c r="F36" s="2"/>
      <c r="G36" s="2"/>
      <c r="H36" s="2"/>
    </row>
    <row r="37" ht="31.5" spans="1:10">
      <c r="A37" s="2">
        <v>9</v>
      </c>
      <c r="B37" s="19" t="s">
        <v>262</v>
      </c>
      <c r="C37" s="19" t="s">
        <v>263</v>
      </c>
      <c r="D37" s="2" t="s">
        <v>246</v>
      </c>
      <c r="E37" s="2"/>
      <c r="F37" s="2"/>
      <c r="G37" s="2"/>
      <c r="H37" s="2"/>
    </row>
    <row r="38" ht="31.5" spans="1:10">
      <c r="A38" s="2">
        <v>10</v>
      </c>
      <c r="B38" s="19" t="s">
        <v>264</v>
      </c>
      <c r="C38" s="19" t="s">
        <v>265</v>
      </c>
      <c r="D38" s="26" t="s">
        <v>246</v>
      </c>
      <c r="E38" s="2"/>
      <c r="F38" s="2"/>
      <c r="G38" s="2"/>
      <c r="H38" s="2"/>
    </row>
    <row r="39" ht="15.75" spans="1:10">
      <c r="B39" s="19"/>
    </row>
  </sheetData>
  <mergeCells count="4">
    <mergeCell ref="A1:J1"/>
    <mergeCell ref="B14:J14"/>
    <mergeCell ref="B27:J27"/>
    <mergeCell ref="K9:K10"/>
  </mergeCells>
  <pageMargins left="0.7" right="0.7" top="0.75" bottom="0.75" header="0.3" footer="0.3"/>
  <pageSetup paperSize="1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51"/>
  <sheetViews>
    <sheetView workbookViewId="0">
      <selection activeCell="AF1" sqref="AF1:AH1"/>
    </sheetView>
  </sheetViews>
  <sheetFormatPr defaultColWidth="9" defaultRowHeight="15"/>
  <cols>
    <col min="1" max="1" width="4.26666666666667" customWidth="1"/>
    <col min="2" max="2" width="22.6285714285714" customWidth="1"/>
    <col min="3" max="3" width="21" customWidth="1"/>
    <col min="4" max="4" width="9.90476190476191" customWidth="1"/>
    <col min="5" max="5" width="14.2666666666667" customWidth="1"/>
    <col min="6" max="6" width="13.8190476190476" customWidth="1"/>
    <col min="7" max="7" width="9.90476190476191" customWidth="1"/>
    <col min="8" max="8" width="14.2666666666667" customWidth="1"/>
    <col min="9" max="9" width="13.8190476190476" customWidth="1"/>
    <col min="10" max="10" width="9.90476190476191" customWidth="1"/>
    <col min="11" max="11" width="14.2666666666667" customWidth="1"/>
    <col min="12" max="12" width="13.8190476190476" customWidth="1"/>
    <col min="13" max="13" width="9.90476190476191" customWidth="1"/>
    <col min="14" max="14" width="14.2666666666667" customWidth="1"/>
    <col min="15" max="15" width="13.8190476190476" customWidth="1"/>
    <col min="16" max="16" width="9.90476190476191" customWidth="1"/>
    <col min="17" max="17" width="14.2666666666667" customWidth="1"/>
    <col min="18" max="18" width="13.8190476190476" customWidth="1"/>
    <col min="19" max="19" width="9.90476190476191" customWidth="1"/>
    <col min="20" max="20" width="14.2666666666667" customWidth="1"/>
    <col min="21" max="21" width="13.8190476190476" customWidth="1"/>
    <col min="22" max="22" width="9.90476190476191" customWidth="1"/>
    <col min="23" max="23" width="14.2666666666667" customWidth="1"/>
    <col min="24" max="24" width="13.8190476190476" customWidth="1"/>
    <col min="25" max="25" width="9.90476190476191" customWidth="1"/>
    <col min="26" max="26" width="14.2666666666667" customWidth="1"/>
    <col min="27" max="27" width="13.8190476190476" customWidth="1"/>
    <col min="28" max="28" width="9.90476190476191" customWidth="1"/>
    <col min="29" max="29" width="14.2666666666667" customWidth="1"/>
    <col min="30" max="30" width="13.8190476190476" customWidth="1"/>
    <col min="31" max="31" width="9.90476190476191" customWidth="1"/>
    <col min="32" max="32" width="14.2666666666667" customWidth="1"/>
    <col min="33" max="33" width="13.8190476190476" customWidth="1"/>
    <col min="34" max="34" width="9.90476190476191" customWidth="1"/>
  </cols>
  <sheetData>
    <row r="1" ht="18.75" spans="1:34">
      <c r="A1" s="58" t="s">
        <v>473</v>
      </c>
      <c r="B1" s="59"/>
      <c r="C1" s="59"/>
      <c r="D1" s="60"/>
      <c r="E1" s="61" t="s">
        <v>474</v>
      </c>
      <c r="F1" s="62"/>
      <c r="G1" s="63"/>
      <c r="H1" s="61" t="s">
        <v>475</v>
      </c>
      <c r="I1" s="62"/>
      <c r="J1" s="63"/>
      <c r="K1" s="61" t="s">
        <v>476</v>
      </c>
      <c r="L1" s="62"/>
      <c r="M1" s="63"/>
      <c r="N1" s="61" t="s">
        <v>477</v>
      </c>
      <c r="O1" s="62"/>
      <c r="P1" s="63"/>
      <c r="Q1" s="61" t="s">
        <v>478</v>
      </c>
      <c r="R1" s="62"/>
      <c r="S1" s="63"/>
      <c r="T1" s="61" t="s">
        <v>479</v>
      </c>
      <c r="U1" s="62"/>
      <c r="V1" s="63"/>
      <c r="W1" s="61" t="s">
        <v>480</v>
      </c>
      <c r="X1" s="62"/>
      <c r="Y1" s="63"/>
      <c r="Z1" s="61" t="s">
        <v>481</v>
      </c>
      <c r="AA1" s="62"/>
      <c r="AB1" s="63"/>
      <c r="AC1" s="244" t="s">
        <v>482</v>
      </c>
      <c r="AD1" s="245"/>
      <c r="AE1" s="246"/>
      <c r="AF1" s="244" t="s">
        <v>483</v>
      </c>
      <c r="AG1" s="245"/>
      <c r="AH1" s="246"/>
    </row>
    <row r="2" ht="15.75" spans="1:34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</row>
    <row r="3" spans="1:34">
      <c r="A3" s="2">
        <v>1</v>
      </c>
      <c r="B3" s="2" t="s">
        <v>65</v>
      </c>
      <c r="C3" s="37" t="s">
        <v>161</v>
      </c>
      <c r="D3" s="2" t="s">
        <v>162</v>
      </c>
      <c r="E3" s="20">
        <v>1004593941</v>
      </c>
      <c r="F3" s="20">
        <v>49755000</v>
      </c>
      <c r="G3" s="38">
        <f>E3/F3</f>
        <v>20.1908138076575</v>
      </c>
      <c r="H3" s="20">
        <v>1961900000</v>
      </c>
      <c r="I3" s="20">
        <v>921000</v>
      </c>
      <c r="J3" s="38">
        <f>H3/I3</f>
        <v>2130.18458197611</v>
      </c>
      <c r="K3" s="20">
        <v>953263668</v>
      </c>
      <c r="L3" s="20">
        <v>30734018</v>
      </c>
      <c r="M3" s="38">
        <f>K3/L3</f>
        <v>31.0165650322714</v>
      </c>
      <c r="N3" s="20">
        <v>794108004</v>
      </c>
      <c r="O3" s="20">
        <v>54568085</v>
      </c>
      <c r="P3" s="38">
        <f>N3/O3</f>
        <v>14.5526089838044</v>
      </c>
      <c r="Q3" s="20">
        <v>-400600000</v>
      </c>
      <c r="R3" s="20">
        <v>1948890</v>
      </c>
      <c r="S3" s="39">
        <f>Q3/R3</f>
        <v>-205.552904473829</v>
      </c>
      <c r="T3" s="20">
        <v>-660379550</v>
      </c>
      <c r="U3" s="20">
        <v>45676857</v>
      </c>
      <c r="V3" s="39">
        <f>T3/U3</f>
        <v>-14.4576398940934</v>
      </c>
      <c r="W3" s="20">
        <v>-607572000</v>
      </c>
      <c r="X3" s="20">
        <v>1210000</v>
      </c>
      <c r="Y3" s="260">
        <f>W3/X3</f>
        <v>-502.125619834711</v>
      </c>
      <c r="Z3" s="20">
        <v>6150264</v>
      </c>
      <c r="AA3" s="20">
        <v>30750500</v>
      </c>
      <c r="AB3" s="49">
        <f>Z3/AA3</f>
        <v>0.200005333246614</v>
      </c>
      <c r="AC3" s="20">
        <v>8928363</v>
      </c>
      <c r="AD3" s="20">
        <v>6000000</v>
      </c>
      <c r="AE3" s="49">
        <f>AC3/AD3</f>
        <v>1.4880605</v>
      </c>
      <c r="AF3" s="20">
        <f>AF5*2</f>
        <v>43925580</v>
      </c>
      <c r="AG3" s="20">
        <v>728626</v>
      </c>
      <c r="AH3" s="38">
        <f>AF3/AG3</f>
        <v>60.2854962628289</v>
      </c>
    </row>
    <row r="4" spans="1:34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39"/>
      <c r="T4" s="20"/>
      <c r="U4" s="20"/>
      <c r="V4" s="39"/>
      <c r="W4" s="20"/>
      <c r="X4" s="20"/>
      <c r="Y4" s="260"/>
      <c r="Z4" s="20"/>
      <c r="AA4" s="20"/>
      <c r="AB4" s="49"/>
      <c r="AC4" s="20"/>
      <c r="AD4" s="20"/>
      <c r="AE4" s="49"/>
      <c r="AF4" s="20"/>
      <c r="AG4" s="20"/>
      <c r="AH4" s="38"/>
    </row>
    <row r="5" spans="1:34">
      <c r="E5" s="51"/>
      <c r="F5" s="6"/>
      <c r="G5" s="40"/>
      <c r="H5" s="51"/>
      <c r="I5" s="6"/>
      <c r="J5" s="40"/>
      <c r="K5" s="51"/>
      <c r="L5" s="6"/>
      <c r="M5" s="40"/>
      <c r="N5" s="51"/>
      <c r="O5" s="6"/>
      <c r="P5" s="40"/>
      <c r="Q5" s="51"/>
      <c r="R5" s="261" t="s">
        <v>484</v>
      </c>
      <c r="S5" s="40"/>
      <c r="T5" s="51"/>
      <c r="U5" s="6"/>
      <c r="V5" s="40"/>
      <c r="W5" s="51"/>
      <c r="X5" s="6"/>
      <c r="Y5" s="40"/>
      <c r="Z5" s="51"/>
      <c r="AA5" s="6"/>
      <c r="AB5" s="40"/>
      <c r="AC5" s="51"/>
      <c r="AD5" s="6"/>
      <c r="AE5" s="40"/>
      <c r="AF5" s="51">
        <v>21962790</v>
      </c>
      <c r="AG5" s="262" t="s">
        <v>485</v>
      </c>
      <c r="AH5" s="38"/>
    </row>
    <row r="6" spans="1:34">
      <c r="A6" s="2">
        <v>2</v>
      </c>
      <c r="B6" s="41" t="s">
        <v>166</v>
      </c>
      <c r="C6" s="37" t="s">
        <v>167</v>
      </c>
      <c r="D6" s="2" t="s">
        <v>168</v>
      </c>
      <c r="E6" s="20">
        <v>865.81</v>
      </c>
      <c r="F6" s="42">
        <f>G3</f>
        <v>20.1908138076575</v>
      </c>
      <c r="G6" s="38">
        <f>E6/F6</f>
        <v>42.8813820110428</v>
      </c>
      <c r="H6" s="20">
        <v>46340</v>
      </c>
      <c r="I6" s="42">
        <f>J3</f>
        <v>2130.18458197611</v>
      </c>
      <c r="J6" s="38">
        <f>H6/I6</f>
        <v>21.7539833834548</v>
      </c>
      <c r="K6" s="20">
        <v>1236.54</v>
      </c>
      <c r="L6" s="42">
        <f>M3</f>
        <v>31.0165650322714</v>
      </c>
      <c r="M6" s="38">
        <f>K6/L6</f>
        <v>39.8670838860923</v>
      </c>
      <c r="N6" s="20">
        <v>535</v>
      </c>
      <c r="O6" s="42">
        <f>P3</f>
        <v>14.5526089838044</v>
      </c>
      <c r="P6" s="38">
        <f>N6/O6</f>
        <v>36.7631673877449</v>
      </c>
      <c r="Q6" s="20">
        <v>17498</v>
      </c>
      <c r="R6" s="42">
        <f>S3</f>
        <v>-205.552904473829</v>
      </c>
      <c r="S6" s="39">
        <f>Q6/R6</f>
        <v>-85.1265032950574</v>
      </c>
      <c r="T6" s="20">
        <v>514.49</v>
      </c>
      <c r="U6" s="42">
        <f>V3</f>
        <v>-14.4576398940934</v>
      </c>
      <c r="V6" s="39">
        <f>T6/U6</f>
        <v>-35.5860295157989</v>
      </c>
      <c r="W6" s="20">
        <v>12800</v>
      </c>
      <c r="X6" s="42">
        <f>Y3</f>
        <v>-502.125619834711</v>
      </c>
      <c r="Y6" s="39">
        <f>W6/X6</f>
        <v>-25.4916289756605</v>
      </c>
      <c r="Z6" s="20">
        <v>464.11</v>
      </c>
      <c r="AA6" s="42">
        <f>AB3</f>
        <v>0.200005333246614</v>
      </c>
      <c r="AB6" s="39">
        <f>Z6/AA6</f>
        <v>2320.48812132292</v>
      </c>
      <c r="AC6" s="20">
        <v>1517.76</v>
      </c>
      <c r="AD6" s="42">
        <f>AE3</f>
        <v>1.4880605</v>
      </c>
      <c r="AE6" s="39">
        <f>AC6/AD6</f>
        <v>1019.95852991192</v>
      </c>
      <c r="AF6" s="20">
        <v>281.8</v>
      </c>
      <c r="AG6" s="42">
        <f>AH3</f>
        <v>60.2854962628289</v>
      </c>
      <c r="AH6" s="38">
        <f>AF6/AG6</f>
        <v>4.67442448796351</v>
      </c>
    </row>
    <row r="7" spans="1:34">
      <c r="A7" s="2"/>
      <c r="B7" s="41"/>
      <c r="C7" s="2" t="s">
        <v>169</v>
      </c>
      <c r="D7" s="2"/>
      <c r="E7" s="20"/>
      <c r="F7" s="42"/>
      <c r="G7" s="38"/>
      <c r="H7" s="20"/>
      <c r="I7" s="42"/>
      <c r="J7" s="38"/>
      <c r="K7" s="20"/>
      <c r="L7" s="42"/>
      <c r="M7" s="38"/>
      <c r="N7" s="20"/>
      <c r="O7" s="42"/>
      <c r="P7" s="38"/>
      <c r="Q7" s="20"/>
      <c r="R7" s="42"/>
      <c r="S7" s="39"/>
      <c r="T7" s="20"/>
      <c r="U7" s="42"/>
      <c r="V7" s="39"/>
      <c r="W7" s="20"/>
      <c r="X7" s="42"/>
      <c r="Y7" s="39"/>
      <c r="Z7" s="20"/>
      <c r="AA7" s="42"/>
      <c r="AB7" s="39"/>
      <c r="AC7" s="20"/>
      <c r="AD7" s="42"/>
      <c r="AE7" s="39"/>
      <c r="AF7" s="20"/>
      <c r="AG7" s="42"/>
      <c r="AH7" s="38"/>
    </row>
    <row r="8" spans="1:34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</row>
    <row r="9" spans="1:34">
      <c r="A9" s="2">
        <v>3</v>
      </c>
      <c r="B9" s="2" t="s">
        <v>486</v>
      </c>
      <c r="C9" s="37" t="s">
        <v>487</v>
      </c>
      <c r="D9" s="2" t="s">
        <v>488</v>
      </c>
      <c r="E9" s="20">
        <v>2062383580</v>
      </c>
      <c r="F9" s="20">
        <v>9550348392</v>
      </c>
      <c r="G9" s="44">
        <f>(E9/F9)</f>
        <v>0.215948517828689</v>
      </c>
      <c r="H9" s="20">
        <f>I9-H11</f>
        <v>4655600000</v>
      </c>
      <c r="I9" s="20">
        <v>8412400000</v>
      </c>
      <c r="J9" s="44">
        <f>(H9/I9)</f>
        <v>0.553421140221578</v>
      </c>
      <c r="K9" s="20">
        <v>2168669760</v>
      </c>
      <c r="L9" s="20">
        <v>7201150896</v>
      </c>
      <c r="M9" s="44">
        <f>(K9/L9)</f>
        <v>0.301155994551458</v>
      </c>
      <c r="N9" s="20">
        <v>1729378590</v>
      </c>
      <c r="O9" s="20">
        <v>7764296397</v>
      </c>
      <c r="P9" s="44">
        <f>(N9/O9)</f>
        <v>0.222734746533917</v>
      </c>
      <c r="Q9" s="20">
        <v>2687748000</v>
      </c>
      <c r="R9" s="20">
        <v>10921489000</v>
      </c>
      <c r="S9" s="44">
        <f>(Q9/R9)</f>
        <v>0.246097212568726</v>
      </c>
      <c r="T9" s="20">
        <v>1025980540</v>
      </c>
      <c r="U9" s="20">
        <v>5050843335</v>
      </c>
      <c r="V9" s="44">
        <f>(T9/U9)</f>
        <v>0.203130541169319</v>
      </c>
      <c r="W9" s="20">
        <v>1654353000</v>
      </c>
      <c r="X9" s="20">
        <v>7613301000</v>
      </c>
      <c r="Y9" s="44">
        <f>(W9/X9)</f>
        <v>0.217297726702254</v>
      </c>
      <c r="Z9" s="20">
        <v>700691808</v>
      </c>
      <c r="AA9" s="20">
        <v>2615209325</v>
      </c>
      <c r="AB9" s="44">
        <f>(Z9/AA9)</f>
        <v>0.267929531032855</v>
      </c>
      <c r="AC9" s="20">
        <f>AD9-AC11</f>
        <v>179815957</v>
      </c>
      <c r="AD9" s="20">
        <v>277960512</v>
      </c>
      <c r="AE9" s="44">
        <f>(AC9/AD9)</f>
        <v>0.646911878619651</v>
      </c>
      <c r="AF9" s="20">
        <v>160054570</v>
      </c>
      <c r="AG9" s="20">
        <v>549671714</v>
      </c>
      <c r="AH9" s="44">
        <f>(AF9/AG9)</f>
        <v>0.291182110928124</v>
      </c>
    </row>
    <row r="10" spans="1:34">
      <c r="A10" s="2"/>
      <c r="B10" s="2"/>
      <c r="C10" s="2" t="s">
        <v>489</v>
      </c>
      <c r="D10" s="2"/>
      <c r="E10" s="20"/>
      <c r="F10" s="20"/>
      <c r="G10" s="44"/>
      <c r="H10" s="20"/>
      <c r="I10" s="20"/>
      <c r="J10" s="44"/>
      <c r="K10" s="20"/>
      <c r="L10" s="20"/>
      <c r="M10" s="44"/>
      <c r="N10" s="20"/>
      <c r="O10" s="20"/>
      <c r="P10" s="44"/>
      <c r="Q10" s="20"/>
      <c r="R10" s="20"/>
      <c r="S10" s="44"/>
      <c r="T10" s="20"/>
      <c r="U10" s="20"/>
      <c r="V10" s="44"/>
      <c r="W10" s="20"/>
      <c r="X10" s="20"/>
      <c r="Y10" s="44"/>
      <c r="Z10" s="20"/>
      <c r="AA10" s="20"/>
      <c r="AB10" s="44"/>
      <c r="AC10" s="20"/>
      <c r="AD10" s="20"/>
      <c r="AE10" s="44"/>
      <c r="AF10" s="20"/>
      <c r="AG10" s="20"/>
      <c r="AH10" s="44"/>
    </row>
    <row r="11" spans="1:34">
      <c r="A11" s="2"/>
      <c r="B11" s="2"/>
      <c r="C11" s="226" t="s">
        <v>490</v>
      </c>
      <c r="D11" s="263"/>
      <c r="E11" s="20"/>
      <c r="F11" s="42"/>
      <c r="G11" s="38"/>
      <c r="H11" s="52">
        <v>3756800000</v>
      </c>
      <c r="I11" s="42"/>
      <c r="J11" s="38"/>
      <c r="K11" s="52"/>
      <c r="L11" s="42"/>
      <c r="M11" s="38"/>
      <c r="N11" s="52"/>
      <c r="O11" s="42"/>
      <c r="P11" s="38"/>
      <c r="Q11" s="52"/>
      <c r="R11" s="42"/>
      <c r="S11" s="38"/>
      <c r="T11" s="52"/>
      <c r="U11" s="42"/>
      <c r="V11" s="38"/>
      <c r="W11" s="52"/>
      <c r="X11" s="42"/>
      <c r="Y11" s="38"/>
      <c r="Z11" s="52"/>
      <c r="AA11" s="42"/>
      <c r="AB11" s="38"/>
      <c r="AC11" s="52">
        <v>98144555</v>
      </c>
      <c r="AD11" s="42"/>
      <c r="AE11" s="38"/>
      <c r="AF11" s="52"/>
      <c r="AG11" s="42"/>
      <c r="AH11" s="38"/>
    </row>
    <row r="12" spans="1:34">
      <c r="A12" s="2"/>
      <c r="B12" s="2"/>
      <c r="C12" s="2"/>
      <c r="D12" s="2"/>
      <c r="E12" s="20"/>
      <c r="F12" s="42"/>
      <c r="G12" s="38"/>
      <c r="H12" s="52"/>
      <c r="I12" s="42"/>
      <c r="J12" s="38"/>
      <c r="K12" s="52"/>
      <c r="L12" s="42"/>
      <c r="M12" s="38"/>
      <c r="N12" s="52"/>
      <c r="O12" s="42"/>
      <c r="P12" s="38"/>
      <c r="Q12" s="52"/>
      <c r="R12" s="42"/>
      <c r="S12" s="38"/>
      <c r="T12" s="52"/>
      <c r="U12" s="42"/>
      <c r="V12" s="38"/>
      <c r="W12" s="52"/>
      <c r="X12" s="42"/>
      <c r="Y12" s="38"/>
      <c r="Z12" s="52"/>
      <c r="AA12" s="42"/>
      <c r="AB12" s="38"/>
      <c r="AC12" s="52"/>
      <c r="AD12" s="42"/>
      <c r="AE12" s="38"/>
      <c r="AF12" s="52"/>
      <c r="AG12" s="42"/>
      <c r="AH12" s="38"/>
    </row>
    <row r="13" spans="1:34">
      <c r="A13" s="2">
        <v>4</v>
      </c>
      <c r="B13" s="2" t="s">
        <v>170</v>
      </c>
      <c r="C13" s="2" t="s">
        <v>491</v>
      </c>
      <c r="D13" s="2" t="s">
        <v>175</v>
      </c>
      <c r="E13" s="20">
        <f>E3</f>
        <v>1004593941</v>
      </c>
      <c r="F13" s="20">
        <v>149378841</v>
      </c>
      <c r="G13" s="44">
        <f>((E13-F13)/F13)</f>
        <v>5.72514215718142</v>
      </c>
      <c r="H13" s="20">
        <f>H3</f>
        <v>1961900000</v>
      </c>
      <c r="I13" s="20">
        <v>1955000000</v>
      </c>
      <c r="J13" s="44">
        <f>((H13-I13)/I13)</f>
        <v>0.00352941176470588</v>
      </c>
      <c r="K13" s="20">
        <f>K3</f>
        <v>953263668</v>
      </c>
      <c r="L13" s="20">
        <v>365048730</v>
      </c>
      <c r="M13" s="44">
        <f>((K13-L13)/L13)</f>
        <v>1.61133265139698</v>
      </c>
      <c r="N13" s="20">
        <f>N3</f>
        <v>794108004</v>
      </c>
      <c r="O13" s="20">
        <v>259637678</v>
      </c>
      <c r="P13" s="44">
        <f>((N13-O13)/O13)</f>
        <v>2.05852374785142</v>
      </c>
      <c r="Q13" s="20">
        <f>Q3</f>
        <v>-400600000</v>
      </c>
      <c r="R13" s="20">
        <v>383006000</v>
      </c>
      <c r="S13" s="72">
        <f>((Q13-R13)/R13)</f>
        <v>-2.04593661718093</v>
      </c>
      <c r="T13" s="20">
        <f>T3</f>
        <v>-660379550</v>
      </c>
      <c r="U13" s="20">
        <v>-1447080360</v>
      </c>
      <c r="V13" s="44">
        <f>((T13-U13)/-U13)</f>
        <v>0.54364694024318</v>
      </c>
      <c r="W13" s="20">
        <f>W3</f>
        <v>-607572000</v>
      </c>
      <c r="X13" s="20">
        <v>339682000</v>
      </c>
      <c r="Y13" s="72">
        <f>((W13-X13)/X13)</f>
        <v>-2.78864938383547</v>
      </c>
      <c r="Z13" s="20">
        <f>Z3</f>
        <v>6150264</v>
      </c>
      <c r="AA13" s="20">
        <v>-471008842</v>
      </c>
      <c r="AB13" s="44">
        <f>((Z13-AA13)/-AA13)</f>
        <v>1.01305764022154</v>
      </c>
      <c r="AC13" s="20">
        <f>AC3</f>
        <v>8928363</v>
      </c>
      <c r="AD13" s="20">
        <v>7560063</v>
      </c>
      <c r="AE13" s="44">
        <f>((AC13-AD13)/AD13)</f>
        <v>0.180990555237437</v>
      </c>
      <c r="AF13" s="20">
        <f>AF3</f>
        <v>43925580</v>
      </c>
      <c r="AG13" s="20">
        <v>7865432</v>
      </c>
      <c r="AH13" s="44">
        <f>((AF13-AG13)/AG13)</f>
        <v>4.58463667348469</v>
      </c>
    </row>
    <row r="14" spans="1:34">
      <c r="A14" s="45"/>
      <c r="E14" s="45"/>
      <c r="G14" s="48"/>
      <c r="H14" s="45"/>
      <c r="J14" s="48"/>
      <c r="K14" s="45"/>
      <c r="M14" s="48"/>
      <c r="N14" s="45"/>
      <c r="P14" s="48"/>
      <c r="Q14" s="45"/>
      <c r="S14" s="264"/>
      <c r="T14" s="45"/>
      <c r="V14" s="264" t="s">
        <v>492</v>
      </c>
      <c r="W14" s="45"/>
      <c r="Y14" s="264"/>
      <c r="Z14" s="45"/>
      <c r="AA14" s="265" t="s">
        <v>493</v>
      </c>
      <c r="AB14" s="264"/>
      <c r="AC14" s="45"/>
      <c r="AD14" s="265"/>
      <c r="AE14" s="264"/>
      <c r="AF14" s="45"/>
      <c r="AG14" s="265"/>
      <c r="AH14" s="264"/>
    </row>
    <row r="15" spans="1:34">
      <c r="A15" s="2">
        <v>5</v>
      </c>
      <c r="B15" s="2" t="s">
        <v>94</v>
      </c>
      <c r="C15" s="37" t="s">
        <v>161</v>
      </c>
      <c r="D15" s="2" t="s">
        <v>175</v>
      </c>
      <c r="E15" s="20">
        <f>E3</f>
        <v>1004593941</v>
      </c>
      <c r="F15" s="20">
        <v>10050300094</v>
      </c>
      <c r="G15" s="44">
        <f>E15/F15</f>
        <v>0.0999566114050405</v>
      </c>
      <c r="H15" s="20">
        <f>H3</f>
        <v>1961900000</v>
      </c>
      <c r="I15" s="20">
        <v>5216200000</v>
      </c>
      <c r="J15" s="44">
        <f>H15/I15</f>
        <v>0.376116713316207</v>
      </c>
      <c r="K15" s="20">
        <f>K3</f>
        <v>953263668</v>
      </c>
      <c r="L15" s="20">
        <v>4175055046</v>
      </c>
      <c r="M15" s="44">
        <f>K15/L15</f>
        <v>0.228323616694179</v>
      </c>
      <c r="N15" s="20">
        <f>N3</f>
        <v>794108004</v>
      </c>
      <c r="O15" s="20">
        <v>10289798839</v>
      </c>
      <c r="P15" s="44">
        <f>N15/O15</f>
        <v>0.0771742981981535</v>
      </c>
      <c r="Q15" s="20">
        <f>Q3</f>
        <v>-400600000</v>
      </c>
      <c r="R15" s="20">
        <v>6205929000</v>
      </c>
      <c r="S15" s="72">
        <f>Q15/R15</f>
        <v>-0.0645511735632167</v>
      </c>
      <c r="T15" s="20">
        <f>T3</f>
        <v>-660379550</v>
      </c>
      <c r="U15" s="20">
        <v>8608919932</v>
      </c>
      <c r="V15" s="72">
        <f>T15/U15</f>
        <v>-0.0767087573372961</v>
      </c>
      <c r="W15" s="20">
        <f>W3</f>
        <v>-607572000</v>
      </c>
      <c r="X15" s="20">
        <v>3534137000</v>
      </c>
      <c r="Y15" s="72">
        <f>W15/X15</f>
        <v>-0.17191523701543</v>
      </c>
      <c r="Z15" s="20">
        <f>Z3</f>
        <v>6150264</v>
      </c>
      <c r="AA15" s="20">
        <v>5857647933</v>
      </c>
      <c r="AB15" s="44">
        <f>Z15/AA15</f>
        <v>0.00104995453300488</v>
      </c>
      <c r="AC15" s="20">
        <f>AC3</f>
        <v>8928363</v>
      </c>
      <c r="AD15" s="20">
        <v>623610054</v>
      </c>
      <c r="AE15" s="44">
        <f>AC15/AD15</f>
        <v>0.0143172210626354</v>
      </c>
      <c r="AF15" s="20">
        <f>AF3</f>
        <v>43925580</v>
      </c>
      <c r="AG15" s="20">
        <v>409840802</v>
      </c>
      <c r="AH15" s="44">
        <f>AF15/AG15</f>
        <v>0.107177176566232</v>
      </c>
    </row>
    <row r="16" spans="1:34">
      <c r="A16" s="2"/>
      <c r="B16" s="2"/>
      <c r="C16" s="2" t="s">
        <v>176</v>
      </c>
      <c r="D16" s="2"/>
      <c r="E16" s="20"/>
      <c r="F16" s="2"/>
      <c r="G16" s="44"/>
      <c r="H16" s="20"/>
      <c r="I16" s="2"/>
      <c r="J16" s="44"/>
      <c r="K16" s="20"/>
      <c r="L16" s="2"/>
      <c r="M16" s="44"/>
      <c r="N16" s="20"/>
      <c r="O16" s="2"/>
      <c r="P16" s="44"/>
      <c r="Q16" s="20"/>
      <c r="R16" s="2"/>
      <c r="S16" s="72"/>
      <c r="T16" s="20"/>
      <c r="U16" s="2"/>
      <c r="V16" s="72"/>
      <c r="W16" s="20"/>
      <c r="X16" s="2"/>
      <c r="Y16" s="72"/>
      <c r="Z16" s="20"/>
      <c r="AA16" s="2"/>
      <c r="AB16" s="44"/>
      <c r="AC16" s="20"/>
      <c r="AD16" s="2"/>
      <c r="AE16" s="44"/>
      <c r="AF16" s="20"/>
      <c r="AG16" s="2"/>
      <c r="AH16" s="44"/>
    </row>
    <row r="17" spans="1:34">
      <c r="A17" s="2"/>
      <c r="B17" s="2"/>
      <c r="C17" s="2"/>
      <c r="D17" s="2"/>
      <c r="E17" s="20"/>
      <c r="F17" s="2"/>
      <c r="G17" s="38"/>
      <c r="H17" s="20"/>
      <c r="I17" s="2"/>
      <c r="J17" s="38"/>
      <c r="K17" s="20"/>
      <c r="L17" s="2"/>
      <c r="M17" s="38"/>
      <c r="N17" s="20"/>
      <c r="O17" s="2"/>
      <c r="P17" s="38"/>
      <c r="Q17" s="266"/>
      <c r="R17" s="266"/>
      <c r="S17" s="38"/>
      <c r="T17" s="267"/>
      <c r="U17" s="268"/>
      <c r="V17" s="38"/>
      <c r="W17" s="267"/>
      <c r="X17" s="268"/>
      <c r="Y17" s="38"/>
      <c r="Z17" s="267"/>
      <c r="AA17" s="268"/>
      <c r="AB17" s="38"/>
      <c r="AC17" s="267"/>
      <c r="AD17" s="268"/>
      <c r="AE17" s="38"/>
      <c r="AF17" s="267"/>
      <c r="AG17" s="268"/>
      <c r="AH17" s="38"/>
    </row>
    <row r="18" spans="1:34">
      <c r="A18" s="2">
        <v>6</v>
      </c>
      <c r="B18" s="2" t="s">
        <v>180</v>
      </c>
      <c r="C18" s="37" t="s">
        <v>176</v>
      </c>
      <c r="D18" s="2" t="s">
        <v>181</v>
      </c>
      <c r="E18" s="20">
        <f>F15</f>
        <v>10050300094</v>
      </c>
      <c r="F18" s="20">
        <f>F3</f>
        <v>49755000</v>
      </c>
      <c r="G18" s="38">
        <f>E18/F18</f>
        <v>201.995781207919</v>
      </c>
      <c r="H18" s="20">
        <f>I15</f>
        <v>5216200000</v>
      </c>
      <c r="I18" s="20">
        <f>I3</f>
        <v>921000</v>
      </c>
      <c r="J18" s="38">
        <f>H18/I18</f>
        <v>5663.62649294245</v>
      </c>
      <c r="K18" s="20">
        <f>L15</f>
        <v>4175055046</v>
      </c>
      <c r="L18" s="20">
        <f>L3</f>
        <v>30734018</v>
      </c>
      <c r="M18" s="38">
        <f>K18/L18</f>
        <v>135.844751766593</v>
      </c>
      <c r="N18" s="20">
        <f>O15</f>
        <v>10289798839</v>
      </c>
      <c r="O18" s="20">
        <f>O3</f>
        <v>54568085</v>
      </c>
      <c r="P18" s="38">
        <f>N18/O18</f>
        <v>188.568076724701</v>
      </c>
      <c r="Q18" s="20">
        <f>R15</f>
        <v>6205929000</v>
      </c>
      <c r="R18" s="20">
        <f>R3</f>
        <v>1948890</v>
      </c>
      <c r="S18" s="38">
        <f>Q18/R18</f>
        <v>3184.34031679571</v>
      </c>
      <c r="T18" s="20">
        <f>U15</f>
        <v>8608919932</v>
      </c>
      <c r="U18" s="20">
        <f>U3</f>
        <v>45676857</v>
      </c>
      <c r="V18" s="38">
        <f>T18/U18</f>
        <v>188.474437547224</v>
      </c>
      <c r="W18" s="20">
        <f>X15</f>
        <v>3534137000</v>
      </c>
      <c r="X18" s="20">
        <f>X3</f>
        <v>1210000</v>
      </c>
      <c r="Y18" s="38">
        <f>W18/X18</f>
        <v>2920.77438016529</v>
      </c>
      <c r="Z18" s="20">
        <f>AA15</f>
        <v>5857647933</v>
      </c>
      <c r="AA18" s="20">
        <f>AA3</f>
        <v>30750500</v>
      </c>
      <c r="AB18" s="38">
        <f>Z18/AA18</f>
        <v>190.489518316775</v>
      </c>
      <c r="AC18" s="20">
        <f>AD15</f>
        <v>623610054</v>
      </c>
      <c r="AD18" s="20">
        <f>AD3</f>
        <v>6000000</v>
      </c>
      <c r="AE18" s="38">
        <f>AC18/AD18</f>
        <v>103.935009</v>
      </c>
      <c r="AF18" s="20">
        <f>AG15</f>
        <v>409840802</v>
      </c>
      <c r="AG18" s="20">
        <f>AG3</f>
        <v>728626</v>
      </c>
      <c r="AH18" s="38">
        <f>AF18/AG18</f>
        <v>562.484459791443</v>
      </c>
    </row>
    <row r="19" spans="1:34">
      <c r="A19" s="2"/>
      <c r="B19" s="2"/>
      <c r="C19" s="6" t="s">
        <v>163</v>
      </c>
      <c r="D19" s="2"/>
      <c r="E19" s="20"/>
      <c r="F19" s="20"/>
      <c r="G19" s="38"/>
      <c r="H19" s="20"/>
      <c r="I19" s="20"/>
      <c r="J19" s="38"/>
      <c r="K19" s="20"/>
      <c r="L19" s="20"/>
      <c r="M19" s="38"/>
      <c r="N19" s="20"/>
      <c r="O19" s="20"/>
      <c r="P19" s="38"/>
      <c r="Q19" s="20"/>
      <c r="R19" s="20"/>
      <c r="S19" s="38"/>
      <c r="T19" s="20"/>
      <c r="U19" s="20"/>
      <c r="V19" s="38"/>
      <c r="W19" s="20"/>
      <c r="X19" s="20"/>
      <c r="Y19" s="38"/>
      <c r="Z19" s="20"/>
      <c r="AA19" s="20"/>
      <c r="AB19" s="38"/>
      <c r="AC19" s="20"/>
      <c r="AD19" s="20"/>
      <c r="AE19" s="38"/>
      <c r="AF19" s="20"/>
      <c r="AG19" s="20"/>
      <c r="AH19" s="38"/>
    </row>
    <row r="20" spans="1:34">
      <c r="A20" s="2"/>
      <c r="B20" s="2"/>
      <c r="C20" s="6"/>
      <c r="D20" s="2"/>
      <c r="E20" s="20"/>
      <c r="F20" s="20"/>
      <c r="G20" s="38"/>
      <c r="H20" s="20"/>
      <c r="I20" s="20"/>
      <c r="J20" s="38"/>
      <c r="K20" s="20"/>
      <c r="L20" s="20"/>
      <c r="M20" s="38"/>
      <c r="N20" s="20"/>
      <c r="O20" s="20"/>
      <c r="P20" s="38"/>
      <c r="Q20" s="20"/>
      <c r="R20" s="20"/>
      <c r="S20" s="38"/>
      <c r="T20" s="20"/>
      <c r="U20" s="20"/>
      <c r="V20" s="38"/>
      <c r="W20" s="20"/>
      <c r="X20" s="20"/>
      <c r="Y20" s="38"/>
      <c r="Z20" s="20"/>
      <c r="AA20" s="20"/>
      <c r="AB20" s="38"/>
      <c r="AC20" s="20"/>
      <c r="AD20" s="20"/>
      <c r="AE20" s="38"/>
      <c r="AF20" s="20"/>
      <c r="AG20" s="20"/>
      <c r="AH20" s="38"/>
    </row>
    <row r="21" spans="1:34">
      <c r="A21" s="2">
        <v>7</v>
      </c>
      <c r="B21" s="2" t="s">
        <v>182</v>
      </c>
      <c r="C21" s="37" t="s">
        <v>183</v>
      </c>
      <c r="D21" s="50" t="s">
        <v>184</v>
      </c>
      <c r="E21" s="20">
        <f>E6</f>
        <v>865.81</v>
      </c>
      <c r="F21" s="42">
        <f>G18</f>
        <v>201.995781207919</v>
      </c>
      <c r="G21" s="38">
        <f>E21/F21</f>
        <v>4.2862776381889</v>
      </c>
      <c r="H21" s="20">
        <f>H6</f>
        <v>46340</v>
      </c>
      <c r="I21" s="42">
        <f>J18</f>
        <v>5663.62649294245</v>
      </c>
      <c r="J21" s="38">
        <f>H21/I21</f>
        <v>8.18203673172041</v>
      </c>
      <c r="K21" s="20">
        <f>K6</f>
        <v>1236.54</v>
      </c>
      <c r="L21" s="42">
        <f>M18</f>
        <v>135.844751766593</v>
      </c>
      <c r="M21" s="38">
        <f>K21/L21</f>
        <v>9.10259677992279</v>
      </c>
      <c r="N21" s="20">
        <f>N6</f>
        <v>535</v>
      </c>
      <c r="O21" s="42">
        <f>P18</f>
        <v>188.568076724701</v>
      </c>
      <c r="P21" s="38">
        <f>N21/O21</f>
        <v>2.83717164269046</v>
      </c>
      <c r="Q21" s="20">
        <f>Q6</f>
        <v>17498</v>
      </c>
      <c r="R21" s="42">
        <f>S18</f>
        <v>3184.34031679571</v>
      </c>
      <c r="S21" s="38">
        <f>Q21/R21</f>
        <v>5.49501568902899</v>
      </c>
      <c r="T21" s="20">
        <f>T6</f>
        <v>514.49</v>
      </c>
      <c r="U21" s="42">
        <f>V18</f>
        <v>188.474437547224</v>
      </c>
      <c r="V21" s="38">
        <f>T21/U21</f>
        <v>2.72976010272528</v>
      </c>
      <c r="W21" s="20">
        <f>W6</f>
        <v>12800</v>
      </c>
      <c r="X21" s="42">
        <f>Y18</f>
        <v>2920.77438016529</v>
      </c>
      <c r="Y21" s="38">
        <f>W21/X21</f>
        <v>4.38239943726007</v>
      </c>
      <c r="Z21" s="20">
        <f>Z6</f>
        <v>464.11</v>
      </c>
      <c r="AA21" s="42">
        <f>AB18</f>
        <v>190.489518316775</v>
      </c>
      <c r="AB21" s="38">
        <f>Z21/AA21</f>
        <v>2.43640702176697</v>
      </c>
      <c r="AC21" s="20">
        <f>AC6</f>
        <v>1517.76</v>
      </c>
      <c r="AD21" s="42">
        <f>AE18</f>
        <v>103.935009</v>
      </c>
      <c r="AE21" s="38">
        <f>AC21/AD21</f>
        <v>14.6029717474696</v>
      </c>
      <c r="AF21" s="20">
        <f>AF6</f>
        <v>281.8</v>
      </c>
      <c r="AG21" s="42">
        <f>AH18</f>
        <v>562.484459791443</v>
      </c>
      <c r="AH21" s="38">
        <f>AF21/AG21</f>
        <v>0.500991618691982</v>
      </c>
    </row>
    <row r="22" spans="1:34">
      <c r="A22" s="2"/>
      <c r="B22" s="2"/>
      <c r="C22" s="2" t="s">
        <v>185</v>
      </c>
      <c r="D22" s="2"/>
      <c r="E22" s="20"/>
      <c r="F22" s="42"/>
      <c r="G22" s="38"/>
      <c r="H22" s="20"/>
      <c r="I22" s="42"/>
      <c r="J22" s="38"/>
      <c r="K22" s="20"/>
      <c r="L22" s="42"/>
      <c r="M22" s="38"/>
      <c r="N22" s="20"/>
      <c r="O22" s="42"/>
      <c r="P22" s="38"/>
      <c r="Q22" s="20"/>
      <c r="R22" s="42"/>
      <c r="S22" s="38"/>
      <c r="T22" s="20"/>
      <c r="U22" s="42"/>
      <c r="V22" s="38"/>
      <c r="W22" s="20"/>
      <c r="X22" s="42"/>
      <c r="Y22" s="38"/>
      <c r="Z22" s="20"/>
      <c r="AA22" s="42"/>
      <c r="AB22" s="38"/>
      <c r="AC22" s="20"/>
      <c r="AD22" s="42"/>
      <c r="AE22" s="38"/>
      <c r="AF22" s="20"/>
      <c r="AG22" s="42"/>
      <c r="AH22" s="38"/>
    </row>
    <row r="23" spans="1:34">
      <c r="A23" s="2"/>
      <c r="B23" s="2"/>
      <c r="C23" s="2"/>
      <c r="D23" s="2"/>
      <c r="E23" s="20"/>
      <c r="F23" s="42"/>
      <c r="G23" s="38"/>
      <c r="H23" s="20"/>
      <c r="I23" s="42"/>
      <c r="J23" s="38"/>
      <c r="K23" s="20"/>
      <c r="L23" s="42"/>
      <c r="M23" s="38"/>
      <c r="N23" s="20"/>
      <c r="O23" s="42"/>
      <c r="P23" s="38"/>
      <c r="Q23" s="20"/>
      <c r="R23" s="42"/>
      <c r="S23" s="38"/>
      <c r="T23" s="20"/>
      <c r="U23" s="42"/>
      <c r="V23" s="38"/>
      <c r="W23" s="20"/>
      <c r="X23" s="42"/>
      <c r="Y23" s="38"/>
      <c r="Z23" s="20"/>
      <c r="AA23" s="42"/>
      <c r="AB23" s="38"/>
      <c r="AC23" s="20"/>
      <c r="AD23" s="42"/>
      <c r="AE23" s="38"/>
      <c r="AF23" s="20"/>
      <c r="AG23" s="42"/>
      <c r="AH23" s="38"/>
    </row>
    <row r="24" spans="1:34">
      <c r="A24" s="2">
        <v>8</v>
      </c>
      <c r="B24" s="2" t="s">
        <v>494</v>
      </c>
      <c r="C24" s="37" t="s">
        <v>495</v>
      </c>
      <c r="D24" s="269" t="s">
        <v>496</v>
      </c>
      <c r="E24" s="20">
        <f>E26+F24</f>
        <v>1572199768</v>
      </c>
      <c r="F24" s="20">
        <v>296034769</v>
      </c>
      <c r="G24" s="38">
        <f>E24/F24</f>
        <v>5.31086187379564</v>
      </c>
      <c r="H24" s="20">
        <f>H26+I24</f>
        <v>2466900000</v>
      </c>
      <c r="I24" s="20">
        <v>42400000</v>
      </c>
      <c r="J24" s="38">
        <f>H24/I24</f>
        <v>58.1816037735849</v>
      </c>
      <c r="K24" s="20">
        <v>1289166715</v>
      </c>
      <c r="L24" s="20">
        <v>1895991</v>
      </c>
      <c r="M24" s="38">
        <f>K24/L24</f>
        <v>679.943478107227</v>
      </c>
      <c r="N24" s="20">
        <f>N26+O24</f>
        <v>938296755</v>
      </c>
      <c r="O24" s="20">
        <v>10186913</v>
      </c>
      <c r="P24" s="38">
        <f>N24/O24</f>
        <v>92.108056189348</v>
      </c>
      <c r="Q24" s="20">
        <v>761378000</v>
      </c>
      <c r="R24" s="20">
        <v>238708000</v>
      </c>
      <c r="S24" s="38">
        <f>Q24/R24</f>
        <v>3.18957889974362</v>
      </c>
      <c r="T24" s="20">
        <v>90494709</v>
      </c>
      <c r="U24" s="20">
        <v>892069853</v>
      </c>
      <c r="V24" s="39">
        <f>T24/U24</f>
        <v>0.101443523391884</v>
      </c>
      <c r="W24" s="20">
        <v>421546000</v>
      </c>
      <c r="X24" s="20">
        <v>209539000</v>
      </c>
      <c r="Y24" s="38">
        <f>W24/X24</f>
        <v>2.01177823698691</v>
      </c>
      <c r="Z24" s="20">
        <v>437045821</v>
      </c>
      <c r="AA24" s="20">
        <v>403338395</v>
      </c>
      <c r="AB24" s="38">
        <f>Z24/AA24</f>
        <v>1.08357108179597</v>
      </c>
      <c r="AC24" s="20">
        <f>AD24+AC26</f>
        <v>76127104</v>
      </c>
      <c r="AD24" s="20">
        <v>64624657</v>
      </c>
      <c r="AE24" s="38">
        <f>AC24/AD24</f>
        <v>1.1779885191499</v>
      </c>
      <c r="AF24" s="20">
        <v>41344452</v>
      </c>
      <c r="AG24" s="20">
        <v>13890964</v>
      </c>
      <c r="AH24" s="38">
        <f>AF24/AG24</f>
        <v>2.97635585262477</v>
      </c>
    </row>
    <row r="25" spans="1:34">
      <c r="A25" s="2"/>
      <c r="B25" s="2"/>
      <c r="C25" s="2" t="s">
        <v>497</v>
      </c>
      <c r="D25" s="2"/>
      <c r="E25" s="20"/>
      <c r="F25" s="20"/>
      <c r="G25" s="38"/>
      <c r="H25" s="20"/>
      <c r="I25" s="20"/>
      <c r="J25" s="38"/>
      <c r="K25" s="20"/>
      <c r="L25" s="20"/>
      <c r="M25" s="38"/>
      <c r="N25" s="20"/>
      <c r="O25" s="20"/>
      <c r="P25" s="38"/>
      <c r="Q25" s="20"/>
      <c r="R25" s="20"/>
      <c r="S25" s="38"/>
      <c r="T25" s="20"/>
      <c r="U25" s="20"/>
      <c r="V25" s="39"/>
      <c r="W25" s="20"/>
      <c r="X25" s="20"/>
      <c r="Y25" s="38"/>
      <c r="Z25" s="20"/>
      <c r="AA25" s="20"/>
      <c r="AB25" s="38"/>
      <c r="AC25" s="20"/>
      <c r="AD25" s="20"/>
      <c r="AE25" s="38"/>
      <c r="AF25" s="20"/>
      <c r="AG25" s="20"/>
      <c r="AH25" s="38"/>
    </row>
    <row r="26" spans="1:34">
      <c r="A26" s="2"/>
      <c r="C26" s="51" t="s">
        <v>498</v>
      </c>
      <c r="D26" s="83"/>
      <c r="E26" s="52">
        <v>1276164999</v>
      </c>
      <c r="G26" s="48"/>
      <c r="H26" s="69">
        <v>2424500000</v>
      </c>
      <c r="J26" s="48"/>
      <c r="K26" s="69"/>
      <c r="M26" s="48"/>
      <c r="N26" s="69">
        <v>928109842</v>
      </c>
      <c r="P26" s="48"/>
      <c r="Q26" s="69"/>
      <c r="S26" s="48"/>
      <c r="T26" s="69"/>
      <c r="U26" s="265" t="s">
        <v>499</v>
      </c>
      <c r="V26" s="48"/>
      <c r="W26" s="69"/>
      <c r="Y26" s="48"/>
      <c r="Z26" s="69"/>
      <c r="AB26" s="48"/>
      <c r="AC26" s="69">
        <v>11502447</v>
      </c>
      <c r="AE26" s="48"/>
      <c r="AF26" s="69"/>
      <c r="AH26" s="48"/>
    </row>
    <row r="27" spans="1:34">
      <c r="A27" s="2"/>
      <c r="D27" s="83"/>
      <c r="E27" s="45"/>
      <c r="G27" s="40"/>
      <c r="H27" s="69"/>
      <c r="J27" s="48"/>
      <c r="K27" s="69"/>
      <c r="M27" s="48"/>
      <c r="N27" s="69"/>
      <c r="P27" s="48"/>
      <c r="Q27" s="69"/>
      <c r="S27" s="48"/>
      <c r="T27" s="69"/>
      <c r="V27" s="48"/>
      <c r="W27" s="69"/>
      <c r="Y27" s="48"/>
      <c r="Z27" s="69"/>
      <c r="AB27" s="48"/>
      <c r="AC27" s="69"/>
      <c r="AE27" s="48"/>
      <c r="AF27" s="69"/>
      <c r="AH27" s="48"/>
    </row>
    <row r="28" spans="1:34">
      <c r="A28" s="2">
        <v>9</v>
      </c>
      <c r="B28" s="2" t="s">
        <v>500</v>
      </c>
      <c r="C28" s="37" t="s">
        <v>501</v>
      </c>
      <c r="D28" s="41" t="s">
        <v>502</v>
      </c>
      <c r="E28" s="20">
        <v>2997354845</v>
      </c>
      <c r="F28" s="46">
        <f>F9</f>
        <v>9550348392</v>
      </c>
      <c r="G28" s="270">
        <f>(E28/F28)*365</f>
        <v>114.554409275942</v>
      </c>
      <c r="H28" s="20">
        <v>1438100000</v>
      </c>
      <c r="I28" s="46">
        <f>I9</f>
        <v>8412400000</v>
      </c>
      <c r="J28" s="271">
        <f>(H28/I28)*365</f>
        <v>62.3967595454329</v>
      </c>
      <c r="K28" s="20">
        <v>1562054</v>
      </c>
      <c r="L28" s="46">
        <f>L9</f>
        <v>7201150896</v>
      </c>
      <c r="M28" s="271">
        <f>(K28/L28)*365</f>
        <v>0.0791748038937358</v>
      </c>
      <c r="N28" s="20">
        <v>819967247</v>
      </c>
      <c r="O28" s="46">
        <f>O9</f>
        <v>7764296397</v>
      </c>
      <c r="P28" s="271">
        <f>(N28/O28)*365</f>
        <v>38.5467053100446</v>
      </c>
      <c r="Q28" s="20">
        <v>1003508000</v>
      </c>
      <c r="R28" s="46">
        <f>R9</f>
        <v>10921489000</v>
      </c>
      <c r="S28" s="271">
        <f>(Q28/R28)*365</f>
        <v>33.5375899751398</v>
      </c>
      <c r="T28" s="20">
        <v>1374810029</v>
      </c>
      <c r="U28" s="46">
        <f>U9</f>
        <v>5050843335</v>
      </c>
      <c r="V28" s="271">
        <f>(T28/U28)*365</f>
        <v>99.3508662420233</v>
      </c>
      <c r="W28" s="20">
        <v>730514000</v>
      </c>
      <c r="X28" s="46">
        <f>X9</f>
        <v>7613301000</v>
      </c>
      <c r="Y28" s="271">
        <f>(W28/X28)*365</f>
        <v>35.0226018910851</v>
      </c>
      <c r="Z28" s="20">
        <v>957724899</v>
      </c>
      <c r="AA28" s="46">
        <f>AA9</f>
        <v>2615209325</v>
      </c>
      <c r="AB28" s="271">
        <f>(Z28/AA28)*365</f>
        <v>133.667918966678</v>
      </c>
      <c r="AC28" s="20">
        <v>0</v>
      </c>
      <c r="AD28" s="46">
        <f>AD9</f>
        <v>277960512</v>
      </c>
      <c r="AE28" s="271">
        <f>(AC28/AD28)*365</f>
        <v>0</v>
      </c>
      <c r="AF28" s="20">
        <v>374099174</v>
      </c>
      <c r="AG28" s="46">
        <f>AG9</f>
        <v>549671714</v>
      </c>
      <c r="AH28" s="271">
        <f>(AF28/AG28)*365</f>
        <v>248.414089777958</v>
      </c>
    </row>
    <row r="29" spans="1:34">
      <c r="A29" s="2"/>
      <c r="B29" s="2"/>
      <c r="C29" s="66" t="s">
        <v>503</v>
      </c>
      <c r="D29" s="2"/>
      <c r="E29" s="20"/>
      <c r="F29" s="46"/>
      <c r="G29" s="273">
        <f>G28/30</f>
        <v>3.81848030919806</v>
      </c>
      <c r="H29" s="20"/>
      <c r="I29" s="46"/>
      <c r="J29" s="273">
        <f>J28/30</f>
        <v>2.07989198484776</v>
      </c>
      <c r="K29" s="20"/>
      <c r="L29" s="46"/>
      <c r="M29" s="273">
        <f>M28/30</f>
        <v>0.00263916012979119</v>
      </c>
      <c r="N29" s="20"/>
      <c r="O29" s="46"/>
      <c r="P29" s="273">
        <f>P28/30</f>
        <v>1.28489017700149</v>
      </c>
      <c r="Q29" s="20"/>
      <c r="R29" s="46"/>
      <c r="S29" s="273">
        <f>S28/30</f>
        <v>1.11791966583799</v>
      </c>
      <c r="T29" s="20"/>
      <c r="U29" s="46"/>
      <c r="V29" s="273">
        <f>V28/30</f>
        <v>3.31169554140078</v>
      </c>
      <c r="W29" s="20"/>
      <c r="X29" s="46"/>
      <c r="Y29" s="273">
        <f>Y28/30</f>
        <v>1.16742006303617</v>
      </c>
      <c r="Z29" s="20"/>
      <c r="AA29" s="46"/>
      <c r="AB29" s="273">
        <f>AB28/30</f>
        <v>4.45559729888926</v>
      </c>
      <c r="AC29" s="20"/>
      <c r="AD29" s="46"/>
      <c r="AE29" s="273">
        <f>AE28/30</f>
        <v>0</v>
      </c>
      <c r="AF29" s="20"/>
      <c r="AG29" s="46"/>
      <c r="AH29" s="273">
        <f>AH28/30</f>
        <v>8.28046965926526</v>
      </c>
    </row>
    <row r="30" spans="1:34">
      <c r="A30" s="2"/>
      <c r="G30" s="40"/>
      <c r="J30" s="38"/>
      <c r="M30" s="38"/>
      <c r="P30" s="38"/>
      <c r="S30" s="38"/>
      <c r="V30" s="38"/>
      <c r="Y30" s="38"/>
      <c r="AB30" s="38"/>
      <c r="AC30" s="275" t="s">
        <v>504</v>
      </c>
      <c r="AE30" s="38"/>
      <c r="AH30" s="38"/>
    </row>
    <row r="31" spans="1:34">
      <c r="A31" s="2">
        <v>10</v>
      </c>
      <c r="B31" s="2" t="s">
        <v>186</v>
      </c>
      <c r="C31" s="37" t="s">
        <v>187</v>
      </c>
      <c r="D31" s="41" t="s">
        <v>295</v>
      </c>
      <c r="E31" s="42">
        <v>10</v>
      </c>
      <c r="F31" s="20">
        <f>E6</f>
        <v>865.81</v>
      </c>
      <c r="G31" s="38">
        <f>(E31/F31)*100</f>
        <v>1.15498781487855</v>
      </c>
      <c r="H31" s="42">
        <v>1714</v>
      </c>
      <c r="I31" s="20">
        <f>H6</f>
        <v>46340</v>
      </c>
      <c r="J31" s="38">
        <f>(H31/I31)*100</f>
        <v>3.69874838152784</v>
      </c>
      <c r="K31" s="42">
        <v>20</v>
      </c>
      <c r="L31" s="20">
        <f>K6</f>
        <v>1236.54</v>
      </c>
      <c r="M31" s="38">
        <f>(K31/L31)*100</f>
        <v>1.61741633913986</v>
      </c>
      <c r="N31" s="42">
        <v>9</v>
      </c>
      <c r="O31" s="20">
        <f>N6</f>
        <v>535</v>
      </c>
      <c r="P31" s="38">
        <f>(N31/O31)*100</f>
        <v>1.68224299065421</v>
      </c>
      <c r="Q31" s="42">
        <v>0</v>
      </c>
      <c r="R31" s="20">
        <f>Q6</f>
        <v>17498</v>
      </c>
      <c r="S31" s="38">
        <f>(Q31/R31)*100</f>
        <v>0</v>
      </c>
      <c r="T31" s="42">
        <v>0</v>
      </c>
      <c r="U31" s="20">
        <f>T6</f>
        <v>514.49</v>
      </c>
      <c r="V31" s="38">
        <f>(T31/U31)*100</f>
        <v>0</v>
      </c>
      <c r="W31" s="42">
        <v>50</v>
      </c>
      <c r="X31" s="20">
        <f>W6</f>
        <v>12800</v>
      </c>
      <c r="Y31" s="38">
        <f>(W31/X31)*100</f>
        <v>0.390625</v>
      </c>
      <c r="Z31" s="42">
        <v>0</v>
      </c>
      <c r="AA31" s="20">
        <f>Z6</f>
        <v>464.11</v>
      </c>
      <c r="AB31" s="38">
        <f>(Z31/AA31)*100</f>
        <v>0</v>
      </c>
      <c r="AC31" s="42">
        <v>0</v>
      </c>
      <c r="AD31" s="20">
        <f>AC6</f>
        <v>1517.76</v>
      </c>
      <c r="AE31" s="38">
        <f>(AC31/AD31)*100</f>
        <v>0</v>
      </c>
      <c r="AF31" s="42">
        <v>25</v>
      </c>
      <c r="AG31" s="20">
        <f>AF6</f>
        <v>281.8</v>
      </c>
      <c r="AH31" s="38">
        <f>(AF31/AG31)*100</f>
        <v>8.87154009936125</v>
      </c>
    </row>
    <row r="32" spans="1:34">
      <c r="A32" s="2"/>
      <c r="B32" s="2"/>
      <c r="C32" s="2" t="s">
        <v>189</v>
      </c>
      <c r="D32" s="41"/>
      <c r="E32" s="42"/>
      <c r="F32" s="20"/>
      <c r="G32" s="38"/>
      <c r="H32" s="42"/>
      <c r="I32" s="20"/>
      <c r="J32" s="38"/>
      <c r="K32" s="42"/>
      <c r="L32" s="20"/>
      <c r="M32" s="38"/>
      <c r="N32" s="42"/>
      <c r="O32" s="20"/>
      <c r="P32" s="38"/>
      <c r="Q32" s="42"/>
      <c r="R32" s="20"/>
      <c r="S32" s="38"/>
      <c r="T32" s="42"/>
      <c r="U32" s="20"/>
      <c r="V32" s="38"/>
      <c r="W32" s="42"/>
      <c r="X32" s="20"/>
      <c r="Y32" s="38"/>
      <c r="Z32" s="42"/>
      <c r="AA32" s="20"/>
      <c r="AB32" s="38"/>
      <c r="AC32" s="42"/>
      <c r="AD32" s="20"/>
      <c r="AE32" s="38"/>
      <c r="AF32" s="42"/>
      <c r="AG32" s="20"/>
      <c r="AH32" s="38"/>
    </row>
    <row r="33" spans="1:34">
      <c r="A33" s="2"/>
      <c r="B33" s="2"/>
      <c r="C33" s="2"/>
      <c r="D33" s="2"/>
      <c r="E33" s="20"/>
      <c r="F33" s="42"/>
      <c r="G33" s="38"/>
      <c r="H33" s="20"/>
      <c r="I33" s="42"/>
      <c r="J33" s="38"/>
      <c r="K33" s="20"/>
      <c r="L33" s="42"/>
      <c r="M33" s="38"/>
      <c r="N33" s="20"/>
      <c r="O33" s="42"/>
      <c r="P33" s="38"/>
      <c r="Q33" s="20"/>
      <c r="R33" s="42"/>
      <c r="S33" s="38"/>
      <c r="T33" s="20"/>
      <c r="U33" s="42"/>
      <c r="V33" s="38"/>
      <c r="W33" s="20"/>
      <c r="X33" s="42"/>
      <c r="Y33" s="38"/>
      <c r="Z33" s="20"/>
      <c r="AA33" s="42"/>
      <c r="AB33" s="38"/>
      <c r="AC33" s="20"/>
      <c r="AD33" s="42"/>
      <c r="AE33" s="38"/>
      <c r="AF33" s="20"/>
      <c r="AG33" s="42"/>
      <c r="AH33" s="38"/>
    </row>
    <row r="34" spans="1:34">
      <c r="A34" s="2">
        <v>11</v>
      </c>
      <c r="B34" s="41" t="s">
        <v>455</v>
      </c>
      <c r="C34" s="37" t="s">
        <v>456</v>
      </c>
      <c r="D34" s="41" t="s">
        <v>237</v>
      </c>
      <c r="E34" s="20">
        <v>5255361613</v>
      </c>
      <c r="F34" s="46">
        <v>4261328744</v>
      </c>
      <c r="G34" s="55">
        <f>E34/F34</f>
        <v>1.23326828994351</v>
      </c>
      <c r="H34" s="20">
        <v>5998300000</v>
      </c>
      <c r="I34" s="46">
        <v>2424900000</v>
      </c>
      <c r="J34" s="55">
        <f>H34/I34</f>
        <v>2.47362777846509</v>
      </c>
      <c r="K34" s="20">
        <v>3431227579</v>
      </c>
      <c r="L34" s="46">
        <v>345895276</v>
      </c>
      <c r="M34" s="55">
        <f>K34/L34</f>
        <v>9.91984515856759</v>
      </c>
      <c r="N34" s="20">
        <v>3777444319</v>
      </c>
      <c r="O34" s="46">
        <v>2094236240</v>
      </c>
      <c r="P34" s="55">
        <f>N34/O34</f>
        <v>1.80373362223929</v>
      </c>
      <c r="Q34" s="20">
        <v>6538564</v>
      </c>
      <c r="R34" s="46">
        <v>6107432</v>
      </c>
      <c r="S34" s="277">
        <f>Q34/R34</f>
        <v>1.07059137129975</v>
      </c>
      <c r="T34" s="20"/>
      <c r="U34" s="46"/>
      <c r="V34" s="55">
        <v>0.75</v>
      </c>
      <c r="W34" s="20">
        <v>3587359000</v>
      </c>
      <c r="X34" s="46">
        <v>4425882000</v>
      </c>
      <c r="Y34" s="55">
        <f>W34/X34</f>
        <v>0.81054104018137</v>
      </c>
      <c r="Z34" s="20">
        <v>3952159359</v>
      </c>
      <c r="AA34" s="46">
        <v>2006051354</v>
      </c>
      <c r="AB34" s="55">
        <f>Z34/AA34</f>
        <v>1.97011873655155</v>
      </c>
      <c r="AC34" s="20">
        <v>369568920</v>
      </c>
      <c r="AD34" s="46">
        <v>228938485</v>
      </c>
      <c r="AE34" s="55">
        <f>AC34/AD34</f>
        <v>1.61427171145996</v>
      </c>
      <c r="AF34" s="20">
        <v>675583905</v>
      </c>
      <c r="AG34" s="46">
        <v>466199041</v>
      </c>
      <c r="AH34" s="55">
        <f>AF34/AG34</f>
        <v>1.44913190630094</v>
      </c>
    </row>
    <row r="35" spans="1:34">
      <c r="A35" s="2"/>
      <c r="B35" s="41"/>
      <c r="C35" s="2" t="s">
        <v>457</v>
      </c>
      <c r="D35" s="41"/>
      <c r="E35" s="20"/>
      <c r="F35" s="46"/>
      <c r="G35" s="55"/>
      <c r="H35" s="20"/>
      <c r="I35" s="46"/>
      <c r="J35" s="55"/>
      <c r="K35" s="20"/>
      <c r="L35" s="46"/>
      <c r="M35" s="55"/>
      <c r="N35" s="20"/>
      <c r="O35" s="46"/>
      <c r="P35" s="55"/>
      <c r="Q35" s="20"/>
      <c r="R35" s="46"/>
      <c r="S35" s="277"/>
      <c r="T35" s="20"/>
      <c r="U35" s="46"/>
      <c r="V35" s="55"/>
      <c r="W35" s="20"/>
      <c r="X35" s="46"/>
      <c r="Y35" s="55"/>
      <c r="Z35" s="20"/>
      <c r="AA35" s="46"/>
      <c r="AB35" s="55"/>
      <c r="AC35" s="20"/>
      <c r="AD35" s="46"/>
      <c r="AE35" s="55"/>
      <c r="AF35" s="20"/>
      <c r="AG35" s="46"/>
      <c r="AH35" s="55"/>
    </row>
    <row r="36" spans="1:34">
      <c r="A36" s="2"/>
      <c r="B36" s="2"/>
      <c r="C36" s="2"/>
      <c r="D36" s="2"/>
      <c r="E36" s="20"/>
      <c r="F36" s="42"/>
      <c r="G36" s="38"/>
      <c r="H36" s="20"/>
      <c r="I36" s="42"/>
      <c r="J36" s="38"/>
      <c r="K36" s="20"/>
      <c r="L36" s="42"/>
      <c r="M36" s="38"/>
      <c r="N36" s="20"/>
      <c r="O36" s="42"/>
      <c r="P36" s="38"/>
      <c r="Q36" s="20"/>
      <c r="R36" s="42"/>
      <c r="S36" s="38"/>
      <c r="T36" s="20"/>
      <c r="U36" s="42"/>
      <c r="V36" s="38"/>
      <c r="W36" s="20"/>
      <c r="X36" s="42"/>
      <c r="Y36" s="38"/>
      <c r="Z36" s="20"/>
      <c r="AA36" s="42"/>
      <c r="AB36" s="38"/>
      <c r="AC36" s="20"/>
      <c r="AD36" s="42"/>
      <c r="AE36" s="38"/>
      <c r="AF36" s="20"/>
      <c r="AG36" s="42"/>
      <c r="AH36" s="38"/>
    </row>
    <row r="40" ht="15.75" spans="1:34">
      <c r="B40" s="64" t="s">
        <v>505</v>
      </c>
      <c r="C40" s="65"/>
      <c r="D40" s="65"/>
      <c r="E40" s="65"/>
      <c r="F40" s="65"/>
      <c r="G40" s="65"/>
      <c r="H40" s="65"/>
      <c r="I40" s="65"/>
      <c r="J40" s="278"/>
    </row>
    <row r="41" spans="1:34">
      <c r="B41" s="2" t="s">
        <v>487</v>
      </c>
      <c r="C41" s="66" t="s">
        <v>506</v>
      </c>
      <c r="D41" s="73" t="s">
        <v>507</v>
      </c>
      <c r="E41" s="73"/>
      <c r="F41" s="73"/>
      <c r="G41" s="73"/>
      <c r="H41" s="73"/>
      <c r="I41" s="73"/>
      <c r="J41" s="73"/>
    </row>
    <row r="42" spans="1:34">
      <c r="B42" s="2" t="s">
        <v>490</v>
      </c>
      <c r="C42" s="83" t="s">
        <v>508</v>
      </c>
      <c r="D42" s="99" t="s">
        <v>509</v>
      </c>
      <c r="E42" s="66"/>
      <c r="F42" s="66"/>
      <c r="G42" s="66"/>
      <c r="H42" s="66"/>
      <c r="I42" s="66"/>
      <c r="J42" s="66"/>
    </row>
    <row r="43" spans="1:34">
      <c r="B43" s="2" t="s">
        <v>510</v>
      </c>
      <c r="C43" s="66" t="s">
        <v>511</v>
      </c>
      <c r="D43" s="66"/>
      <c r="E43" s="66"/>
      <c r="F43" s="66"/>
      <c r="G43" s="66"/>
      <c r="H43" s="66"/>
      <c r="I43" s="66"/>
      <c r="J43" s="66"/>
      <c r="K43" s="45"/>
    </row>
    <row r="44" spans="1:34">
      <c r="B44" s="37" t="s">
        <v>510</v>
      </c>
      <c r="C44" s="279" t="s">
        <v>512</v>
      </c>
      <c r="D44" s="279"/>
      <c r="E44" s="279"/>
      <c r="F44" s="279"/>
      <c r="G44" s="279"/>
      <c r="H44" s="279"/>
      <c r="I44" s="279"/>
      <c r="J44" s="279"/>
      <c r="K44" s="45"/>
    </row>
    <row r="45" spans="1:34">
      <c r="B45" s="2" t="s">
        <v>494</v>
      </c>
      <c r="C45" s="23"/>
      <c r="D45" s="66" t="s">
        <v>513</v>
      </c>
      <c r="E45" s="66"/>
      <c r="F45" s="66"/>
      <c r="G45" s="66"/>
      <c r="H45" s="66"/>
      <c r="I45" s="66"/>
      <c r="J45" s="66"/>
      <c r="K45" s="45"/>
    </row>
    <row r="46" spans="1:34">
      <c r="B46" s="2" t="s">
        <v>497</v>
      </c>
      <c r="C46" s="2" t="s">
        <v>514</v>
      </c>
      <c r="D46" s="2"/>
      <c r="E46" s="2"/>
      <c r="F46" s="2"/>
      <c r="G46" s="2"/>
      <c r="H46" s="2"/>
      <c r="I46" s="2"/>
      <c r="J46" s="2"/>
      <c r="K46" s="45"/>
    </row>
    <row r="47" ht="45" customHeight="1" spans="1:34">
      <c r="B47" s="2" t="s">
        <v>515</v>
      </c>
      <c r="C47" s="51" t="s">
        <v>508</v>
      </c>
      <c r="D47" s="99" t="s">
        <v>516</v>
      </c>
      <c r="E47" s="66"/>
      <c r="F47" s="66"/>
      <c r="G47" s="66"/>
      <c r="H47" s="66"/>
      <c r="I47" s="66"/>
      <c r="J47" s="66"/>
      <c r="K47" s="66"/>
      <c r="L47" s="66"/>
    </row>
    <row r="48" spans="1:34">
      <c r="B48" s="2" t="s">
        <v>495</v>
      </c>
      <c r="C48" s="2" t="s">
        <v>517</v>
      </c>
      <c r="D48" s="3" t="s">
        <v>518</v>
      </c>
      <c r="E48" s="3"/>
      <c r="F48" s="3"/>
      <c r="G48" s="3"/>
      <c r="H48" s="3"/>
      <c r="I48" s="3"/>
      <c r="J48" s="3"/>
    </row>
    <row r="49" spans="2:34">
      <c r="B49" s="3" t="s">
        <v>519</v>
      </c>
      <c r="C49" s="3"/>
      <c r="D49" s="66" t="s">
        <v>520</v>
      </c>
      <c r="E49" s="66"/>
      <c r="F49" s="66"/>
      <c r="G49" s="66"/>
      <c r="H49" s="66"/>
      <c r="I49" s="66"/>
      <c r="J49" s="66"/>
    </row>
    <row r="50" spans="2:34">
      <c r="B50" s="37" t="s">
        <v>521</v>
      </c>
      <c r="C50" s="37" t="s">
        <v>498</v>
      </c>
      <c r="D50" s="279" t="s">
        <v>522</v>
      </c>
      <c r="E50" s="279"/>
      <c r="F50" s="279"/>
      <c r="G50" s="279"/>
      <c r="H50" s="279"/>
      <c r="I50" s="279"/>
      <c r="J50" s="279"/>
    </row>
    <row r="51" spans="2:34">
      <c r="B51" s="2" t="s">
        <v>523</v>
      </c>
      <c r="C51" s="23" t="s">
        <v>524</v>
      </c>
      <c r="D51" s="66" t="s">
        <v>525</v>
      </c>
      <c r="E51" s="66"/>
      <c r="F51" s="66"/>
      <c r="G51" s="66"/>
      <c r="H51" s="66"/>
      <c r="I51" s="66"/>
      <c r="J51" s="66"/>
      <c r="K51" s="45"/>
      <c r="L51" s="45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</row>
  </sheetData>
  <mergeCells count="345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Q17:R17"/>
    <mergeCell ref="B40:J40"/>
    <mergeCell ref="D41:J41"/>
    <mergeCell ref="D42:J42"/>
    <mergeCell ref="C43:J43"/>
    <mergeCell ref="C44:J44"/>
    <mergeCell ref="D45:J45"/>
    <mergeCell ref="D46:J46"/>
    <mergeCell ref="D47:J47"/>
    <mergeCell ref="D48:J48"/>
    <mergeCell ref="B49:C49"/>
    <mergeCell ref="D49:J49"/>
    <mergeCell ref="D50:J50"/>
    <mergeCell ref="D51:J51"/>
    <mergeCell ref="A3:A4"/>
    <mergeCell ref="A6:A7"/>
    <mergeCell ref="A9:A10"/>
    <mergeCell ref="A15:A16"/>
    <mergeCell ref="A18:A19"/>
    <mergeCell ref="A21:A22"/>
    <mergeCell ref="A24:A25"/>
    <mergeCell ref="A28:A29"/>
    <mergeCell ref="A31:A32"/>
    <mergeCell ref="A34:A35"/>
    <mergeCell ref="B3:B4"/>
    <mergeCell ref="B6:B7"/>
    <mergeCell ref="B9:B10"/>
    <mergeCell ref="B15:B16"/>
    <mergeCell ref="B18:B19"/>
    <mergeCell ref="B21:B22"/>
    <mergeCell ref="B24:B25"/>
    <mergeCell ref="B28:B29"/>
    <mergeCell ref="B31:B32"/>
    <mergeCell ref="B34:B35"/>
    <mergeCell ref="D3:D4"/>
    <mergeCell ref="D6:D7"/>
    <mergeCell ref="D9:D10"/>
    <mergeCell ref="D15:D16"/>
    <mergeCell ref="D18:D19"/>
    <mergeCell ref="D21:D22"/>
    <mergeCell ref="D24:D25"/>
    <mergeCell ref="D28:D29"/>
    <mergeCell ref="D31:D32"/>
    <mergeCell ref="D34:D35"/>
    <mergeCell ref="E3:E4"/>
    <mergeCell ref="E6:E7"/>
    <mergeCell ref="E9:E10"/>
    <mergeCell ref="E15:E16"/>
    <mergeCell ref="E18:E19"/>
    <mergeCell ref="E21:E22"/>
    <mergeCell ref="E24:E25"/>
    <mergeCell ref="E28:E29"/>
    <mergeCell ref="E31:E32"/>
    <mergeCell ref="E34:E35"/>
    <mergeCell ref="F3:F4"/>
    <mergeCell ref="F6:F7"/>
    <mergeCell ref="F9:F10"/>
    <mergeCell ref="F15:F16"/>
    <mergeCell ref="F18:F19"/>
    <mergeCell ref="F21:F22"/>
    <mergeCell ref="F24:F25"/>
    <mergeCell ref="F28:F29"/>
    <mergeCell ref="F31:F32"/>
    <mergeCell ref="F34:F35"/>
    <mergeCell ref="G3:G4"/>
    <mergeCell ref="G6:G7"/>
    <mergeCell ref="G9:G10"/>
    <mergeCell ref="G15:G16"/>
    <mergeCell ref="G18:G19"/>
    <mergeCell ref="G21:G22"/>
    <mergeCell ref="G24:G25"/>
    <mergeCell ref="G31:G32"/>
    <mergeCell ref="G34:G35"/>
    <mergeCell ref="H3:H4"/>
    <mergeCell ref="H6:H7"/>
    <mergeCell ref="H9:H10"/>
    <mergeCell ref="H15:H16"/>
    <mergeCell ref="H18:H19"/>
    <mergeCell ref="H21:H22"/>
    <mergeCell ref="H24:H25"/>
    <mergeCell ref="H28:H29"/>
    <mergeCell ref="H31:H32"/>
    <mergeCell ref="H34:H35"/>
    <mergeCell ref="I3:I4"/>
    <mergeCell ref="I6:I7"/>
    <mergeCell ref="I9:I10"/>
    <mergeCell ref="I15:I16"/>
    <mergeCell ref="I18:I19"/>
    <mergeCell ref="I21:I22"/>
    <mergeCell ref="I24:I25"/>
    <mergeCell ref="I28:I29"/>
    <mergeCell ref="I31:I32"/>
    <mergeCell ref="I34:I35"/>
    <mergeCell ref="J3:J4"/>
    <mergeCell ref="J6:J7"/>
    <mergeCell ref="J9:J10"/>
    <mergeCell ref="J15:J16"/>
    <mergeCell ref="J18:J19"/>
    <mergeCell ref="J21:J22"/>
    <mergeCell ref="J24:J25"/>
    <mergeCell ref="J31:J32"/>
    <mergeCell ref="J34:J35"/>
    <mergeCell ref="K3:K4"/>
    <mergeCell ref="K6:K7"/>
    <mergeCell ref="K9:K10"/>
    <mergeCell ref="K15:K16"/>
    <mergeCell ref="K18:K19"/>
    <mergeCell ref="K21:K22"/>
    <mergeCell ref="K24:K25"/>
    <mergeCell ref="K28:K29"/>
    <mergeCell ref="K31:K32"/>
    <mergeCell ref="K34:K35"/>
    <mergeCell ref="L3:L4"/>
    <mergeCell ref="L6:L7"/>
    <mergeCell ref="L9:L10"/>
    <mergeCell ref="L15:L16"/>
    <mergeCell ref="L18:L19"/>
    <mergeCell ref="L21:L22"/>
    <mergeCell ref="L24:L25"/>
    <mergeCell ref="L28:L29"/>
    <mergeCell ref="L31:L32"/>
    <mergeCell ref="L34:L35"/>
    <mergeCell ref="M3:M4"/>
    <mergeCell ref="M6:M7"/>
    <mergeCell ref="M9:M10"/>
    <mergeCell ref="M15:M16"/>
    <mergeCell ref="M18:M19"/>
    <mergeCell ref="M21:M22"/>
    <mergeCell ref="M24:M25"/>
    <mergeCell ref="M31:M32"/>
    <mergeCell ref="M34:M35"/>
    <mergeCell ref="N3:N4"/>
    <mergeCell ref="N6:N7"/>
    <mergeCell ref="N9:N10"/>
    <mergeCell ref="N15:N16"/>
    <mergeCell ref="N18:N19"/>
    <mergeCell ref="N21:N22"/>
    <mergeCell ref="N24:N25"/>
    <mergeCell ref="N28:N29"/>
    <mergeCell ref="N31:N32"/>
    <mergeCell ref="N34:N35"/>
    <mergeCell ref="O3:O4"/>
    <mergeCell ref="O6:O7"/>
    <mergeCell ref="O9:O10"/>
    <mergeCell ref="O15:O16"/>
    <mergeCell ref="O18:O19"/>
    <mergeCell ref="O21:O22"/>
    <mergeCell ref="O24:O25"/>
    <mergeCell ref="O28:O29"/>
    <mergeCell ref="O31:O32"/>
    <mergeCell ref="O34:O35"/>
    <mergeCell ref="P3:P4"/>
    <mergeCell ref="P6:P7"/>
    <mergeCell ref="P9:P10"/>
    <mergeCell ref="P15:P16"/>
    <mergeCell ref="P18:P19"/>
    <mergeCell ref="P21:P22"/>
    <mergeCell ref="P24:P25"/>
    <mergeCell ref="P31:P32"/>
    <mergeCell ref="P34:P35"/>
    <mergeCell ref="Q3:Q4"/>
    <mergeCell ref="Q6:Q7"/>
    <mergeCell ref="Q9:Q10"/>
    <mergeCell ref="Q15:Q16"/>
    <mergeCell ref="Q18:Q19"/>
    <mergeCell ref="Q21:Q22"/>
    <mergeCell ref="Q24:Q25"/>
    <mergeCell ref="Q28:Q29"/>
    <mergeCell ref="Q31:Q32"/>
    <mergeCell ref="Q34:Q35"/>
    <mergeCell ref="R3:R4"/>
    <mergeCell ref="R6:R7"/>
    <mergeCell ref="R9:R10"/>
    <mergeCell ref="R15:R16"/>
    <mergeCell ref="R18:R19"/>
    <mergeCell ref="R21:R22"/>
    <mergeCell ref="R24:R25"/>
    <mergeCell ref="R28:R29"/>
    <mergeCell ref="R31:R32"/>
    <mergeCell ref="R34:R35"/>
    <mergeCell ref="S3:S4"/>
    <mergeCell ref="S6:S7"/>
    <mergeCell ref="S9:S10"/>
    <mergeCell ref="S15:S16"/>
    <mergeCell ref="S18:S19"/>
    <mergeCell ref="S21:S22"/>
    <mergeCell ref="S24:S25"/>
    <mergeCell ref="S31:S32"/>
    <mergeCell ref="S34:S35"/>
    <mergeCell ref="T3:T4"/>
    <mergeCell ref="T6:T7"/>
    <mergeCell ref="T9:T10"/>
    <mergeCell ref="T15:T16"/>
    <mergeCell ref="T18:T19"/>
    <mergeCell ref="T21:T22"/>
    <mergeCell ref="T24:T25"/>
    <mergeCell ref="T28:T29"/>
    <mergeCell ref="T31:T32"/>
    <mergeCell ref="T34:T35"/>
    <mergeCell ref="U3:U4"/>
    <mergeCell ref="U6:U7"/>
    <mergeCell ref="U9:U10"/>
    <mergeCell ref="U15:U16"/>
    <mergeCell ref="U18:U19"/>
    <mergeCell ref="U21:U22"/>
    <mergeCell ref="U24:U25"/>
    <mergeCell ref="U28:U29"/>
    <mergeCell ref="U31:U32"/>
    <mergeCell ref="U34:U35"/>
    <mergeCell ref="V3:V4"/>
    <mergeCell ref="V6:V7"/>
    <mergeCell ref="V9:V10"/>
    <mergeCell ref="V15:V16"/>
    <mergeCell ref="V18:V19"/>
    <mergeCell ref="V21:V22"/>
    <mergeCell ref="V24:V25"/>
    <mergeCell ref="V31:V32"/>
    <mergeCell ref="V34:V35"/>
    <mergeCell ref="W3:W4"/>
    <mergeCell ref="W6:W7"/>
    <mergeCell ref="W9:W10"/>
    <mergeCell ref="W15:W16"/>
    <mergeCell ref="W18:W19"/>
    <mergeCell ref="W21:W22"/>
    <mergeCell ref="W24:W25"/>
    <mergeCell ref="W28:W29"/>
    <mergeCell ref="W31:W32"/>
    <mergeCell ref="W34:W35"/>
    <mergeCell ref="X3:X4"/>
    <mergeCell ref="X6:X7"/>
    <mergeCell ref="X9:X10"/>
    <mergeCell ref="X15:X16"/>
    <mergeCell ref="X18:X19"/>
    <mergeCell ref="X21:X22"/>
    <mergeCell ref="X24:X25"/>
    <mergeCell ref="X28:X29"/>
    <mergeCell ref="X31:X32"/>
    <mergeCell ref="X34:X35"/>
    <mergeCell ref="Y3:Y4"/>
    <mergeCell ref="Y6:Y7"/>
    <mergeCell ref="Y9:Y10"/>
    <mergeCell ref="Y15:Y16"/>
    <mergeCell ref="Y18:Y19"/>
    <mergeCell ref="Y21:Y22"/>
    <mergeCell ref="Y24:Y25"/>
    <mergeCell ref="Y31:Y32"/>
    <mergeCell ref="Y34:Y35"/>
    <mergeCell ref="Z3:Z4"/>
    <mergeCell ref="Z6:Z7"/>
    <mergeCell ref="Z9:Z10"/>
    <mergeCell ref="Z15:Z16"/>
    <mergeCell ref="Z18:Z19"/>
    <mergeCell ref="Z21:Z22"/>
    <mergeCell ref="Z24:Z25"/>
    <mergeCell ref="Z28:Z29"/>
    <mergeCell ref="Z31:Z32"/>
    <mergeCell ref="Z34:Z35"/>
    <mergeCell ref="AA3:AA4"/>
    <mergeCell ref="AA6:AA7"/>
    <mergeCell ref="AA9:AA10"/>
    <mergeCell ref="AA15:AA16"/>
    <mergeCell ref="AA18:AA19"/>
    <mergeCell ref="AA21:AA22"/>
    <mergeCell ref="AA24:AA25"/>
    <mergeCell ref="AA28:AA29"/>
    <mergeCell ref="AA31:AA32"/>
    <mergeCell ref="AA34:AA35"/>
    <mergeCell ref="AB3:AB4"/>
    <mergeCell ref="AB6:AB7"/>
    <mergeCell ref="AB9:AB10"/>
    <mergeCell ref="AB15:AB16"/>
    <mergeCell ref="AB18:AB19"/>
    <mergeCell ref="AB21:AB22"/>
    <mergeCell ref="AB24:AB25"/>
    <mergeCell ref="AB31:AB32"/>
    <mergeCell ref="AB34:AB35"/>
    <mergeCell ref="AC3:AC4"/>
    <mergeCell ref="AC6:AC7"/>
    <mergeCell ref="AC9:AC10"/>
    <mergeCell ref="AC15:AC16"/>
    <mergeCell ref="AC18:AC19"/>
    <mergeCell ref="AC21:AC22"/>
    <mergeCell ref="AC24:AC25"/>
    <mergeCell ref="AC28:AC29"/>
    <mergeCell ref="AC31:AC32"/>
    <mergeCell ref="AC34:AC35"/>
    <mergeCell ref="AD3:AD4"/>
    <mergeCell ref="AD6:AD7"/>
    <mergeCell ref="AD9:AD10"/>
    <mergeCell ref="AD15:AD16"/>
    <mergeCell ref="AD18:AD19"/>
    <mergeCell ref="AD21:AD22"/>
    <mergeCell ref="AD24:AD25"/>
    <mergeCell ref="AD28:AD29"/>
    <mergeCell ref="AD31:AD32"/>
    <mergeCell ref="AD34:AD35"/>
    <mergeCell ref="AE3:AE4"/>
    <mergeCell ref="AE6:AE7"/>
    <mergeCell ref="AE9:AE10"/>
    <mergeCell ref="AE15:AE16"/>
    <mergeCell ref="AE18:AE19"/>
    <mergeCell ref="AE21:AE22"/>
    <mergeCell ref="AE24:AE25"/>
    <mergeCell ref="AE31:AE32"/>
    <mergeCell ref="AE34:AE35"/>
    <mergeCell ref="AF3:AF4"/>
    <mergeCell ref="AF6:AF7"/>
    <mergeCell ref="AF9:AF10"/>
    <mergeCell ref="AF15:AF16"/>
    <mergeCell ref="AF18:AF19"/>
    <mergeCell ref="AF21:AF22"/>
    <mergeCell ref="AF24:AF25"/>
    <mergeCell ref="AF28:AF29"/>
    <mergeCell ref="AF31:AF32"/>
    <mergeCell ref="AF34:AF35"/>
    <mergeCell ref="AG3:AG4"/>
    <mergeCell ref="AG6:AG7"/>
    <mergeCell ref="AG9:AG10"/>
    <mergeCell ref="AG15:AG16"/>
    <mergeCell ref="AG18:AG19"/>
    <mergeCell ref="AG21:AG22"/>
    <mergeCell ref="AG24:AG25"/>
    <mergeCell ref="AG28:AG29"/>
    <mergeCell ref="AG31:AG32"/>
    <mergeCell ref="AG34:AG35"/>
    <mergeCell ref="AH3:AH4"/>
    <mergeCell ref="AH6:AH7"/>
    <mergeCell ref="AH9:AH10"/>
    <mergeCell ref="AH15:AH16"/>
    <mergeCell ref="AH18:AH19"/>
    <mergeCell ref="AH21:AH22"/>
    <mergeCell ref="AH24:AH25"/>
    <mergeCell ref="AH31:AH32"/>
    <mergeCell ref="AH34:AH35"/>
  </mergeCells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37"/>
  <sheetViews>
    <sheetView topLeftCell="B1" workbookViewId="0">
      <selection activeCell="AJ10" sqref="AJ10"/>
    </sheetView>
  </sheetViews>
  <sheetFormatPr defaultColWidth="9" defaultRowHeight="15"/>
  <cols>
    <col min="1" max="1" width="4.26666666666667" hidden="1" customWidth="1"/>
    <col min="2" max="2" width="29.6285714285714" customWidth="1"/>
    <col min="3" max="3" width="21" hidden="1" customWidth="1"/>
    <col min="4" max="4" width="9.90476190476191" hidden="1" customWidth="1"/>
    <col min="5" max="5" width="14.2666666666667" hidden="1" customWidth="1"/>
    <col min="6" max="6" width="13.8190476190476" hidden="1" customWidth="1"/>
    <col min="7" max="7" width="9.90476190476191" customWidth="1"/>
    <col min="8" max="8" width="14.2666666666667" hidden="1" customWidth="1"/>
    <col min="9" max="9" width="13.8190476190476" hidden="1" customWidth="1"/>
    <col min="10" max="10" width="9.90476190476191" customWidth="1"/>
    <col min="11" max="11" width="14.2666666666667" hidden="1" customWidth="1"/>
    <col min="12" max="12" width="13.8190476190476" hidden="1" customWidth="1"/>
    <col min="13" max="13" width="9.90476190476191" customWidth="1"/>
    <col min="14" max="14" width="14.2666666666667" hidden="1" customWidth="1"/>
    <col min="15" max="15" width="13.8190476190476" hidden="1" customWidth="1"/>
    <col min="16" max="16" width="9.90476190476191" customWidth="1"/>
    <col min="17" max="17" width="14.2666666666667" hidden="1" customWidth="1"/>
    <col min="18" max="18" width="13.8190476190476" hidden="1" customWidth="1"/>
    <col min="19" max="19" width="9.90476190476191" hidden="1" customWidth="1"/>
    <col min="20" max="20" width="14.2666666666667" hidden="1" customWidth="1"/>
    <col min="21" max="21" width="13.8190476190476" hidden="1" customWidth="1"/>
    <col min="22" max="22" width="9.90476190476191" hidden="1" customWidth="1"/>
    <col min="23" max="23" width="14.2666666666667" hidden="1" customWidth="1"/>
    <col min="24" max="24" width="13.8190476190476" hidden="1" customWidth="1"/>
    <col min="25" max="25" width="9.90476190476191" hidden="1" customWidth="1"/>
    <col min="26" max="26" width="14.2666666666667" hidden="1" customWidth="1"/>
    <col min="27" max="27" width="13.8190476190476" hidden="1" customWidth="1"/>
    <col min="28" max="28" width="9.90476190476191" hidden="1" customWidth="1"/>
    <col min="29" max="29" width="14.2666666666667" hidden="1" customWidth="1"/>
    <col min="30" max="30" width="13.8190476190476" hidden="1" customWidth="1"/>
    <col min="31" max="31" width="9.90476190476191" hidden="1" customWidth="1"/>
    <col min="32" max="32" width="14.2666666666667" hidden="1" customWidth="1"/>
    <col min="33" max="33" width="13.8190476190476" hidden="1" customWidth="1"/>
    <col min="34" max="34" width="9.90476190476191" hidden="1" customWidth="1"/>
  </cols>
  <sheetData>
    <row r="1" s="27" customFormat="1" ht="74" customHeight="1" spans="1:34">
      <c r="A1" s="28" t="s">
        <v>473</v>
      </c>
      <c r="B1" s="29"/>
      <c r="C1" s="29"/>
      <c r="D1" s="30"/>
      <c r="E1" s="31" t="s">
        <v>474</v>
      </c>
      <c r="F1" s="32"/>
      <c r="G1" s="33"/>
      <c r="H1" s="31" t="s">
        <v>475</v>
      </c>
      <c r="I1" s="32"/>
      <c r="J1" s="33"/>
      <c r="K1" s="31" t="s">
        <v>476</v>
      </c>
      <c r="L1" s="32"/>
      <c r="M1" s="33"/>
      <c r="N1" s="31" t="s">
        <v>477</v>
      </c>
      <c r="O1" s="32"/>
      <c r="P1" s="33"/>
      <c r="Q1" s="31" t="s">
        <v>478</v>
      </c>
      <c r="R1" s="32"/>
      <c r="S1" s="33"/>
      <c r="T1" s="31" t="s">
        <v>479</v>
      </c>
      <c r="U1" s="32"/>
      <c r="V1" s="33"/>
      <c r="W1" s="31" t="s">
        <v>480</v>
      </c>
      <c r="X1" s="32"/>
      <c r="Y1" s="33"/>
      <c r="Z1" s="31" t="s">
        <v>481</v>
      </c>
      <c r="AA1" s="32"/>
      <c r="AB1" s="33"/>
      <c r="AC1" s="216" t="s">
        <v>482</v>
      </c>
      <c r="AD1" s="217"/>
      <c r="AE1" s="218"/>
      <c r="AF1" s="216" t="s">
        <v>483</v>
      </c>
      <c r="AG1" s="217"/>
      <c r="AH1" s="218"/>
    </row>
    <row r="2" ht="15.75" spans="1:34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6"/>
      <c r="H2" s="36"/>
      <c r="I2" s="36"/>
      <c r="J2" s="36">
        <v>1</v>
      </c>
      <c r="K2" s="36"/>
      <c r="L2" s="36"/>
      <c r="M2" s="36">
        <v>2</v>
      </c>
      <c r="N2" s="36"/>
      <c r="O2" s="36"/>
      <c r="P2" s="36"/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</row>
    <row r="3" spans="1:34">
      <c r="A3" s="2">
        <v>1</v>
      </c>
      <c r="B3" s="2" t="s">
        <v>65</v>
      </c>
      <c r="C3" s="37" t="s">
        <v>161</v>
      </c>
      <c r="D3" s="2" t="s">
        <v>162</v>
      </c>
      <c r="E3" s="20">
        <v>1004593941</v>
      </c>
      <c r="F3" s="20">
        <v>49755000</v>
      </c>
      <c r="G3" s="38">
        <f>E3/F3</f>
        <v>20.1908138076575</v>
      </c>
      <c r="H3" s="20">
        <v>1961900000</v>
      </c>
      <c r="I3" s="20">
        <v>921000</v>
      </c>
      <c r="J3" s="96">
        <f>H3/I3</f>
        <v>2130.18458197611</v>
      </c>
      <c r="K3" s="20">
        <v>953263668</v>
      </c>
      <c r="L3" s="20">
        <v>30734018</v>
      </c>
      <c r="M3" s="96">
        <f>K3/L3</f>
        <v>31.0165650322714</v>
      </c>
      <c r="N3" s="20">
        <v>794108004</v>
      </c>
      <c r="O3" s="20">
        <v>54568085</v>
      </c>
      <c r="P3" s="38">
        <f>N3/O3</f>
        <v>14.5526089838044</v>
      </c>
      <c r="Q3" s="20">
        <v>-400600000</v>
      </c>
      <c r="R3" s="20">
        <v>1948890</v>
      </c>
      <c r="S3" s="39">
        <f>Q3/R3</f>
        <v>-205.552904473829</v>
      </c>
      <c r="T3" s="20">
        <v>-660379550</v>
      </c>
      <c r="U3" s="20">
        <v>45676857</v>
      </c>
      <c r="V3" s="39">
        <f>T3/U3</f>
        <v>-14.4576398940934</v>
      </c>
      <c r="W3" s="20">
        <v>-607572000</v>
      </c>
      <c r="X3" s="20">
        <v>1210000</v>
      </c>
      <c r="Y3" s="260">
        <f>W3/X3</f>
        <v>-502.125619834711</v>
      </c>
      <c r="Z3" s="20">
        <v>6150264</v>
      </c>
      <c r="AA3" s="20">
        <v>30750500</v>
      </c>
      <c r="AB3" s="49">
        <f>Z3/AA3</f>
        <v>0.200005333246614</v>
      </c>
      <c r="AC3" s="20">
        <v>8928363</v>
      </c>
      <c r="AD3" s="20">
        <v>6000000</v>
      </c>
      <c r="AE3" s="49">
        <f>AC3/AD3</f>
        <v>1.4880605</v>
      </c>
      <c r="AF3" s="20">
        <f>AF5*2</f>
        <v>43925580</v>
      </c>
      <c r="AG3" s="20">
        <v>728626</v>
      </c>
      <c r="AH3" s="38">
        <f>AF3/AG3</f>
        <v>60.2854962628289</v>
      </c>
    </row>
    <row r="4" spans="1:34">
      <c r="A4" s="2"/>
      <c r="B4" s="2"/>
      <c r="C4" s="2" t="s">
        <v>163</v>
      </c>
      <c r="D4" s="2"/>
      <c r="E4" s="20"/>
      <c r="F4" s="20"/>
      <c r="G4" s="38"/>
      <c r="H4" s="20"/>
      <c r="I4" s="20"/>
      <c r="J4" s="96"/>
      <c r="K4" s="20"/>
      <c r="L4" s="20"/>
      <c r="M4" s="96"/>
      <c r="N4" s="20"/>
      <c r="O4" s="20"/>
      <c r="P4" s="38"/>
      <c r="Q4" s="20"/>
      <c r="R4" s="20"/>
      <c r="S4" s="39"/>
      <c r="T4" s="20"/>
      <c r="U4" s="20"/>
      <c r="V4" s="39"/>
      <c r="W4" s="20"/>
      <c r="X4" s="20"/>
      <c r="Y4" s="260"/>
      <c r="Z4" s="20"/>
      <c r="AA4" s="20"/>
      <c r="AB4" s="49"/>
      <c r="AC4" s="20"/>
      <c r="AD4" s="20"/>
      <c r="AE4" s="49"/>
      <c r="AF4" s="20"/>
      <c r="AG4" s="20"/>
      <c r="AH4" s="38"/>
    </row>
    <row r="5" hidden="1" spans="1:34">
      <c r="E5" s="51"/>
      <c r="F5" s="6"/>
      <c r="G5" s="40"/>
      <c r="H5" s="51"/>
      <c r="I5" s="6"/>
      <c r="J5" s="40"/>
      <c r="K5" s="51"/>
      <c r="L5" s="6"/>
      <c r="M5" s="40"/>
      <c r="N5" s="51"/>
      <c r="O5" s="6"/>
      <c r="P5" s="40"/>
      <c r="Q5" s="51"/>
      <c r="R5" s="261" t="s">
        <v>484</v>
      </c>
      <c r="S5" s="40"/>
      <c r="T5" s="51"/>
      <c r="U5" s="6"/>
      <c r="V5" s="40"/>
      <c r="W5" s="51"/>
      <c r="X5" s="6"/>
      <c r="Y5" s="40"/>
      <c r="Z5" s="51"/>
      <c r="AA5" s="6"/>
      <c r="AB5" s="40"/>
      <c r="AC5" s="51"/>
      <c r="AD5" s="6"/>
      <c r="AE5" s="40"/>
      <c r="AF5" s="51">
        <v>21962790</v>
      </c>
      <c r="AG5" s="262" t="s">
        <v>485</v>
      </c>
      <c r="AH5" s="38"/>
    </row>
    <row r="6" spans="1:34">
      <c r="A6" s="2">
        <v>2</v>
      </c>
      <c r="B6" s="41" t="s">
        <v>166</v>
      </c>
      <c r="C6" s="37" t="s">
        <v>167</v>
      </c>
      <c r="D6" s="2" t="s">
        <v>168</v>
      </c>
      <c r="E6" s="20">
        <v>865.81</v>
      </c>
      <c r="F6" s="42">
        <f>G3</f>
        <v>20.1908138076575</v>
      </c>
      <c r="G6" s="38">
        <f>E6/F6</f>
        <v>42.8813820110428</v>
      </c>
      <c r="H6" s="20">
        <v>46340</v>
      </c>
      <c r="I6" s="42">
        <f>J3</f>
        <v>2130.18458197611</v>
      </c>
      <c r="J6" s="96">
        <f>H6/I6</f>
        <v>21.7539833834548</v>
      </c>
      <c r="K6" s="20">
        <v>1236.54</v>
      </c>
      <c r="L6" s="42">
        <f>M3</f>
        <v>31.0165650322714</v>
      </c>
      <c r="M6" s="38">
        <f>K6/L6</f>
        <v>39.8670838860923</v>
      </c>
      <c r="N6" s="20">
        <v>535</v>
      </c>
      <c r="O6" s="42">
        <f>P3</f>
        <v>14.5526089838044</v>
      </c>
      <c r="P6" s="96">
        <f>N6/O6</f>
        <v>36.7631673877449</v>
      </c>
      <c r="Q6" s="20">
        <v>17498</v>
      </c>
      <c r="R6" s="42">
        <f>S3</f>
        <v>-205.552904473829</v>
      </c>
      <c r="S6" s="39">
        <f>Q6/R6</f>
        <v>-85.1265032950574</v>
      </c>
      <c r="T6" s="20">
        <v>514.49</v>
      </c>
      <c r="U6" s="42">
        <f>V3</f>
        <v>-14.4576398940934</v>
      </c>
      <c r="V6" s="39">
        <f>T6/U6</f>
        <v>-35.5860295157989</v>
      </c>
      <c r="W6" s="20">
        <v>12800</v>
      </c>
      <c r="X6" s="42">
        <f>Y3</f>
        <v>-502.125619834711</v>
      </c>
      <c r="Y6" s="39">
        <f>W6/X6</f>
        <v>-25.4916289756605</v>
      </c>
      <c r="Z6" s="20">
        <v>464.11</v>
      </c>
      <c r="AA6" s="42">
        <f>AB3</f>
        <v>0.200005333246614</v>
      </c>
      <c r="AB6" s="39">
        <f>Z6/AA6</f>
        <v>2320.48812132292</v>
      </c>
      <c r="AC6" s="20">
        <v>1517.76</v>
      </c>
      <c r="AD6" s="42">
        <f>AE3</f>
        <v>1.4880605</v>
      </c>
      <c r="AE6" s="39">
        <f>AC6/AD6</f>
        <v>1019.95852991192</v>
      </c>
      <c r="AF6" s="20">
        <v>281.8</v>
      </c>
      <c r="AG6" s="42">
        <f>AH3</f>
        <v>60.2854962628289</v>
      </c>
      <c r="AH6" s="38">
        <f>AF6/AG6</f>
        <v>4.67442448796351</v>
      </c>
    </row>
    <row r="7" spans="1:34">
      <c r="A7" s="2"/>
      <c r="B7" s="41"/>
      <c r="C7" s="2" t="s">
        <v>169</v>
      </c>
      <c r="D7" s="2"/>
      <c r="E7" s="20"/>
      <c r="F7" s="42"/>
      <c r="G7" s="38"/>
      <c r="H7" s="20"/>
      <c r="I7" s="42"/>
      <c r="J7" s="96"/>
      <c r="K7" s="20"/>
      <c r="L7" s="42"/>
      <c r="M7" s="38"/>
      <c r="N7" s="20"/>
      <c r="O7" s="42"/>
      <c r="P7" s="96"/>
      <c r="Q7" s="20"/>
      <c r="R7" s="42"/>
      <c r="S7" s="39"/>
      <c r="T7" s="20"/>
      <c r="U7" s="42"/>
      <c r="V7" s="39"/>
      <c r="W7" s="20"/>
      <c r="X7" s="42"/>
      <c r="Y7" s="39"/>
      <c r="Z7" s="20"/>
      <c r="AA7" s="42"/>
      <c r="AB7" s="39"/>
      <c r="AC7" s="20"/>
      <c r="AD7" s="42"/>
      <c r="AE7" s="39"/>
      <c r="AF7" s="20"/>
      <c r="AG7" s="42"/>
      <c r="AH7" s="38"/>
    </row>
    <row r="8" hidden="1" spans="1:34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</row>
    <row r="9" spans="1:34">
      <c r="A9" s="2">
        <v>3</v>
      </c>
      <c r="B9" s="2" t="s">
        <v>486</v>
      </c>
      <c r="C9" s="37" t="s">
        <v>487</v>
      </c>
      <c r="D9" s="2" t="s">
        <v>488</v>
      </c>
      <c r="E9" s="20">
        <v>2062383580</v>
      </c>
      <c r="F9" s="20">
        <v>9550348392</v>
      </c>
      <c r="G9" s="44">
        <f>(E9/F9)</f>
        <v>0.215948517828689</v>
      </c>
      <c r="H9" s="20">
        <f>I9-H11</f>
        <v>4655600000</v>
      </c>
      <c r="I9" s="20">
        <v>8412400000</v>
      </c>
      <c r="J9" s="113">
        <f>(H9/I9)</f>
        <v>0.553421140221578</v>
      </c>
      <c r="K9" s="20">
        <v>2168669760</v>
      </c>
      <c r="L9" s="20">
        <v>7201150896</v>
      </c>
      <c r="M9" s="113">
        <f>(K9/L9)</f>
        <v>0.301155994551458</v>
      </c>
      <c r="N9" s="20">
        <v>1729378590</v>
      </c>
      <c r="O9" s="20">
        <v>7764296397</v>
      </c>
      <c r="P9" s="44">
        <f>(N9/O9)</f>
        <v>0.222734746533917</v>
      </c>
      <c r="Q9" s="20">
        <v>2687748000</v>
      </c>
      <c r="R9" s="20">
        <v>10921489000</v>
      </c>
      <c r="S9" s="44">
        <f>(Q9/R9)</f>
        <v>0.246097212568726</v>
      </c>
      <c r="T9" s="20">
        <v>1025980540</v>
      </c>
      <c r="U9" s="20">
        <v>5050843335</v>
      </c>
      <c r="V9" s="44">
        <f>(T9/U9)</f>
        <v>0.203130541169319</v>
      </c>
      <c r="W9" s="20">
        <v>1654353000</v>
      </c>
      <c r="X9" s="20">
        <v>7613301000</v>
      </c>
      <c r="Y9" s="44">
        <f>(W9/X9)</f>
        <v>0.217297726702254</v>
      </c>
      <c r="Z9" s="20">
        <v>700691808</v>
      </c>
      <c r="AA9" s="20">
        <v>2615209325</v>
      </c>
      <c r="AB9" s="44">
        <f>(Z9/AA9)</f>
        <v>0.267929531032855</v>
      </c>
      <c r="AC9" s="20">
        <f>AD9-AC11</f>
        <v>179815957</v>
      </c>
      <c r="AD9" s="20">
        <v>277960512</v>
      </c>
      <c r="AE9" s="44">
        <f>(AC9/AD9)</f>
        <v>0.646911878619651</v>
      </c>
      <c r="AF9" s="20">
        <v>160054570</v>
      </c>
      <c r="AG9" s="20">
        <v>549671714</v>
      </c>
      <c r="AH9" s="44">
        <f>(AF9/AG9)</f>
        <v>0.291182110928124</v>
      </c>
    </row>
    <row r="10" spans="1:34">
      <c r="A10" s="2"/>
      <c r="B10" s="2"/>
      <c r="C10" s="2" t="s">
        <v>489</v>
      </c>
      <c r="D10" s="2"/>
      <c r="E10" s="20"/>
      <c r="F10" s="20"/>
      <c r="G10" s="44"/>
      <c r="H10" s="20"/>
      <c r="I10" s="20"/>
      <c r="J10" s="113"/>
      <c r="K10" s="20"/>
      <c r="L10" s="20"/>
      <c r="M10" s="113"/>
      <c r="N10" s="20"/>
      <c r="O10" s="20"/>
      <c r="P10" s="44"/>
      <c r="Q10" s="20"/>
      <c r="R10" s="20"/>
      <c r="S10" s="44"/>
      <c r="T10" s="20"/>
      <c r="U10" s="20"/>
      <c r="V10" s="44"/>
      <c r="W10" s="20"/>
      <c r="X10" s="20"/>
      <c r="Y10" s="44"/>
      <c r="Z10" s="20"/>
      <c r="AA10" s="20"/>
      <c r="AB10" s="44"/>
      <c r="AC10" s="20"/>
      <c r="AD10" s="20"/>
      <c r="AE10" s="44"/>
      <c r="AF10" s="20"/>
      <c r="AG10" s="20"/>
      <c r="AH10" s="44"/>
    </row>
    <row r="11" hidden="1" spans="1:34">
      <c r="A11" s="2"/>
      <c r="B11" s="2"/>
      <c r="C11" s="226" t="s">
        <v>490</v>
      </c>
      <c r="D11" s="263"/>
      <c r="E11" s="20"/>
      <c r="F11" s="42"/>
      <c r="G11" s="38"/>
      <c r="H11" s="52">
        <v>3756800000</v>
      </c>
      <c r="I11" s="42"/>
      <c r="J11" s="38"/>
      <c r="K11" s="52"/>
      <c r="L11" s="42"/>
      <c r="M11" s="38"/>
      <c r="N11" s="52"/>
      <c r="O11" s="42"/>
      <c r="P11" s="38"/>
      <c r="Q11" s="52"/>
      <c r="R11" s="42"/>
      <c r="S11" s="38"/>
      <c r="T11" s="52"/>
      <c r="U11" s="42"/>
      <c r="V11" s="38"/>
      <c r="W11" s="52"/>
      <c r="X11" s="42"/>
      <c r="Y11" s="38"/>
      <c r="Z11" s="52"/>
      <c r="AA11" s="42"/>
      <c r="AB11" s="38"/>
      <c r="AC11" s="52">
        <v>98144555</v>
      </c>
      <c r="AD11" s="42"/>
      <c r="AE11" s="38"/>
      <c r="AF11" s="52"/>
      <c r="AG11" s="42"/>
      <c r="AH11" s="38"/>
    </row>
    <row r="12" hidden="1" spans="1:34">
      <c r="A12" s="2"/>
      <c r="B12" s="2"/>
      <c r="C12" s="2"/>
      <c r="D12" s="2"/>
      <c r="E12" s="20"/>
      <c r="F12" s="42"/>
      <c r="G12" s="38"/>
      <c r="H12" s="52"/>
      <c r="I12" s="42"/>
      <c r="J12" s="38"/>
      <c r="K12" s="52"/>
      <c r="L12" s="42"/>
      <c r="M12" s="38"/>
      <c r="N12" s="52"/>
      <c r="O12" s="42"/>
      <c r="P12" s="38"/>
      <c r="Q12" s="52"/>
      <c r="R12" s="42"/>
      <c r="S12" s="38"/>
      <c r="T12" s="52"/>
      <c r="U12" s="42"/>
      <c r="V12" s="38"/>
      <c r="W12" s="52"/>
      <c r="X12" s="42"/>
      <c r="Y12" s="38"/>
      <c r="Z12" s="52"/>
      <c r="AA12" s="42"/>
      <c r="AB12" s="38"/>
      <c r="AC12" s="52"/>
      <c r="AD12" s="42"/>
      <c r="AE12" s="38"/>
      <c r="AF12" s="52"/>
      <c r="AG12" s="42"/>
      <c r="AH12" s="38"/>
    </row>
    <row r="13" spans="1:34">
      <c r="A13" s="2">
        <v>4</v>
      </c>
      <c r="B13" s="2" t="s">
        <v>170</v>
      </c>
      <c r="C13" s="2" t="s">
        <v>491</v>
      </c>
      <c r="D13" s="2" t="s">
        <v>175</v>
      </c>
      <c r="E13" s="20">
        <f>E3</f>
        <v>1004593941</v>
      </c>
      <c r="F13" s="20">
        <v>149378841</v>
      </c>
      <c r="G13" s="113">
        <f>((E13-F13)/F13)</f>
        <v>5.72514215718142</v>
      </c>
      <c r="H13" s="20">
        <f>H3</f>
        <v>1961900000</v>
      </c>
      <c r="I13" s="20">
        <v>1955000000</v>
      </c>
      <c r="J13" s="44">
        <f>((H13-I13)/I13)</f>
        <v>0.00352941176470588</v>
      </c>
      <c r="K13" s="20">
        <f>K3</f>
        <v>953263668</v>
      </c>
      <c r="L13" s="20">
        <v>365048730</v>
      </c>
      <c r="M13" s="44">
        <f>((K13-L13)/L13)</f>
        <v>1.61133265139698</v>
      </c>
      <c r="N13" s="20">
        <f>N3</f>
        <v>794108004</v>
      </c>
      <c r="O13" s="20">
        <v>259637678</v>
      </c>
      <c r="P13" s="113">
        <f>((N13-O13)/O13)</f>
        <v>2.05852374785142</v>
      </c>
      <c r="Q13" s="20">
        <f>Q3</f>
        <v>-400600000</v>
      </c>
      <c r="R13" s="20">
        <v>383006000</v>
      </c>
      <c r="S13" s="72">
        <f>((Q13-R13)/R13)</f>
        <v>-2.04593661718093</v>
      </c>
      <c r="T13" s="20">
        <f>T3</f>
        <v>-660379550</v>
      </c>
      <c r="U13" s="20">
        <v>-1447080360</v>
      </c>
      <c r="V13" s="44">
        <f>((T13-U13)/-U13)</f>
        <v>0.54364694024318</v>
      </c>
      <c r="W13" s="20">
        <f>W3</f>
        <v>-607572000</v>
      </c>
      <c r="X13" s="20">
        <v>339682000</v>
      </c>
      <c r="Y13" s="72">
        <f>((W13-X13)/X13)</f>
        <v>-2.78864938383547</v>
      </c>
      <c r="Z13" s="20">
        <f>Z3</f>
        <v>6150264</v>
      </c>
      <c r="AA13" s="20">
        <v>-471008842</v>
      </c>
      <c r="AB13" s="44">
        <f>((Z13-AA13)/-AA13)</f>
        <v>1.01305764022154</v>
      </c>
      <c r="AC13" s="20">
        <f>AC3</f>
        <v>8928363</v>
      </c>
      <c r="AD13" s="20">
        <v>7560063</v>
      </c>
      <c r="AE13" s="44">
        <f>((AC13-AD13)/AD13)</f>
        <v>0.180990555237437</v>
      </c>
      <c r="AF13" s="20">
        <f>AF3</f>
        <v>43925580</v>
      </c>
      <c r="AG13" s="20">
        <v>7865432</v>
      </c>
      <c r="AH13" s="44">
        <f>((AF13-AG13)/AG13)</f>
        <v>4.58463667348469</v>
      </c>
    </row>
    <row r="14" hidden="1" spans="1:34">
      <c r="A14" s="45"/>
      <c r="E14" s="45"/>
      <c r="G14" s="48"/>
      <c r="H14" s="45"/>
      <c r="J14" s="48"/>
      <c r="K14" s="45"/>
      <c r="M14" s="48"/>
      <c r="N14" s="45"/>
      <c r="P14" s="48"/>
      <c r="Q14" s="45"/>
      <c r="S14" s="264"/>
      <c r="T14" s="45"/>
      <c r="V14" s="264" t="s">
        <v>492</v>
      </c>
      <c r="W14" s="45"/>
      <c r="Y14" s="264"/>
      <c r="Z14" s="45"/>
      <c r="AA14" s="265" t="s">
        <v>493</v>
      </c>
      <c r="AB14" s="264"/>
      <c r="AC14" s="45"/>
      <c r="AD14" s="265"/>
      <c r="AE14" s="264"/>
      <c r="AF14" s="45"/>
      <c r="AG14" s="265"/>
      <c r="AH14" s="264"/>
    </row>
    <row r="15" spans="1:34">
      <c r="A15" s="2">
        <v>5</v>
      </c>
      <c r="B15" s="2" t="s">
        <v>94</v>
      </c>
      <c r="C15" s="37" t="s">
        <v>161</v>
      </c>
      <c r="D15" s="2" t="s">
        <v>175</v>
      </c>
      <c r="E15" s="20">
        <f>E3</f>
        <v>1004593941</v>
      </c>
      <c r="F15" s="20">
        <v>10050300094</v>
      </c>
      <c r="G15" s="44">
        <f>E15/F15</f>
        <v>0.0999566114050405</v>
      </c>
      <c r="H15" s="20">
        <f>H3</f>
        <v>1961900000</v>
      </c>
      <c r="I15" s="20">
        <v>5216200000</v>
      </c>
      <c r="J15" s="113">
        <f>H15/I15</f>
        <v>0.376116713316207</v>
      </c>
      <c r="K15" s="20">
        <f>K3</f>
        <v>953263668</v>
      </c>
      <c r="L15" s="20">
        <v>4175055046</v>
      </c>
      <c r="M15" s="113">
        <f>K15/L15</f>
        <v>0.228323616694179</v>
      </c>
      <c r="N15" s="20">
        <f>N3</f>
        <v>794108004</v>
      </c>
      <c r="O15" s="20">
        <v>10289798839</v>
      </c>
      <c r="P15" s="44">
        <f>N15/O15</f>
        <v>0.0771742981981535</v>
      </c>
      <c r="Q15" s="20">
        <f>Q3</f>
        <v>-400600000</v>
      </c>
      <c r="R15" s="20">
        <v>6205929000</v>
      </c>
      <c r="S15" s="72">
        <f>Q15/R15</f>
        <v>-0.0645511735632167</v>
      </c>
      <c r="T15" s="20">
        <f>T3</f>
        <v>-660379550</v>
      </c>
      <c r="U15" s="20">
        <v>8608919932</v>
      </c>
      <c r="V15" s="72">
        <f>T15/U15</f>
        <v>-0.0767087573372961</v>
      </c>
      <c r="W15" s="20">
        <f>W3</f>
        <v>-607572000</v>
      </c>
      <c r="X15" s="20">
        <v>3534137000</v>
      </c>
      <c r="Y15" s="72">
        <f>W15/X15</f>
        <v>-0.17191523701543</v>
      </c>
      <c r="Z15" s="20">
        <f>Z3</f>
        <v>6150264</v>
      </c>
      <c r="AA15" s="20">
        <v>5857647933</v>
      </c>
      <c r="AB15" s="44">
        <f>Z15/AA15</f>
        <v>0.00104995453300488</v>
      </c>
      <c r="AC15" s="20">
        <f>AC3</f>
        <v>8928363</v>
      </c>
      <c r="AD15" s="20">
        <v>623610054</v>
      </c>
      <c r="AE15" s="44">
        <f>AC15/AD15</f>
        <v>0.0143172210626354</v>
      </c>
      <c r="AF15" s="20">
        <f>AF3</f>
        <v>43925580</v>
      </c>
      <c r="AG15" s="20">
        <v>409840802</v>
      </c>
      <c r="AH15" s="44">
        <f>AF15/AG15</f>
        <v>0.107177176566232</v>
      </c>
    </row>
    <row r="16" spans="1:34">
      <c r="A16" s="2"/>
      <c r="B16" s="2"/>
      <c r="C16" s="2" t="s">
        <v>176</v>
      </c>
      <c r="D16" s="2"/>
      <c r="E16" s="20"/>
      <c r="F16" s="2"/>
      <c r="G16" s="44"/>
      <c r="H16" s="20"/>
      <c r="I16" s="2"/>
      <c r="J16" s="113"/>
      <c r="K16" s="20"/>
      <c r="L16" s="2"/>
      <c r="M16" s="113"/>
      <c r="N16" s="20"/>
      <c r="O16" s="2"/>
      <c r="P16" s="44"/>
      <c r="Q16" s="20"/>
      <c r="R16" s="2"/>
      <c r="S16" s="72"/>
      <c r="T16" s="20"/>
      <c r="U16" s="2"/>
      <c r="V16" s="72"/>
      <c r="W16" s="20"/>
      <c r="X16" s="2"/>
      <c r="Y16" s="72"/>
      <c r="Z16" s="20"/>
      <c r="AA16" s="2"/>
      <c r="AB16" s="44"/>
      <c r="AC16" s="20"/>
      <c r="AD16" s="2"/>
      <c r="AE16" s="44"/>
      <c r="AF16" s="20"/>
      <c r="AG16" s="2"/>
      <c r="AH16" s="44"/>
    </row>
    <row r="17" hidden="1" spans="1:34">
      <c r="A17" s="2"/>
      <c r="B17" s="2"/>
      <c r="C17" s="2"/>
      <c r="D17" s="2"/>
      <c r="E17" s="20"/>
      <c r="F17" s="2"/>
      <c r="G17" s="38"/>
      <c r="H17" s="20"/>
      <c r="I17" s="2"/>
      <c r="J17" s="38"/>
      <c r="K17" s="20"/>
      <c r="L17" s="2"/>
      <c r="M17" s="38"/>
      <c r="N17" s="20"/>
      <c r="O17" s="2"/>
      <c r="P17" s="38"/>
      <c r="Q17" s="266"/>
      <c r="R17" s="266"/>
      <c r="S17" s="38"/>
      <c r="T17" s="267"/>
      <c r="U17" s="268"/>
      <c r="V17" s="38"/>
      <c r="W17" s="267"/>
      <c r="X17" s="268"/>
      <c r="Y17" s="38"/>
      <c r="Z17" s="267"/>
      <c r="AA17" s="268"/>
      <c r="AB17" s="38"/>
      <c r="AC17" s="267"/>
      <c r="AD17" s="268"/>
      <c r="AE17" s="38"/>
      <c r="AF17" s="267"/>
      <c r="AG17" s="268"/>
      <c r="AH17" s="38"/>
    </row>
    <row r="18" spans="1:34">
      <c r="A18" s="2">
        <v>6</v>
      </c>
      <c r="B18" s="2" t="s">
        <v>180</v>
      </c>
      <c r="C18" s="37" t="s">
        <v>176</v>
      </c>
      <c r="D18" s="2" t="s">
        <v>181</v>
      </c>
      <c r="E18" s="20">
        <f>F15</f>
        <v>10050300094</v>
      </c>
      <c r="F18" s="20">
        <f>F3</f>
        <v>49755000</v>
      </c>
      <c r="G18" s="96">
        <f>E18/F18</f>
        <v>201.995781207919</v>
      </c>
      <c r="H18" s="20">
        <f>I15</f>
        <v>5216200000</v>
      </c>
      <c r="I18" s="20">
        <f>I3</f>
        <v>921000</v>
      </c>
      <c r="J18" s="96">
        <f>H18/I18</f>
        <v>5663.62649294245</v>
      </c>
      <c r="K18" s="20">
        <f>L15</f>
        <v>4175055046</v>
      </c>
      <c r="L18" s="20">
        <f>L3</f>
        <v>30734018</v>
      </c>
      <c r="M18" s="38">
        <f>K18/L18</f>
        <v>135.844751766593</v>
      </c>
      <c r="N18" s="20">
        <f>O15</f>
        <v>10289798839</v>
      </c>
      <c r="O18" s="20">
        <f>O3</f>
        <v>54568085</v>
      </c>
      <c r="P18" s="38">
        <f>N18/O18</f>
        <v>188.568076724701</v>
      </c>
      <c r="Q18" s="20">
        <f>R15</f>
        <v>6205929000</v>
      </c>
      <c r="R18" s="20">
        <f>R3</f>
        <v>1948890</v>
      </c>
      <c r="S18" s="38">
        <f>Q18/R18</f>
        <v>3184.34031679571</v>
      </c>
      <c r="T18" s="20">
        <f>U15</f>
        <v>8608919932</v>
      </c>
      <c r="U18" s="20">
        <f>U3</f>
        <v>45676857</v>
      </c>
      <c r="V18" s="38">
        <f>T18/U18</f>
        <v>188.474437547224</v>
      </c>
      <c r="W18" s="20">
        <f>X15</f>
        <v>3534137000</v>
      </c>
      <c r="X18" s="20">
        <f>X3</f>
        <v>1210000</v>
      </c>
      <c r="Y18" s="38">
        <f>W18/X18</f>
        <v>2920.77438016529</v>
      </c>
      <c r="Z18" s="20">
        <f>AA15</f>
        <v>5857647933</v>
      </c>
      <c r="AA18" s="20">
        <f>AA3</f>
        <v>30750500</v>
      </c>
      <c r="AB18" s="38">
        <f>Z18/AA18</f>
        <v>190.489518316775</v>
      </c>
      <c r="AC18" s="20">
        <f>AD15</f>
        <v>623610054</v>
      </c>
      <c r="AD18" s="20">
        <f>AD3</f>
        <v>6000000</v>
      </c>
      <c r="AE18" s="38">
        <f>AC18/AD18</f>
        <v>103.935009</v>
      </c>
      <c r="AF18" s="20">
        <f>AG15</f>
        <v>409840802</v>
      </c>
      <c r="AG18" s="20">
        <f>AG3</f>
        <v>728626</v>
      </c>
      <c r="AH18" s="38">
        <f>AF18/AG18</f>
        <v>562.484459791443</v>
      </c>
    </row>
    <row r="19" spans="1:34">
      <c r="A19" s="2"/>
      <c r="B19" s="2"/>
      <c r="C19" s="6" t="s">
        <v>163</v>
      </c>
      <c r="D19" s="2"/>
      <c r="E19" s="20"/>
      <c r="F19" s="20"/>
      <c r="G19" s="96"/>
      <c r="H19" s="20"/>
      <c r="I19" s="20"/>
      <c r="J19" s="96"/>
      <c r="K19" s="20"/>
      <c r="L19" s="20"/>
      <c r="M19" s="38"/>
      <c r="N19" s="20"/>
      <c r="O19" s="20"/>
      <c r="P19" s="38"/>
      <c r="Q19" s="20"/>
      <c r="R19" s="20"/>
      <c r="S19" s="38"/>
      <c r="T19" s="20"/>
      <c r="U19" s="20"/>
      <c r="V19" s="38"/>
      <c r="W19" s="20"/>
      <c r="X19" s="20"/>
      <c r="Y19" s="38"/>
      <c r="Z19" s="20"/>
      <c r="AA19" s="20"/>
      <c r="AB19" s="38"/>
      <c r="AC19" s="20"/>
      <c r="AD19" s="20"/>
      <c r="AE19" s="38"/>
      <c r="AF19" s="20"/>
      <c r="AG19" s="20"/>
      <c r="AH19" s="38"/>
    </row>
    <row r="20" hidden="1" spans="1:34">
      <c r="A20" s="2"/>
      <c r="B20" s="2"/>
      <c r="C20" s="6"/>
      <c r="D20" s="2"/>
      <c r="E20" s="20"/>
      <c r="F20" s="20"/>
      <c r="G20" s="38"/>
      <c r="H20" s="20"/>
      <c r="I20" s="20"/>
      <c r="J20" s="38"/>
      <c r="K20" s="20"/>
      <c r="L20" s="20"/>
      <c r="M20" s="38"/>
      <c r="N20" s="20"/>
      <c r="O20" s="20"/>
      <c r="P20" s="38"/>
      <c r="Q20" s="20"/>
      <c r="R20" s="20"/>
      <c r="S20" s="38"/>
      <c r="T20" s="20"/>
      <c r="U20" s="20"/>
      <c r="V20" s="38"/>
      <c r="W20" s="20"/>
      <c r="X20" s="20"/>
      <c r="Y20" s="38"/>
      <c r="Z20" s="20"/>
      <c r="AA20" s="20"/>
      <c r="AB20" s="38"/>
      <c r="AC20" s="20"/>
      <c r="AD20" s="20"/>
      <c r="AE20" s="38"/>
      <c r="AF20" s="20"/>
      <c r="AG20" s="20"/>
      <c r="AH20" s="38"/>
    </row>
    <row r="21" spans="1:34">
      <c r="A21" s="2">
        <v>7</v>
      </c>
      <c r="B21" s="2" t="s">
        <v>182</v>
      </c>
      <c r="C21" s="37" t="s">
        <v>183</v>
      </c>
      <c r="D21" s="50" t="s">
        <v>184</v>
      </c>
      <c r="E21" s="20">
        <f>E6</f>
        <v>865.81</v>
      </c>
      <c r="F21" s="42">
        <f>G18</f>
        <v>201.995781207919</v>
      </c>
      <c r="G21" s="96">
        <f>E21/F21</f>
        <v>4.2862776381889</v>
      </c>
      <c r="H21" s="20">
        <f>H6</f>
        <v>46340</v>
      </c>
      <c r="I21" s="42">
        <f>J18</f>
        <v>5663.62649294245</v>
      </c>
      <c r="J21" s="38">
        <f>H21/I21</f>
        <v>8.18203673172041</v>
      </c>
      <c r="K21" s="20">
        <f>K6</f>
        <v>1236.54</v>
      </c>
      <c r="L21" s="42">
        <f>M18</f>
        <v>135.844751766593</v>
      </c>
      <c r="M21" s="38">
        <f>K21/L21</f>
        <v>9.10259677992279</v>
      </c>
      <c r="N21" s="20">
        <f>N6</f>
        <v>535</v>
      </c>
      <c r="O21" s="42">
        <f>P18</f>
        <v>188.568076724701</v>
      </c>
      <c r="P21" s="96">
        <f>N21/O21</f>
        <v>2.83717164269046</v>
      </c>
      <c r="Q21" s="20">
        <f>Q6</f>
        <v>17498</v>
      </c>
      <c r="R21" s="42">
        <f>S18</f>
        <v>3184.34031679571</v>
      </c>
      <c r="S21" s="38">
        <f>Q21/R21</f>
        <v>5.49501568902899</v>
      </c>
      <c r="T21" s="20">
        <f>T6</f>
        <v>514.49</v>
      </c>
      <c r="U21" s="42">
        <f>V18</f>
        <v>188.474437547224</v>
      </c>
      <c r="V21" s="38">
        <f>T21/U21</f>
        <v>2.72976010272528</v>
      </c>
      <c r="W21" s="20">
        <f>W6</f>
        <v>12800</v>
      </c>
      <c r="X21" s="42">
        <f>Y18</f>
        <v>2920.77438016529</v>
      </c>
      <c r="Y21" s="38">
        <f>W21/X21</f>
        <v>4.38239943726007</v>
      </c>
      <c r="Z21" s="20">
        <f>Z6</f>
        <v>464.11</v>
      </c>
      <c r="AA21" s="42">
        <f>AB18</f>
        <v>190.489518316775</v>
      </c>
      <c r="AB21" s="38">
        <f>Z21/AA21</f>
        <v>2.43640702176697</v>
      </c>
      <c r="AC21" s="20">
        <f>AC6</f>
        <v>1517.76</v>
      </c>
      <c r="AD21" s="42">
        <f>AE18</f>
        <v>103.935009</v>
      </c>
      <c r="AE21" s="38">
        <f>AC21/AD21</f>
        <v>14.6029717474696</v>
      </c>
      <c r="AF21" s="20">
        <f>AF6</f>
        <v>281.8</v>
      </c>
      <c r="AG21" s="42">
        <f>AH18</f>
        <v>562.484459791443</v>
      </c>
      <c r="AH21" s="38">
        <f>AF21/AG21</f>
        <v>0.500991618691982</v>
      </c>
    </row>
    <row r="22" spans="1:34">
      <c r="A22" s="2"/>
      <c r="B22" s="2"/>
      <c r="C22" s="2" t="s">
        <v>185</v>
      </c>
      <c r="D22" s="2"/>
      <c r="E22" s="20"/>
      <c r="F22" s="42"/>
      <c r="G22" s="96"/>
      <c r="H22" s="20"/>
      <c r="I22" s="42"/>
      <c r="J22" s="38"/>
      <c r="K22" s="20"/>
      <c r="L22" s="42"/>
      <c r="M22" s="38"/>
      <c r="N22" s="20"/>
      <c r="O22" s="42"/>
      <c r="P22" s="96"/>
      <c r="Q22" s="20"/>
      <c r="R22" s="42"/>
      <c r="S22" s="38"/>
      <c r="T22" s="20"/>
      <c r="U22" s="42"/>
      <c r="V22" s="38"/>
      <c r="W22" s="20"/>
      <c r="X22" s="42"/>
      <c r="Y22" s="38"/>
      <c r="Z22" s="20"/>
      <c r="AA22" s="42"/>
      <c r="AB22" s="38"/>
      <c r="AC22" s="20"/>
      <c r="AD22" s="42"/>
      <c r="AE22" s="38"/>
      <c r="AF22" s="20"/>
      <c r="AG22" s="42"/>
      <c r="AH22" s="38"/>
    </row>
    <row r="23" hidden="1" spans="1:34">
      <c r="A23" s="2"/>
      <c r="B23" s="2"/>
      <c r="C23" s="2"/>
      <c r="D23" s="2"/>
      <c r="E23" s="20"/>
      <c r="F23" s="42"/>
      <c r="G23" s="38"/>
      <c r="H23" s="20"/>
      <c r="I23" s="42"/>
      <c r="J23" s="38"/>
      <c r="K23" s="20"/>
      <c r="L23" s="42"/>
      <c r="M23" s="38"/>
      <c r="N23" s="20"/>
      <c r="O23" s="42"/>
      <c r="P23" s="38"/>
      <c r="Q23" s="20"/>
      <c r="R23" s="42"/>
      <c r="S23" s="38"/>
      <c r="T23" s="20"/>
      <c r="U23" s="42"/>
      <c r="V23" s="38"/>
      <c r="W23" s="20"/>
      <c r="X23" s="42"/>
      <c r="Y23" s="38"/>
      <c r="Z23" s="20"/>
      <c r="AA23" s="42"/>
      <c r="AB23" s="38"/>
      <c r="AC23" s="20"/>
      <c r="AD23" s="42"/>
      <c r="AE23" s="38"/>
      <c r="AF23" s="20"/>
      <c r="AG23" s="42"/>
      <c r="AH23" s="38"/>
    </row>
    <row r="24" spans="1:34">
      <c r="A24" s="2">
        <v>8</v>
      </c>
      <c r="B24" s="2" t="s">
        <v>494</v>
      </c>
      <c r="C24" s="37" t="s">
        <v>495</v>
      </c>
      <c r="D24" s="269" t="s">
        <v>496</v>
      </c>
      <c r="E24" s="20">
        <f>E26+F24</f>
        <v>1572199768</v>
      </c>
      <c r="F24" s="20">
        <v>296034769</v>
      </c>
      <c r="G24" s="38">
        <f>E24/F24</f>
        <v>5.31086187379564</v>
      </c>
      <c r="H24" s="20">
        <f>H26+I24</f>
        <v>2466900000</v>
      </c>
      <c r="I24" s="20">
        <v>42400000</v>
      </c>
      <c r="J24" s="38">
        <f>H24/I24</f>
        <v>58.1816037735849</v>
      </c>
      <c r="K24" s="20">
        <v>1289166715</v>
      </c>
      <c r="L24" s="20">
        <v>1895991</v>
      </c>
      <c r="M24" s="96">
        <f>K24/L24</f>
        <v>679.943478107227</v>
      </c>
      <c r="N24" s="20">
        <f>N26+O24</f>
        <v>938296755</v>
      </c>
      <c r="O24" s="20">
        <v>10186913</v>
      </c>
      <c r="P24" s="96">
        <f>N24/O24</f>
        <v>92.108056189348</v>
      </c>
      <c r="Q24" s="20">
        <v>761378000</v>
      </c>
      <c r="R24" s="20">
        <v>238708000</v>
      </c>
      <c r="S24" s="38">
        <f>Q24/R24</f>
        <v>3.18957889974362</v>
      </c>
      <c r="T24" s="20">
        <v>90494709</v>
      </c>
      <c r="U24" s="20">
        <v>892069853</v>
      </c>
      <c r="V24" s="39">
        <f>T24/U24</f>
        <v>0.101443523391884</v>
      </c>
      <c r="W24" s="20">
        <v>421546000</v>
      </c>
      <c r="X24" s="20">
        <v>209539000</v>
      </c>
      <c r="Y24" s="38">
        <f>W24/X24</f>
        <v>2.01177823698691</v>
      </c>
      <c r="Z24" s="20">
        <v>437045821</v>
      </c>
      <c r="AA24" s="20">
        <v>403338395</v>
      </c>
      <c r="AB24" s="38">
        <f>Z24/AA24</f>
        <v>1.08357108179597</v>
      </c>
      <c r="AC24" s="20">
        <f>AD24+AC26</f>
        <v>76127104</v>
      </c>
      <c r="AD24" s="20">
        <v>64624657</v>
      </c>
      <c r="AE24" s="38">
        <f>AC24/AD24</f>
        <v>1.1779885191499</v>
      </c>
      <c r="AF24" s="20">
        <v>41344452</v>
      </c>
      <c r="AG24" s="20">
        <v>13890964</v>
      </c>
      <c r="AH24" s="38">
        <f>AF24/AG24</f>
        <v>2.97635585262477</v>
      </c>
    </row>
    <row r="25" spans="1:34">
      <c r="A25" s="2"/>
      <c r="B25" s="2"/>
      <c r="C25" s="2" t="s">
        <v>497</v>
      </c>
      <c r="D25" s="2"/>
      <c r="E25" s="20"/>
      <c r="F25" s="20"/>
      <c r="G25" s="38"/>
      <c r="H25" s="20"/>
      <c r="I25" s="20"/>
      <c r="J25" s="38"/>
      <c r="K25" s="20"/>
      <c r="L25" s="20"/>
      <c r="M25" s="96"/>
      <c r="N25" s="20"/>
      <c r="O25" s="20"/>
      <c r="P25" s="96"/>
      <c r="Q25" s="20"/>
      <c r="R25" s="20"/>
      <c r="S25" s="38"/>
      <c r="T25" s="20"/>
      <c r="U25" s="20"/>
      <c r="V25" s="39"/>
      <c r="W25" s="20"/>
      <c r="X25" s="20"/>
      <c r="Y25" s="38"/>
      <c r="Z25" s="20"/>
      <c r="AA25" s="20"/>
      <c r="AB25" s="38"/>
      <c r="AC25" s="20"/>
      <c r="AD25" s="20"/>
      <c r="AE25" s="38"/>
      <c r="AF25" s="20"/>
      <c r="AG25" s="20"/>
      <c r="AH25" s="38"/>
    </row>
    <row r="26" hidden="1" spans="1:34">
      <c r="A26" s="2"/>
      <c r="C26" s="51" t="s">
        <v>498</v>
      </c>
      <c r="D26" s="83"/>
      <c r="E26" s="52">
        <v>1276164999</v>
      </c>
      <c r="G26" s="48"/>
      <c r="H26" s="69">
        <v>2424500000</v>
      </c>
      <c r="J26" s="48"/>
      <c r="K26" s="69"/>
      <c r="M26" s="48"/>
      <c r="N26" s="69">
        <v>928109842</v>
      </c>
      <c r="P26" s="48"/>
      <c r="Q26" s="69"/>
      <c r="S26" s="48"/>
      <c r="T26" s="69"/>
      <c r="U26" s="265" t="s">
        <v>499</v>
      </c>
      <c r="V26" s="48"/>
      <c r="W26" s="69"/>
      <c r="Y26" s="48"/>
      <c r="Z26" s="69"/>
      <c r="AB26" s="48"/>
      <c r="AC26" s="69">
        <v>11502447</v>
      </c>
      <c r="AE26" s="48"/>
      <c r="AF26" s="69"/>
      <c r="AH26" s="48"/>
    </row>
    <row r="27" hidden="1" spans="1:34">
      <c r="A27" s="2"/>
      <c r="D27" s="83"/>
      <c r="E27" s="45"/>
      <c r="G27" s="40"/>
      <c r="H27" s="69"/>
      <c r="J27" s="48"/>
      <c r="K27" s="69"/>
      <c r="M27" s="48"/>
      <c r="N27" s="69"/>
      <c r="P27" s="48"/>
      <c r="Q27" s="69"/>
      <c r="S27" s="48"/>
      <c r="T27" s="69"/>
      <c r="V27" s="48"/>
      <c r="W27" s="69"/>
      <c r="Y27" s="48"/>
      <c r="Z27" s="69"/>
      <c r="AB27" s="48"/>
      <c r="AC27" s="69"/>
      <c r="AE27" s="48"/>
      <c r="AF27" s="69"/>
      <c r="AH27" s="48"/>
    </row>
    <row r="28" spans="1:34">
      <c r="A28" s="2">
        <v>9</v>
      </c>
      <c r="B28" s="2" t="s">
        <v>500</v>
      </c>
      <c r="C28" s="37" t="s">
        <v>501</v>
      </c>
      <c r="D28" s="41" t="s">
        <v>502</v>
      </c>
      <c r="E28" s="20">
        <v>2997354845</v>
      </c>
      <c r="F28" s="46">
        <f>F9</f>
        <v>9550348392</v>
      </c>
      <c r="G28" s="270">
        <f>(E28/F28)*365</f>
        <v>114.554409275942</v>
      </c>
      <c r="H28" s="20">
        <v>1438100000</v>
      </c>
      <c r="I28" s="46">
        <f>I9</f>
        <v>8412400000</v>
      </c>
      <c r="J28" s="271">
        <f>(H28/I28)*365</f>
        <v>62.3967595454329</v>
      </c>
      <c r="K28" s="20">
        <v>1562054</v>
      </c>
      <c r="L28" s="46">
        <f>L9</f>
        <v>7201150896</v>
      </c>
      <c r="M28" s="272">
        <f>(K28/L28)*365</f>
        <v>0.0791748038937358</v>
      </c>
      <c r="N28" s="20">
        <v>819967247</v>
      </c>
      <c r="O28" s="46">
        <f>O9</f>
        <v>7764296397</v>
      </c>
      <c r="P28" s="272">
        <f>(N28/O28)*365</f>
        <v>38.5467053100446</v>
      </c>
      <c r="Q28" s="20">
        <v>1003508000</v>
      </c>
      <c r="R28" s="46">
        <f>R9</f>
        <v>10921489000</v>
      </c>
      <c r="S28" s="271">
        <f>(Q28/R28)*365</f>
        <v>33.5375899751398</v>
      </c>
      <c r="T28" s="20">
        <v>1374810029</v>
      </c>
      <c r="U28" s="46">
        <f>U9</f>
        <v>5050843335</v>
      </c>
      <c r="V28" s="271">
        <f>(T28/U28)*365</f>
        <v>99.3508662420233</v>
      </c>
      <c r="W28" s="20">
        <v>730514000</v>
      </c>
      <c r="X28" s="46">
        <f>X9</f>
        <v>7613301000</v>
      </c>
      <c r="Y28" s="271">
        <f>(W28/X28)*365</f>
        <v>35.0226018910851</v>
      </c>
      <c r="Z28" s="20">
        <v>957724899</v>
      </c>
      <c r="AA28" s="46">
        <f>AA9</f>
        <v>2615209325</v>
      </c>
      <c r="AB28" s="271">
        <f>(Z28/AA28)*365</f>
        <v>133.667918966678</v>
      </c>
      <c r="AC28" s="20">
        <v>0</v>
      </c>
      <c r="AD28" s="46">
        <f>AD9</f>
        <v>277960512</v>
      </c>
      <c r="AE28" s="271">
        <f>(AC28/AD28)*365</f>
        <v>0</v>
      </c>
      <c r="AF28" s="20">
        <v>374099174</v>
      </c>
      <c r="AG28" s="46">
        <f>AG9</f>
        <v>549671714</v>
      </c>
      <c r="AH28" s="271">
        <f>(AF28/AG28)*365</f>
        <v>248.414089777958</v>
      </c>
    </row>
    <row r="29" hidden="1" spans="1:34">
      <c r="A29" s="2"/>
      <c r="B29" s="2"/>
      <c r="C29" s="66" t="s">
        <v>503</v>
      </c>
      <c r="D29" s="2"/>
      <c r="E29" s="20"/>
      <c r="F29" s="46"/>
      <c r="G29" s="273">
        <f>G28/30</f>
        <v>3.81848030919806</v>
      </c>
      <c r="H29" s="20"/>
      <c r="I29" s="46"/>
      <c r="J29" s="273">
        <f>J28/30</f>
        <v>2.07989198484776</v>
      </c>
      <c r="K29" s="20"/>
      <c r="L29" s="46"/>
      <c r="M29" s="274">
        <f>M28/30</f>
        <v>0.00263916012979119</v>
      </c>
      <c r="N29" s="20"/>
      <c r="O29" s="46"/>
      <c r="P29" s="274">
        <f>P28/30</f>
        <v>1.28489017700149</v>
      </c>
      <c r="Q29" s="20"/>
      <c r="R29" s="46"/>
      <c r="S29" s="273">
        <f>S28/30</f>
        <v>1.11791966583799</v>
      </c>
      <c r="T29" s="20"/>
      <c r="U29" s="46"/>
      <c r="V29" s="273">
        <f>V28/30</f>
        <v>3.31169554140078</v>
      </c>
      <c r="W29" s="20"/>
      <c r="X29" s="46"/>
      <c r="Y29" s="273">
        <f>Y28/30</f>
        <v>1.16742006303617</v>
      </c>
      <c r="Z29" s="20"/>
      <c r="AA29" s="46"/>
      <c r="AB29" s="273">
        <f>AB28/30</f>
        <v>4.45559729888926</v>
      </c>
      <c r="AC29" s="20"/>
      <c r="AD29" s="46"/>
      <c r="AE29" s="273">
        <f>AE28/30</f>
        <v>0</v>
      </c>
      <c r="AF29" s="20"/>
      <c r="AG29" s="46"/>
      <c r="AH29" s="273">
        <f>AH28/30</f>
        <v>8.28046965926526</v>
      </c>
    </row>
    <row r="30" hidden="1" spans="1:34">
      <c r="A30" s="2"/>
      <c r="G30" s="40"/>
      <c r="J30" s="38"/>
      <c r="M30" s="38"/>
      <c r="P30" s="38"/>
      <c r="S30" s="38"/>
      <c r="V30" s="38"/>
      <c r="Y30" s="38"/>
      <c r="AB30" s="38"/>
      <c r="AC30" s="275" t="s">
        <v>504</v>
      </c>
      <c r="AE30" s="38"/>
      <c r="AH30" s="38"/>
    </row>
    <row r="31" spans="1:34">
      <c r="A31" s="2">
        <v>10</v>
      </c>
      <c r="B31" s="2" t="s">
        <v>186</v>
      </c>
      <c r="C31" s="37" t="s">
        <v>187</v>
      </c>
      <c r="D31" s="41" t="s">
        <v>295</v>
      </c>
      <c r="E31" s="42">
        <v>10</v>
      </c>
      <c r="F31" s="20">
        <f>E6</f>
        <v>865.81</v>
      </c>
      <c r="G31" s="38">
        <f>(E31/F31)*100</f>
        <v>1.15498781487855</v>
      </c>
      <c r="H31" s="42">
        <v>1714</v>
      </c>
      <c r="I31" s="20">
        <f>H6</f>
        <v>46340</v>
      </c>
      <c r="J31" s="96">
        <f>(H31/I31)*100</f>
        <v>3.69874838152784</v>
      </c>
      <c r="K31" s="42">
        <v>20</v>
      </c>
      <c r="L31" s="20">
        <f>K6</f>
        <v>1236.54</v>
      </c>
      <c r="M31" s="96">
        <f>(K31/L31)*100</f>
        <v>1.61741633913986</v>
      </c>
      <c r="N31" s="42">
        <v>9</v>
      </c>
      <c r="O31" s="20">
        <f>N6</f>
        <v>535</v>
      </c>
      <c r="P31" s="96">
        <f>(N31/O31)*100</f>
        <v>1.68224299065421</v>
      </c>
      <c r="Q31" s="42">
        <v>0</v>
      </c>
      <c r="R31" s="20">
        <f>Q6</f>
        <v>17498</v>
      </c>
      <c r="S31" s="38">
        <f>(Q31/R31)*100</f>
        <v>0</v>
      </c>
      <c r="T31" s="42">
        <v>0</v>
      </c>
      <c r="U31" s="20">
        <f>T6</f>
        <v>514.49</v>
      </c>
      <c r="V31" s="38">
        <f>(T31/U31)*100</f>
        <v>0</v>
      </c>
      <c r="W31" s="42">
        <v>50</v>
      </c>
      <c r="X31" s="20">
        <f>W6</f>
        <v>12800</v>
      </c>
      <c r="Y31" s="38">
        <f>(W31/X31)*100</f>
        <v>0.390625</v>
      </c>
      <c r="Z31" s="42">
        <v>0</v>
      </c>
      <c r="AA31" s="20">
        <f>Z6</f>
        <v>464.11</v>
      </c>
      <c r="AB31" s="38">
        <f>(Z31/AA31)*100</f>
        <v>0</v>
      </c>
      <c r="AC31" s="42">
        <v>0</v>
      </c>
      <c r="AD31" s="20">
        <f>AC6</f>
        <v>1517.76</v>
      </c>
      <c r="AE31" s="38">
        <f>(AC31/AD31)*100</f>
        <v>0</v>
      </c>
      <c r="AF31" s="42">
        <v>25</v>
      </c>
      <c r="AG31" s="20">
        <f>AF6</f>
        <v>281.8</v>
      </c>
      <c r="AH31" s="38">
        <f>(AF31/AG31)*100</f>
        <v>8.87154009936125</v>
      </c>
    </row>
    <row r="32" spans="1:34">
      <c r="A32" s="2"/>
      <c r="B32" s="2"/>
      <c r="C32" s="2" t="s">
        <v>189</v>
      </c>
      <c r="D32" s="41"/>
      <c r="E32" s="42"/>
      <c r="F32" s="20"/>
      <c r="G32" s="38"/>
      <c r="H32" s="42"/>
      <c r="I32" s="20"/>
      <c r="J32" s="96"/>
      <c r="K32" s="42"/>
      <c r="L32" s="20"/>
      <c r="M32" s="96"/>
      <c r="N32" s="42"/>
      <c r="O32" s="20"/>
      <c r="P32" s="96"/>
      <c r="Q32" s="42"/>
      <c r="R32" s="20"/>
      <c r="S32" s="38"/>
      <c r="T32" s="42"/>
      <c r="U32" s="20"/>
      <c r="V32" s="38"/>
      <c r="W32" s="42"/>
      <c r="X32" s="20"/>
      <c r="Y32" s="38"/>
      <c r="Z32" s="42"/>
      <c r="AA32" s="20"/>
      <c r="AB32" s="38"/>
      <c r="AC32" s="42"/>
      <c r="AD32" s="20"/>
      <c r="AE32" s="38"/>
      <c r="AF32" s="42"/>
      <c r="AG32" s="20"/>
      <c r="AH32" s="38"/>
    </row>
    <row r="33" hidden="1" spans="1:34">
      <c r="A33" s="2"/>
      <c r="B33" s="2"/>
      <c r="C33" s="2"/>
      <c r="D33" s="2"/>
      <c r="E33" s="20"/>
      <c r="F33" s="42"/>
      <c r="G33" s="38"/>
      <c r="H33" s="20"/>
      <c r="I33" s="42"/>
      <c r="J33" s="38"/>
      <c r="K33" s="20"/>
      <c r="L33" s="42"/>
      <c r="M33" s="38"/>
      <c r="N33" s="20"/>
      <c r="O33" s="42"/>
      <c r="P33" s="38"/>
      <c r="Q33" s="20"/>
      <c r="R33" s="42"/>
      <c r="S33" s="38"/>
      <c r="T33" s="20"/>
      <c r="U33" s="42"/>
      <c r="V33" s="38"/>
      <c r="W33" s="20"/>
      <c r="X33" s="42"/>
      <c r="Y33" s="38"/>
      <c r="Z33" s="20"/>
      <c r="AA33" s="42"/>
      <c r="AB33" s="38"/>
      <c r="AC33" s="20"/>
      <c r="AD33" s="42"/>
      <c r="AE33" s="38"/>
      <c r="AF33" s="20"/>
      <c r="AG33" s="42"/>
      <c r="AH33" s="38"/>
    </row>
    <row r="34" spans="1:34">
      <c r="A34" s="2">
        <v>11</v>
      </c>
      <c r="B34" s="41" t="s">
        <v>455</v>
      </c>
      <c r="C34" s="37" t="s">
        <v>456</v>
      </c>
      <c r="D34" s="41" t="s">
        <v>237</v>
      </c>
      <c r="E34" s="20">
        <v>5255361613</v>
      </c>
      <c r="F34" s="46">
        <v>4261328744</v>
      </c>
      <c r="G34" s="55">
        <f>E34/F34</f>
        <v>1.23326828994351</v>
      </c>
      <c r="H34" s="20">
        <v>5998300000</v>
      </c>
      <c r="I34" s="46">
        <v>2424900000</v>
      </c>
      <c r="J34" s="276">
        <f>H34/I34</f>
        <v>2.47362777846509</v>
      </c>
      <c r="K34" s="20">
        <v>3431227579</v>
      </c>
      <c r="L34" s="46">
        <v>345895276</v>
      </c>
      <c r="M34" s="276">
        <f>K34/L34</f>
        <v>9.91984515856759</v>
      </c>
      <c r="N34" s="20">
        <v>3777444319</v>
      </c>
      <c r="O34" s="46">
        <v>2094236240</v>
      </c>
      <c r="P34" s="55">
        <f>N34/O34</f>
        <v>1.80373362223929</v>
      </c>
      <c r="Q34" s="20">
        <v>6538564</v>
      </c>
      <c r="R34" s="46">
        <v>6107432</v>
      </c>
      <c r="S34" s="277">
        <f>Q34/R34</f>
        <v>1.07059137129975</v>
      </c>
      <c r="T34" s="20"/>
      <c r="U34" s="46"/>
      <c r="V34" s="55">
        <v>0.75</v>
      </c>
      <c r="W34" s="20">
        <v>3587359000</v>
      </c>
      <c r="X34" s="46">
        <v>4425882000</v>
      </c>
      <c r="Y34" s="55">
        <f>W34/X34</f>
        <v>0.81054104018137</v>
      </c>
      <c r="Z34" s="20">
        <v>3952159359</v>
      </c>
      <c r="AA34" s="46">
        <v>2006051354</v>
      </c>
      <c r="AB34" s="55">
        <f>Z34/AA34</f>
        <v>1.97011873655155</v>
      </c>
      <c r="AC34" s="20">
        <v>369568920</v>
      </c>
      <c r="AD34" s="46">
        <v>228938485</v>
      </c>
      <c r="AE34" s="55">
        <f>AC34/AD34</f>
        <v>1.61427171145996</v>
      </c>
      <c r="AF34" s="20">
        <v>675583905</v>
      </c>
      <c r="AG34" s="46">
        <v>466199041</v>
      </c>
      <c r="AH34" s="55">
        <f>AF34/AG34</f>
        <v>1.44913190630094</v>
      </c>
    </row>
    <row r="35" spans="1:34">
      <c r="A35" s="2"/>
      <c r="B35" s="41"/>
      <c r="C35" s="2" t="s">
        <v>457</v>
      </c>
      <c r="D35" s="41"/>
      <c r="E35" s="20"/>
      <c r="F35" s="46"/>
      <c r="G35" s="55"/>
      <c r="H35" s="20"/>
      <c r="I35" s="46"/>
      <c r="J35" s="276"/>
      <c r="K35" s="20"/>
      <c r="L35" s="46"/>
      <c r="M35" s="276"/>
      <c r="N35" s="20"/>
      <c r="O35" s="46"/>
      <c r="P35" s="55"/>
      <c r="Q35" s="20"/>
      <c r="R35" s="46"/>
      <c r="S35" s="277"/>
      <c r="T35" s="20"/>
      <c r="U35" s="46"/>
      <c r="V35" s="55"/>
      <c r="W35" s="20"/>
      <c r="X35" s="46"/>
      <c r="Y35" s="55"/>
      <c r="Z35" s="20"/>
      <c r="AA35" s="46"/>
      <c r="AB35" s="55"/>
      <c r="AC35" s="20"/>
      <c r="AD35" s="46"/>
      <c r="AE35" s="55"/>
      <c r="AF35" s="20"/>
      <c r="AG35" s="46"/>
      <c r="AH35" s="55"/>
    </row>
    <row r="36" hidden="1" spans="1:34">
      <c r="A36" s="2"/>
      <c r="B36" s="2"/>
      <c r="C36" s="2"/>
      <c r="D36" s="2"/>
      <c r="E36" s="20"/>
      <c r="F36" s="42"/>
      <c r="G36" s="38"/>
      <c r="H36" s="20"/>
      <c r="I36" s="42"/>
      <c r="J36" s="38"/>
      <c r="K36" s="20"/>
      <c r="L36" s="42"/>
      <c r="M36" s="38"/>
      <c r="N36" s="20"/>
      <c r="O36" s="42"/>
      <c r="P36" s="38"/>
      <c r="Q36" s="20"/>
      <c r="R36" s="42"/>
      <c r="S36" s="38"/>
      <c r="T36" s="20"/>
      <c r="U36" s="42"/>
      <c r="V36" s="38"/>
      <c r="W36" s="20"/>
      <c r="X36" s="42"/>
      <c r="Y36" s="38"/>
      <c r="Z36" s="20"/>
      <c r="AA36" s="42"/>
      <c r="AB36" s="38"/>
      <c r="AC36" s="20"/>
      <c r="AD36" s="42"/>
      <c r="AE36" s="38"/>
      <c r="AF36" s="20"/>
      <c r="AG36" s="42"/>
      <c r="AH36" s="38"/>
    </row>
    <row r="37" hidden="1"/>
  </sheetData>
  <mergeCells count="332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Q17:R17"/>
    <mergeCell ref="A3:A4"/>
    <mergeCell ref="A6:A7"/>
    <mergeCell ref="A9:A10"/>
    <mergeCell ref="A15:A16"/>
    <mergeCell ref="A18:A19"/>
    <mergeCell ref="A21:A22"/>
    <mergeCell ref="A24:A25"/>
    <mergeCell ref="A28:A29"/>
    <mergeCell ref="A31:A32"/>
    <mergeCell ref="A34:A35"/>
    <mergeCell ref="B3:B4"/>
    <mergeCell ref="B6:B7"/>
    <mergeCell ref="B9:B10"/>
    <mergeCell ref="B15:B16"/>
    <mergeCell ref="B18:B19"/>
    <mergeCell ref="B21:B22"/>
    <mergeCell ref="B24:B25"/>
    <mergeCell ref="B28:B29"/>
    <mergeCell ref="B31:B32"/>
    <mergeCell ref="B34:B35"/>
    <mergeCell ref="D3:D4"/>
    <mergeCell ref="D6:D7"/>
    <mergeCell ref="D9:D10"/>
    <mergeCell ref="D15:D16"/>
    <mergeCell ref="D18:D19"/>
    <mergeCell ref="D21:D22"/>
    <mergeCell ref="D24:D25"/>
    <mergeCell ref="D28:D29"/>
    <mergeCell ref="D31:D32"/>
    <mergeCell ref="D34:D35"/>
    <mergeCell ref="E3:E4"/>
    <mergeCell ref="E6:E7"/>
    <mergeCell ref="E9:E10"/>
    <mergeCell ref="E15:E16"/>
    <mergeCell ref="E18:E19"/>
    <mergeCell ref="E21:E22"/>
    <mergeCell ref="E24:E25"/>
    <mergeCell ref="E28:E29"/>
    <mergeCell ref="E31:E32"/>
    <mergeCell ref="E34:E35"/>
    <mergeCell ref="F3:F4"/>
    <mergeCell ref="F6:F7"/>
    <mergeCell ref="F9:F10"/>
    <mergeCell ref="F15:F16"/>
    <mergeCell ref="F18:F19"/>
    <mergeCell ref="F21:F22"/>
    <mergeCell ref="F24:F25"/>
    <mergeCell ref="F28:F29"/>
    <mergeCell ref="F31:F32"/>
    <mergeCell ref="F34:F35"/>
    <mergeCell ref="G3:G4"/>
    <mergeCell ref="G6:G7"/>
    <mergeCell ref="G9:G10"/>
    <mergeCell ref="G15:G16"/>
    <mergeCell ref="G18:G19"/>
    <mergeCell ref="G21:G22"/>
    <mergeCell ref="G24:G25"/>
    <mergeCell ref="G31:G32"/>
    <mergeCell ref="G34:G35"/>
    <mergeCell ref="H3:H4"/>
    <mergeCell ref="H6:H7"/>
    <mergeCell ref="H9:H10"/>
    <mergeCell ref="H15:H16"/>
    <mergeCell ref="H18:H19"/>
    <mergeCell ref="H21:H22"/>
    <mergeCell ref="H24:H25"/>
    <mergeCell ref="H28:H29"/>
    <mergeCell ref="H31:H32"/>
    <mergeCell ref="H34:H35"/>
    <mergeCell ref="I3:I4"/>
    <mergeCell ref="I6:I7"/>
    <mergeCell ref="I9:I10"/>
    <mergeCell ref="I15:I16"/>
    <mergeCell ref="I18:I19"/>
    <mergeCell ref="I21:I22"/>
    <mergeCell ref="I24:I25"/>
    <mergeCell ref="I28:I29"/>
    <mergeCell ref="I31:I32"/>
    <mergeCell ref="I34:I35"/>
    <mergeCell ref="J3:J4"/>
    <mergeCell ref="J6:J7"/>
    <mergeCell ref="J9:J10"/>
    <mergeCell ref="J15:J16"/>
    <mergeCell ref="J18:J19"/>
    <mergeCell ref="J21:J22"/>
    <mergeCell ref="J24:J25"/>
    <mergeCell ref="J31:J32"/>
    <mergeCell ref="J34:J35"/>
    <mergeCell ref="K3:K4"/>
    <mergeCell ref="K6:K7"/>
    <mergeCell ref="K9:K10"/>
    <mergeCell ref="K15:K16"/>
    <mergeCell ref="K18:K19"/>
    <mergeCell ref="K21:K22"/>
    <mergeCell ref="K24:K25"/>
    <mergeCell ref="K28:K29"/>
    <mergeCell ref="K31:K32"/>
    <mergeCell ref="K34:K35"/>
    <mergeCell ref="L3:L4"/>
    <mergeCell ref="L6:L7"/>
    <mergeCell ref="L9:L10"/>
    <mergeCell ref="L15:L16"/>
    <mergeCell ref="L18:L19"/>
    <mergeCell ref="L21:L22"/>
    <mergeCell ref="L24:L25"/>
    <mergeCell ref="L28:L29"/>
    <mergeCell ref="L31:L32"/>
    <mergeCell ref="L34:L35"/>
    <mergeCell ref="M3:M4"/>
    <mergeCell ref="M6:M7"/>
    <mergeCell ref="M9:M10"/>
    <mergeCell ref="M15:M16"/>
    <mergeCell ref="M18:M19"/>
    <mergeCell ref="M21:M22"/>
    <mergeCell ref="M24:M25"/>
    <mergeCell ref="M31:M32"/>
    <mergeCell ref="M34:M35"/>
    <mergeCell ref="N3:N4"/>
    <mergeCell ref="N6:N7"/>
    <mergeCell ref="N9:N10"/>
    <mergeCell ref="N15:N16"/>
    <mergeCell ref="N18:N19"/>
    <mergeCell ref="N21:N22"/>
    <mergeCell ref="N24:N25"/>
    <mergeCell ref="N28:N29"/>
    <mergeCell ref="N31:N32"/>
    <mergeCell ref="N34:N35"/>
    <mergeCell ref="O3:O4"/>
    <mergeCell ref="O6:O7"/>
    <mergeCell ref="O9:O10"/>
    <mergeCell ref="O15:O16"/>
    <mergeCell ref="O18:O19"/>
    <mergeCell ref="O21:O22"/>
    <mergeCell ref="O24:O25"/>
    <mergeCell ref="O28:O29"/>
    <mergeCell ref="O31:O32"/>
    <mergeCell ref="O34:O35"/>
    <mergeCell ref="P3:P4"/>
    <mergeCell ref="P6:P7"/>
    <mergeCell ref="P9:P10"/>
    <mergeCell ref="P15:P16"/>
    <mergeCell ref="P18:P19"/>
    <mergeCell ref="P21:P22"/>
    <mergeCell ref="P24:P25"/>
    <mergeCell ref="P31:P32"/>
    <mergeCell ref="P34:P35"/>
    <mergeCell ref="Q3:Q4"/>
    <mergeCell ref="Q6:Q7"/>
    <mergeCell ref="Q9:Q10"/>
    <mergeCell ref="Q15:Q16"/>
    <mergeCell ref="Q18:Q19"/>
    <mergeCell ref="Q21:Q22"/>
    <mergeCell ref="Q24:Q25"/>
    <mergeCell ref="Q28:Q29"/>
    <mergeCell ref="Q31:Q32"/>
    <mergeCell ref="Q34:Q35"/>
    <mergeCell ref="R3:R4"/>
    <mergeCell ref="R6:R7"/>
    <mergeCell ref="R9:R10"/>
    <mergeCell ref="R15:R16"/>
    <mergeCell ref="R18:R19"/>
    <mergeCell ref="R21:R22"/>
    <mergeCell ref="R24:R25"/>
    <mergeCell ref="R28:R29"/>
    <mergeCell ref="R31:R32"/>
    <mergeCell ref="R34:R35"/>
    <mergeCell ref="S3:S4"/>
    <mergeCell ref="S6:S7"/>
    <mergeCell ref="S9:S10"/>
    <mergeCell ref="S15:S16"/>
    <mergeCell ref="S18:S19"/>
    <mergeCell ref="S21:S22"/>
    <mergeCell ref="S24:S25"/>
    <mergeCell ref="S31:S32"/>
    <mergeCell ref="S34:S35"/>
    <mergeCell ref="T3:T4"/>
    <mergeCell ref="T6:T7"/>
    <mergeCell ref="T9:T10"/>
    <mergeCell ref="T15:T16"/>
    <mergeCell ref="T18:T19"/>
    <mergeCell ref="T21:T22"/>
    <mergeCell ref="T24:T25"/>
    <mergeCell ref="T28:T29"/>
    <mergeCell ref="T31:T32"/>
    <mergeCell ref="T34:T35"/>
    <mergeCell ref="U3:U4"/>
    <mergeCell ref="U6:U7"/>
    <mergeCell ref="U9:U10"/>
    <mergeCell ref="U15:U16"/>
    <mergeCell ref="U18:U19"/>
    <mergeCell ref="U21:U22"/>
    <mergeCell ref="U24:U25"/>
    <mergeCell ref="U28:U29"/>
    <mergeCell ref="U31:U32"/>
    <mergeCell ref="U34:U35"/>
    <mergeCell ref="V3:V4"/>
    <mergeCell ref="V6:V7"/>
    <mergeCell ref="V9:V10"/>
    <mergeCell ref="V15:V16"/>
    <mergeCell ref="V18:V19"/>
    <mergeCell ref="V21:V22"/>
    <mergeCell ref="V24:V25"/>
    <mergeCell ref="V31:V32"/>
    <mergeCell ref="V34:V35"/>
    <mergeCell ref="W3:W4"/>
    <mergeCell ref="W6:W7"/>
    <mergeCell ref="W9:W10"/>
    <mergeCell ref="W15:W16"/>
    <mergeCell ref="W18:W19"/>
    <mergeCell ref="W21:W22"/>
    <mergeCell ref="W24:W25"/>
    <mergeCell ref="W28:W29"/>
    <mergeCell ref="W31:W32"/>
    <mergeCell ref="W34:W35"/>
    <mergeCell ref="X3:X4"/>
    <mergeCell ref="X6:X7"/>
    <mergeCell ref="X9:X10"/>
    <mergeCell ref="X15:X16"/>
    <mergeCell ref="X18:X19"/>
    <mergeCell ref="X21:X22"/>
    <mergeCell ref="X24:X25"/>
    <mergeCell ref="X28:X29"/>
    <mergeCell ref="X31:X32"/>
    <mergeCell ref="X34:X35"/>
    <mergeCell ref="Y3:Y4"/>
    <mergeCell ref="Y6:Y7"/>
    <mergeCell ref="Y9:Y10"/>
    <mergeCell ref="Y15:Y16"/>
    <mergeCell ref="Y18:Y19"/>
    <mergeCell ref="Y21:Y22"/>
    <mergeCell ref="Y24:Y25"/>
    <mergeCell ref="Y31:Y32"/>
    <mergeCell ref="Y34:Y35"/>
    <mergeCell ref="Z3:Z4"/>
    <mergeCell ref="Z6:Z7"/>
    <mergeCell ref="Z9:Z10"/>
    <mergeCell ref="Z15:Z16"/>
    <mergeCell ref="Z18:Z19"/>
    <mergeCell ref="Z21:Z22"/>
    <mergeCell ref="Z24:Z25"/>
    <mergeCell ref="Z28:Z29"/>
    <mergeCell ref="Z31:Z32"/>
    <mergeCell ref="Z34:Z35"/>
    <mergeCell ref="AA3:AA4"/>
    <mergeCell ref="AA6:AA7"/>
    <mergeCell ref="AA9:AA10"/>
    <mergeCell ref="AA15:AA16"/>
    <mergeCell ref="AA18:AA19"/>
    <mergeCell ref="AA21:AA22"/>
    <mergeCell ref="AA24:AA25"/>
    <mergeCell ref="AA28:AA29"/>
    <mergeCell ref="AA31:AA32"/>
    <mergeCell ref="AA34:AA35"/>
    <mergeCell ref="AB3:AB4"/>
    <mergeCell ref="AB6:AB7"/>
    <mergeCell ref="AB9:AB10"/>
    <mergeCell ref="AB15:AB16"/>
    <mergeCell ref="AB18:AB19"/>
    <mergeCell ref="AB21:AB22"/>
    <mergeCell ref="AB24:AB25"/>
    <mergeCell ref="AB31:AB32"/>
    <mergeCell ref="AB34:AB35"/>
    <mergeCell ref="AC3:AC4"/>
    <mergeCell ref="AC6:AC7"/>
    <mergeCell ref="AC9:AC10"/>
    <mergeCell ref="AC15:AC16"/>
    <mergeCell ref="AC18:AC19"/>
    <mergeCell ref="AC21:AC22"/>
    <mergeCell ref="AC24:AC25"/>
    <mergeCell ref="AC28:AC29"/>
    <mergeCell ref="AC31:AC32"/>
    <mergeCell ref="AC34:AC35"/>
    <mergeCell ref="AD3:AD4"/>
    <mergeCell ref="AD6:AD7"/>
    <mergeCell ref="AD9:AD10"/>
    <mergeCell ref="AD15:AD16"/>
    <mergeCell ref="AD18:AD19"/>
    <mergeCell ref="AD21:AD22"/>
    <mergeCell ref="AD24:AD25"/>
    <mergeCell ref="AD28:AD29"/>
    <mergeCell ref="AD31:AD32"/>
    <mergeCell ref="AD34:AD35"/>
    <mergeCell ref="AE3:AE4"/>
    <mergeCell ref="AE6:AE7"/>
    <mergeCell ref="AE9:AE10"/>
    <mergeCell ref="AE15:AE16"/>
    <mergeCell ref="AE18:AE19"/>
    <mergeCell ref="AE21:AE22"/>
    <mergeCell ref="AE24:AE25"/>
    <mergeCell ref="AE31:AE32"/>
    <mergeCell ref="AE34:AE35"/>
    <mergeCell ref="AF3:AF4"/>
    <mergeCell ref="AF6:AF7"/>
    <mergeCell ref="AF9:AF10"/>
    <mergeCell ref="AF15:AF16"/>
    <mergeCell ref="AF18:AF19"/>
    <mergeCell ref="AF21:AF22"/>
    <mergeCell ref="AF24:AF25"/>
    <mergeCell ref="AF28:AF29"/>
    <mergeCell ref="AF31:AF32"/>
    <mergeCell ref="AF34:AF35"/>
    <mergeCell ref="AG3:AG4"/>
    <mergeCell ref="AG6:AG7"/>
    <mergeCell ref="AG9:AG10"/>
    <mergeCell ref="AG15:AG16"/>
    <mergeCell ref="AG18:AG19"/>
    <mergeCell ref="AG21:AG22"/>
    <mergeCell ref="AG24:AG25"/>
    <mergeCell ref="AG28:AG29"/>
    <mergeCell ref="AG31:AG32"/>
    <mergeCell ref="AG34:AG35"/>
    <mergeCell ref="AH3:AH4"/>
    <mergeCell ref="AH6:AH7"/>
    <mergeCell ref="AH9:AH10"/>
    <mergeCell ref="AH15:AH16"/>
    <mergeCell ref="AH18:AH19"/>
    <mergeCell ref="AH21:AH22"/>
    <mergeCell ref="AH24:AH25"/>
    <mergeCell ref="AH31:AH32"/>
    <mergeCell ref="AH34:AH35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A14" sqref="A14:I14"/>
    </sheetView>
  </sheetViews>
  <sheetFormatPr defaultColWidth="9" defaultRowHeight="15"/>
  <cols>
    <col min="1" max="1" width="4.81904761904762" customWidth="1"/>
    <col min="2" max="2" width="33.6285714285714" customWidth="1"/>
    <col min="3" max="3" width="48.1809523809524" customWidth="1"/>
    <col min="4" max="4" width="17.9047619047619" customWidth="1"/>
    <col min="5" max="5" width="15" customWidth="1"/>
    <col min="6" max="6" width="13.9047619047619" customWidth="1"/>
    <col min="7" max="7" width="15" customWidth="1"/>
    <col min="8" max="8" width="14.2666666666667" customWidth="1"/>
    <col min="9" max="9" width="15.2666666666667" customWidth="1"/>
    <col min="10" max="12" width="8.72380952380952" customWidth="1"/>
  </cols>
  <sheetData>
    <row r="1" s="15" customFormat="1" ht="18.75" spans="1:11">
      <c r="A1" s="16" t="s">
        <v>526</v>
      </c>
      <c r="B1" s="16"/>
      <c r="C1" s="16"/>
      <c r="D1" s="16"/>
      <c r="E1" s="16"/>
      <c r="F1" s="16"/>
      <c r="G1" s="16"/>
      <c r="H1" s="16"/>
      <c r="I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>
        <v>2082</v>
      </c>
      <c r="J2" s="2"/>
    </row>
    <row r="3" ht="15.75" spans="1:11">
      <c r="A3" s="2">
        <v>1</v>
      </c>
      <c r="B3" s="19" t="s">
        <v>303</v>
      </c>
      <c r="C3" s="19" t="s">
        <v>245</v>
      </c>
      <c r="D3" s="2" t="s">
        <v>246</v>
      </c>
      <c r="E3" s="20">
        <v>5723100000</v>
      </c>
      <c r="F3" s="20">
        <v>7456600000</v>
      </c>
      <c r="G3" s="20">
        <v>8673900000</v>
      </c>
      <c r="H3" s="20">
        <v>8480600000</v>
      </c>
      <c r="I3" s="21">
        <v>8412400000</v>
      </c>
      <c r="K3" s="2"/>
    </row>
    <row r="4" ht="15.75" spans="1:11">
      <c r="A4" s="2">
        <v>2</v>
      </c>
      <c r="B4" s="19" t="s">
        <v>304</v>
      </c>
      <c r="C4" s="19" t="s">
        <v>248</v>
      </c>
      <c r="D4" s="2" t="s">
        <v>246</v>
      </c>
      <c r="E4" s="22">
        <v>1039700000</v>
      </c>
      <c r="F4" s="22">
        <v>1837000000</v>
      </c>
      <c r="G4" s="22">
        <v>2251400000</v>
      </c>
      <c r="H4" s="22">
        <v>2419300000</v>
      </c>
      <c r="I4" s="22">
        <v>2424500000</v>
      </c>
      <c r="J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>
        <v>854100000</v>
      </c>
      <c r="F5" s="20">
        <v>1499400000</v>
      </c>
      <c r="G5" s="20">
        <v>1830000000</v>
      </c>
      <c r="H5" s="20">
        <v>1974200000</v>
      </c>
      <c r="I5" s="21">
        <v>1961900000</v>
      </c>
    </row>
    <row r="6" ht="30" spans="1:11">
      <c r="A6" s="2">
        <v>4</v>
      </c>
      <c r="B6" s="19" t="s">
        <v>251</v>
      </c>
      <c r="C6" s="19" t="s">
        <v>252</v>
      </c>
      <c r="D6" s="23" t="s">
        <v>253</v>
      </c>
      <c r="E6" s="24">
        <f t="shared" ref="E6:I6" si="0">E5/E3</f>
        <v>0.149237301462494</v>
      </c>
      <c r="F6" s="24">
        <f t="shared" si="0"/>
        <v>0.201083603787249</v>
      </c>
      <c r="G6" s="24">
        <f t="shared" si="0"/>
        <v>0.210977760868813</v>
      </c>
      <c r="H6" s="24">
        <f t="shared" si="0"/>
        <v>0.232790132773625</v>
      </c>
      <c r="I6" s="24">
        <f t="shared" si="0"/>
        <v>0.233215253673149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>
        <v>928</v>
      </c>
      <c r="F7" s="2">
        <v>1629</v>
      </c>
      <c r="G7" s="2">
        <v>1988</v>
      </c>
      <c r="H7" s="2">
        <v>2144</v>
      </c>
      <c r="I7" s="2">
        <v>2131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>
        <v>20.91</v>
      </c>
      <c r="F8" s="25">
        <v>11.27</v>
      </c>
      <c r="G8" s="25">
        <v>16.6</v>
      </c>
      <c r="H8" s="25">
        <v>22.07</v>
      </c>
      <c r="I8" s="25">
        <v>21.75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J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J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4" ht="18.75" spans="1:11">
      <c r="A14" s="88" t="s">
        <v>527</v>
      </c>
      <c r="B14" s="89"/>
      <c r="C14" s="89"/>
      <c r="D14" s="89"/>
      <c r="E14" s="89"/>
      <c r="F14" s="89"/>
      <c r="G14" s="89"/>
      <c r="H14" s="89"/>
      <c r="I14" s="90"/>
    </row>
    <row r="15" ht="37.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2078</v>
      </c>
      <c r="F15" s="18">
        <v>2079</v>
      </c>
      <c r="G15" s="18">
        <v>2080</v>
      </c>
      <c r="H15" s="18">
        <v>2081</v>
      </c>
      <c r="I15" s="18">
        <v>2082</v>
      </c>
    </row>
    <row r="16" ht="15.75" spans="1:11">
      <c r="A16" s="2">
        <v>1</v>
      </c>
      <c r="B16" s="19" t="s">
        <v>303</v>
      </c>
      <c r="C16" s="19" t="s">
        <v>245</v>
      </c>
      <c r="D16" s="2" t="s">
        <v>246</v>
      </c>
      <c r="E16" s="20">
        <v>6507059506</v>
      </c>
      <c r="F16" s="20">
        <v>7583030937</v>
      </c>
      <c r="G16" s="20">
        <v>6389991074</v>
      </c>
      <c r="H16" s="20">
        <v>4155236993</v>
      </c>
      <c r="I16" s="20">
        <v>7201150896</v>
      </c>
    </row>
    <row r="17" ht="15.75" spans="1:9">
      <c r="A17" s="2">
        <v>2</v>
      </c>
      <c r="B17" s="19" t="s">
        <v>304</v>
      </c>
      <c r="C17" s="19" t="s">
        <v>248</v>
      </c>
      <c r="D17" s="2" t="s">
        <v>246</v>
      </c>
      <c r="E17" s="22">
        <v>1465530516</v>
      </c>
      <c r="F17" s="92">
        <v>1469100792</v>
      </c>
      <c r="G17" s="22">
        <v>950241889</v>
      </c>
      <c r="H17" s="22">
        <v>530383554</v>
      </c>
      <c r="I17" s="22">
        <v>1289166715</v>
      </c>
    </row>
    <row r="18" ht="15.75" spans="1:9">
      <c r="A18" s="2">
        <v>3</v>
      </c>
      <c r="B18" s="19" t="s">
        <v>249</v>
      </c>
      <c r="C18" s="19" t="s">
        <v>250</v>
      </c>
      <c r="D18" s="2" t="s">
        <v>246</v>
      </c>
      <c r="E18" s="20">
        <v>1040743417</v>
      </c>
      <c r="F18" s="20">
        <v>1055291794</v>
      </c>
      <c r="G18" s="20">
        <v>660117608</v>
      </c>
      <c r="H18" s="20">
        <v>353053660</v>
      </c>
      <c r="I18" s="20">
        <v>953263668</v>
      </c>
    </row>
    <row r="19" ht="30" spans="1:9">
      <c r="A19" s="2">
        <v>4</v>
      </c>
      <c r="B19" s="19" t="s">
        <v>251</v>
      </c>
      <c r="C19" s="19" t="s">
        <v>252</v>
      </c>
      <c r="D19" s="23" t="s">
        <v>253</v>
      </c>
      <c r="E19" s="24">
        <f t="shared" ref="E19" si="1">E18/E16</f>
        <v>0.159940663834464</v>
      </c>
      <c r="F19" s="24">
        <f t="shared" ref="F19:I19" si="2">F18/F16</f>
        <v>0.139164906851546</v>
      </c>
      <c r="G19" s="24">
        <f t="shared" si="2"/>
        <v>0.103304934287925</v>
      </c>
      <c r="H19" s="24">
        <f t="shared" si="2"/>
        <v>0.0849659503404407</v>
      </c>
      <c r="I19" s="24">
        <f t="shared" si="2"/>
        <v>0.132376571712934</v>
      </c>
    </row>
    <row r="20" ht="15.75" spans="1:9">
      <c r="A20" s="2">
        <v>5</v>
      </c>
      <c r="B20" s="19" t="s">
        <v>254</v>
      </c>
      <c r="C20" s="19" t="s">
        <v>255</v>
      </c>
      <c r="D20" s="2" t="s">
        <v>246</v>
      </c>
      <c r="E20" s="2">
        <v>119.94</v>
      </c>
      <c r="F20" s="2">
        <v>69.5</v>
      </c>
      <c r="G20" s="2">
        <v>27.17</v>
      </c>
      <c r="H20" s="2">
        <v>13.21</v>
      </c>
      <c r="I20" s="2">
        <v>31.02</v>
      </c>
    </row>
    <row r="21" ht="31.5" spans="1:9">
      <c r="A21" s="2">
        <v>6</v>
      </c>
      <c r="B21" s="19" t="s">
        <v>256</v>
      </c>
      <c r="C21" s="19" t="s">
        <v>257</v>
      </c>
      <c r="D21" s="2" t="s">
        <v>246</v>
      </c>
      <c r="E21" s="25">
        <v>45.96</v>
      </c>
      <c r="F21" s="25">
        <v>49.07</v>
      </c>
      <c r="G21" s="25">
        <v>82.74</v>
      </c>
      <c r="H21" s="25">
        <v>104.77</v>
      </c>
      <c r="I21" s="93">
        <v>39.87</v>
      </c>
    </row>
    <row r="22" ht="31.5" spans="1:9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9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9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9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</sheetData>
  <mergeCells count="3">
    <mergeCell ref="A1:I1"/>
    <mergeCell ref="A14:I14"/>
    <mergeCell ref="J9:J10"/>
  </mergeCells>
  <pageMargins left="0.7" right="0.7" top="0.75" bottom="0.75" header="0.3" footer="0.3"/>
  <pageSetup paperSize="1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7"/>
  <sheetViews>
    <sheetView zoomScale="110" zoomScaleNormal="110" workbookViewId="0">
      <selection activeCell="C9" sqref="C9"/>
    </sheetView>
  </sheetViews>
  <sheetFormatPr defaultColWidth="9" defaultRowHeight="15"/>
  <cols>
    <col min="1" max="1" width="4.26666666666667" customWidth="1"/>
    <col min="2" max="2" width="22.9047619047619" customWidth="1"/>
    <col min="3" max="3" width="21" customWidth="1"/>
    <col min="4" max="4" width="9.72380952380952" customWidth="1"/>
    <col min="5" max="5" width="14.2666666666667" customWidth="1"/>
    <col min="6" max="6" width="14.1809523809524" customWidth="1"/>
    <col min="7" max="7" width="9.90476190476191" style="6" customWidth="1"/>
    <col min="8" max="8" width="14.2666666666667" customWidth="1"/>
    <col min="9" max="9" width="14.1809523809524" customWidth="1"/>
    <col min="10" max="10" width="9.90476190476191" style="6" customWidth="1"/>
    <col min="11" max="11" width="14.2666666666667" customWidth="1"/>
    <col min="12" max="12" width="14.1809523809524" customWidth="1"/>
    <col min="13" max="13" width="9.90476190476191" style="6" customWidth="1"/>
    <col min="14" max="14" width="14.2666666666667" customWidth="1"/>
    <col min="15" max="15" width="14.1809523809524" customWidth="1"/>
    <col min="16" max="16" width="9.90476190476191" style="6" customWidth="1"/>
    <col min="17" max="17" width="14.2666666666667" customWidth="1"/>
    <col min="18" max="18" width="14.1809523809524" customWidth="1"/>
    <col min="19" max="19" width="9.90476190476191" style="6" customWidth="1"/>
    <col min="20" max="20" width="14.2666666666667" customWidth="1"/>
    <col min="21" max="21" width="14.1809523809524" customWidth="1"/>
    <col min="22" max="22" width="9.90476190476191" style="6" customWidth="1"/>
    <col min="23" max="23" width="14.2666666666667" customWidth="1"/>
    <col min="24" max="24" width="14.1809523809524" customWidth="1"/>
    <col min="25" max="25" width="9.90476190476191" style="6" customWidth="1"/>
    <col min="26" max="26" width="14.2666666666667" customWidth="1"/>
    <col min="27" max="27" width="14.1809523809524" customWidth="1"/>
    <col min="28" max="28" width="9.90476190476191" style="6" customWidth="1"/>
    <col min="29" max="29" width="14.2666666666667" customWidth="1"/>
    <col min="30" max="30" width="14.1809523809524" customWidth="1"/>
    <col min="31" max="31" width="9.90476190476191" style="6" customWidth="1"/>
    <col min="32" max="32" width="14.2666666666667" customWidth="1"/>
    <col min="33" max="33" width="14.1809523809524" customWidth="1"/>
    <col min="34" max="34" width="9.90476190476191" style="6" customWidth="1"/>
    <col min="35" max="35" width="14.2666666666667" customWidth="1"/>
    <col min="36" max="36" width="14.1809523809524" customWidth="1"/>
    <col min="37" max="37" width="9.90476190476191" style="6" customWidth="1"/>
    <col min="38" max="38" width="14.2666666666667" customWidth="1"/>
    <col min="39" max="39" width="14.1809523809524" customWidth="1"/>
    <col min="40" max="40" width="9.90476190476191" style="6" customWidth="1"/>
    <col min="41" max="41" width="14.2666666666667" customWidth="1"/>
    <col min="42" max="42" width="14.1809523809524" customWidth="1"/>
    <col min="43" max="43" width="9.90476190476191" style="6" customWidth="1"/>
    <col min="44" max="44" width="14.2666666666667" customWidth="1"/>
    <col min="45" max="45" width="14.1809523809524" customWidth="1"/>
    <col min="46" max="46" width="9.90476190476191" style="6" customWidth="1"/>
    <col min="47" max="47" width="14.2666666666667" customWidth="1"/>
    <col min="48" max="48" width="14.1809523809524" customWidth="1"/>
    <col min="49" max="49" width="9.90476190476191" style="6" customWidth="1"/>
  </cols>
  <sheetData>
    <row r="1" ht="18.75" spans="1:49">
      <c r="A1" s="58" t="s">
        <v>528</v>
      </c>
      <c r="B1" s="59"/>
      <c r="C1" s="59"/>
      <c r="D1" s="60"/>
      <c r="E1" s="61" t="s">
        <v>529</v>
      </c>
      <c r="F1" s="62"/>
      <c r="G1" s="63"/>
      <c r="H1" s="61" t="s">
        <v>530</v>
      </c>
      <c r="I1" s="62"/>
      <c r="J1" s="63"/>
      <c r="K1" s="61" t="s">
        <v>531</v>
      </c>
      <c r="L1" s="62"/>
      <c r="M1" s="63"/>
      <c r="N1" s="61" t="s">
        <v>532</v>
      </c>
      <c r="O1" s="62"/>
      <c r="P1" s="63"/>
      <c r="Q1" s="61" t="s">
        <v>533</v>
      </c>
      <c r="R1" s="62"/>
      <c r="S1" s="63"/>
      <c r="T1" s="61" t="s">
        <v>534</v>
      </c>
      <c r="U1" s="62"/>
      <c r="V1" s="63"/>
      <c r="W1" s="241" t="s">
        <v>535</v>
      </c>
      <c r="X1" s="242"/>
      <c r="Y1" s="243"/>
      <c r="Z1" s="61" t="s">
        <v>536</v>
      </c>
      <c r="AA1" s="62"/>
      <c r="AB1" s="63"/>
      <c r="AC1" s="61" t="s">
        <v>537</v>
      </c>
      <c r="AD1" s="62"/>
      <c r="AE1" s="63"/>
      <c r="AF1" s="61" t="s">
        <v>538</v>
      </c>
      <c r="AG1" s="62"/>
      <c r="AH1" s="63"/>
      <c r="AI1" s="61" t="s">
        <v>539</v>
      </c>
      <c r="AJ1" s="62"/>
      <c r="AK1" s="63"/>
      <c r="AL1" s="61" t="s">
        <v>540</v>
      </c>
      <c r="AM1" s="62"/>
      <c r="AN1" s="63"/>
      <c r="AO1" s="257" t="s">
        <v>541</v>
      </c>
      <c r="AP1" s="258"/>
      <c r="AQ1" s="259"/>
      <c r="AR1" s="61" t="s">
        <v>542</v>
      </c>
      <c r="AS1" s="62"/>
      <c r="AT1" s="63"/>
      <c r="AU1" s="61" t="s">
        <v>543</v>
      </c>
      <c r="AV1" s="62"/>
      <c r="AW1" s="63"/>
    </row>
    <row r="2" ht="15.75" spans="1:49">
      <c r="A2" s="77" t="s">
        <v>0</v>
      </c>
      <c r="B2" s="77" t="s">
        <v>155</v>
      </c>
      <c r="C2" s="77" t="s">
        <v>156</v>
      </c>
      <c r="D2" s="77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  <c r="AI2" s="35" t="s">
        <v>158</v>
      </c>
      <c r="AJ2" s="35" t="s">
        <v>159</v>
      </c>
      <c r="AK2" s="35" t="s">
        <v>160</v>
      </c>
      <c r="AL2" s="35" t="s">
        <v>158</v>
      </c>
      <c r="AM2" s="35" t="s">
        <v>159</v>
      </c>
      <c r="AN2" s="35" t="s">
        <v>160</v>
      </c>
      <c r="AO2" s="35" t="s">
        <v>158</v>
      </c>
      <c r="AP2" s="35" t="s">
        <v>159</v>
      </c>
      <c r="AQ2" s="35" t="s">
        <v>160</v>
      </c>
      <c r="AR2" s="35" t="s">
        <v>158</v>
      </c>
      <c r="AS2" s="35" t="s">
        <v>159</v>
      </c>
      <c r="AT2" s="35" t="s">
        <v>160</v>
      </c>
      <c r="AU2" s="35" t="s">
        <v>158</v>
      </c>
      <c r="AV2" s="35" t="s">
        <v>159</v>
      </c>
      <c r="AW2" s="35" t="s">
        <v>160</v>
      </c>
    </row>
    <row r="3" spans="1:49">
      <c r="A3" s="2">
        <v>1</v>
      </c>
      <c r="B3" s="2" t="s">
        <v>65</v>
      </c>
      <c r="C3" s="37" t="s">
        <v>161</v>
      </c>
      <c r="D3" s="2" t="s">
        <v>162</v>
      </c>
      <c r="E3" s="20">
        <v>314382968</v>
      </c>
      <c r="F3" s="20">
        <v>13515528</v>
      </c>
      <c r="G3" s="38">
        <f>E3/F3</f>
        <v>23.2608720872762</v>
      </c>
      <c r="H3" s="20">
        <v>344943829</v>
      </c>
      <c r="I3" s="20">
        <v>11834709</v>
      </c>
      <c r="J3" s="38">
        <f>H3/I3</f>
        <v>29.1467943149257</v>
      </c>
      <c r="K3" s="20">
        <v>5119394</v>
      </c>
      <c r="L3" s="20">
        <v>9461152</v>
      </c>
      <c r="M3" s="49">
        <f>K3/L3</f>
        <v>0.541096263964473</v>
      </c>
      <c r="N3" s="20">
        <v>21745870</v>
      </c>
      <c r="O3" s="20">
        <v>7594467</v>
      </c>
      <c r="P3" s="49">
        <f>N3/O3</f>
        <v>2.86338330260702</v>
      </c>
      <c r="Q3" s="20">
        <v>42704</v>
      </c>
      <c r="R3" s="20">
        <v>11214</v>
      </c>
      <c r="S3" s="49">
        <f>Q3/R3</f>
        <v>3.80809702158017</v>
      </c>
      <c r="T3" s="20">
        <v>69930612</v>
      </c>
      <c r="U3" s="20">
        <v>10000000</v>
      </c>
      <c r="V3" s="38">
        <f>T3/U3</f>
        <v>6.9930612</v>
      </c>
      <c r="W3" s="20">
        <v>27958000</v>
      </c>
      <c r="X3" s="20">
        <v>10121760</v>
      </c>
      <c r="Y3" s="49">
        <f>W3/X3</f>
        <v>2.76216784432747</v>
      </c>
      <c r="Z3" s="20">
        <v>89148101</v>
      </c>
      <c r="AA3" s="20">
        <v>9488754</v>
      </c>
      <c r="AB3" s="49">
        <f>Z3/AA3</f>
        <v>9.3951324905251</v>
      </c>
      <c r="AC3" s="20">
        <v>-127394548</v>
      </c>
      <c r="AD3" s="20">
        <v>8679938</v>
      </c>
      <c r="AE3" s="39">
        <f>AC3/AD3</f>
        <v>-14.6768960792116</v>
      </c>
      <c r="AF3" s="20">
        <v>2077504</v>
      </c>
      <c r="AG3" s="20">
        <v>8904242</v>
      </c>
      <c r="AH3" s="49">
        <f>AF3/AG3</f>
        <v>0.233316210408477</v>
      </c>
      <c r="AI3" s="20">
        <v>113908890</v>
      </c>
      <c r="AJ3" s="20">
        <v>10825566</v>
      </c>
      <c r="AK3" s="38">
        <f>AI3/AJ3</f>
        <v>10.522211032661</v>
      </c>
      <c r="AL3" s="20">
        <v>111938704</v>
      </c>
      <c r="AM3" s="20">
        <v>8481060</v>
      </c>
      <c r="AN3" s="38">
        <f>AL3/AM3</f>
        <v>13.1986690342952</v>
      </c>
      <c r="AO3" s="20">
        <v>31935547</v>
      </c>
      <c r="AP3" s="20">
        <v>8189114</v>
      </c>
      <c r="AQ3" s="49">
        <f>AO3/AP3</f>
        <v>3.89975606640718</v>
      </c>
      <c r="AR3" s="20">
        <v>23324317</v>
      </c>
      <c r="AS3" s="20">
        <v>6102000</v>
      </c>
      <c r="AT3" s="38">
        <f>AR3/AS3</f>
        <v>3.82240527695837</v>
      </c>
      <c r="AU3" s="20">
        <v>-207284112</v>
      </c>
      <c r="AV3" s="20">
        <v>6904728</v>
      </c>
      <c r="AW3" s="219">
        <f>AU3/AV3</f>
        <v>-30.0206050115225</v>
      </c>
    </row>
    <row r="4" spans="1:49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49"/>
      <c r="N4" s="20"/>
      <c r="O4" s="20"/>
      <c r="P4" s="49"/>
      <c r="Q4" s="20"/>
      <c r="R4" s="20"/>
      <c r="S4" s="49"/>
      <c r="T4" s="20"/>
      <c r="U4" s="20"/>
      <c r="V4" s="38"/>
      <c r="W4" s="20"/>
      <c r="X4" s="20"/>
      <c r="Y4" s="49"/>
      <c r="Z4" s="20"/>
      <c r="AA4" s="20"/>
      <c r="AB4" s="49"/>
      <c r="AC4" s="20"/>
      <c r="AD4" s="20"/>
      <c r="AE4" s="39"/>
      <c r="AF4" s="20"/>
      <c r="AG4" s="20"/>
      <c r="AH4" s="49"/>
      <c r="AI4" s="20"/>
      <c r="AJ4" s="20"/>
      <c r="AK4" s="38"/>
      <c r="AL4" s="20"/>
      <c r="AM4" s="20"/>
      <c r="AN4" s="38"/>
      <c r="AO4" s="20"/>
      <c r="AP4" s="20"/>
      <c r="AQ4" s="49"/>
      <c r="AR4" s="20"/>
      <c r="AS4" s="20"/>
      <c r="AT4" s="38"/>
      <c r="AU4" s="20"/>
      <c r="AV4" s="20"/>
      <c r="AW4" s="219"/>
    </row>
    <row r="5" spans="1:49">
      <c r="A5" s="2"/>
      <c r="D5" s="2"/>
      <c r="E5" s="78"/>
      <c r="F5" s="20"/>
      <c r="G5" s="38"/>
      <c r="H5" s="78"/>
      <c r="I5" s="20"/>
      <c r="J5" s="38"/>
      <c r="K5" s="78"/>
      <c r="L5" s="20"/>
      <c r="M5" s="38"/>
      <c r="N5" s="78" t="s">
        <v>544</v>
      </c>
      <c r="O5" s="20"/>
      <c r="P5" s="38"/>
      <c r="Q5" s="78"/>
      <c r="R5" s="20"/>
      <c r="S5" s="38"/>
      <c r="T5" s="78"/>
      <c r="U5" s="20"/>
      <c r="V5" s="38"/>
      <c r="W5" s="87" t="s">
        <v>544</v>
      </c>
      <c r="X5" s="20"/>
      <c r="Y5" s="38"/>
      <c r="Z5" s="87" t="s">
        <v>545</v>
      </c>
      <c r="AA5" s="20"/>
      <c r="AB5" s="38"/>
      <c r="AC5" s="87" t="s">
        <v>546</v>
      </c>
      <c r="AD5" s="20"/>
      <c r="AE5" s="38"/>
      <c r="AF5" s="252" t="s">
        <v>547</v>
      </c>
      <c r="AG5" s="20"/>
      <c r="AH5" s="38"/>
      <c r="AI5" s="98" t="s">
        <v>547</v>
      </c>
      <c r="AJ5" s="20"/>
      <c r="AK5" s="38"/>
      <c r="AL5" s="98"/>
      <c r="AM5" s="20"/>
      <c r="AN5" s="38"/>
      <c r="AO5" s="98" t="s">
        <v>548</v>
      </c>
      <c r="AP5" s="20"/>
      <c r="AQ5" s="38"/>
      <c r="AR5" s="98"/>
      <c r="AS5" s="20"/>
      <c r="AT5" s="38"/>
      <c r="AU5" s="98" t="s">
        <v>549</v>
      </c>
      <c r="AV5" s="253" t="s">
        <v>550</v>
      </c>
      <c r="AW5" s="254" t="s">
        <v>551</v>
      </c>
    </row>
    <row r="6" spans="1:49">
      <c r="A6" s="2">
        <v>2</v>
      </c>
      <c r="B6" s="41" t="s">
        <v>166</v>
      </c>
      <c r="C6" s="37" t="s">
        <v>167</v>
      </c>
      <c r="D6" s="2" t="s">
        <v>168</v>
      </c>
      <c r="E6" s="20">
        <v>623</v>
      </c>
      <c r="F6" s="42">
        <f>G3</f>
        <v>23.2608720872762</v>
      </c>
      <c r="G6" s="38">
        <f>E6/F6</f>
        <v>26.7831746661289</v>
      </c>
      <c r="H6" s="20">
        <v>640</v>
      </c>
      <c r="I6" s="42">
        <f>J3</f>
        <v>29.1467943149257</v>
      </c>
      <c r="J6" s="38">
        <f>H6/I6</f>
        <v>21.9578178335812</v>
      </c>
      <c r="K6" s="20">
        <v>632</v>
      </c>
      <c r="L6" s="42">
        <f>M3</f>
        <v>0.541096263964473</v>
      </c>
      <c r="M6" s="39">
        <f>K6/L6</f>
        <v>1167.99919365456</v>
      </c>
      <c r="N6" s="20">
        <v>741</v>
      </c>
      <c r="O6" s="42">
        <f>P3</f>
        <v>2.86338330260702</v>
      </c>
      <c r="P6" s="49">
        <f>N6/O6</f>
        <v>258.784773706455</v>
      </c>
      <c r="Q6" s="20">
        <v>504</v>
      </c>
      <c r="R6" s="42">
        <f>S3</f>
        <v>3.80809702158017</v>
      </c>
      <c r="S6" s="49">
        <f>Q6/R6</f>
        <v>132.349569127014</v>
      </c>
      <c r="T6" s="20">
        <v>543</v>
      </c>
      <c r="U6" s="42">
        <f>V3</f>
        <v>6.9930612</v>
      </c>
      <c r="V6" s="38">
        <f>T6/U6</f>
        <v>77.6483981006773</v>
      </c>
      <c r="W6" s="20">
        <v>504</v>
      </c>
      <c r="X6" s="42">
        <f>Y3</f>
        <v>2.76216784432747</v>
      </c>
      <c r="Y6" s="49">
        <f>W6/X6</f>
        <v>182.465378067101</v>
      </c>
      <c r="Z6" s="20">
        <v>549.96</v>
      </c>
      <c r="AA6" s="42">
        <f>AB3</f>
        <v>9.3951324905251</v>
      </c>
      <c r="AB6" s="49">
        <f>Z6/AA6</f>
        <v>58.5366944590328</v>
      </c>
      <c r="AC6" s="20">
        <v>583</v>
      </c>
      <c r="AD6" s="42">
        <f>AE3</f>
        <v>-14.6768960792116</v>
      </c>
      <c r="AE6" s="39">
        <f>AC6/AD6</f>
        <v>-39.7222952900622</v>
      </c>
      <c r="AF6" s="20">
        <v>512</v>
      </c>
      <c r="AG6" s="42">
        <f>AH3</f>
        <v>0.233316210408477</v>
      </c>
      <c r="AH6" s="39">
        <f>AF6/AG6</f>
        <v>2194.4467514864</v>
      </c>
      <c r="AI6" s="20">
        <v>431</v>
      </c>
      <c r="AJ6" s="42">
        <f>AK3</f>
        <v>10.522211032661</v>
      </c>
      <c r="AK6" s="38">
        <f>AI6/AJ6</f>
        <v>40.9609728090582</v>
      </c>
      <c r="AL6" s="20">
        <v>521.87</v>
      </c>
      <c r="AM6" s="42">
        <f>AN3</f>
        <v>13.1986690342952</v>
      </c>
      <c r="AN6" s="38">
        <f>AL6/AM6</f>
        <v>39.5395928668247</v>
      </c>
      <c r="AO6" s="20">
        <v>539.47</v>
      </c>
      <c r="AP6" s="42">
        <f>AQ3</f>
        <v>3.89975606640718</v>
      </c>
      <c r="AQ6" s="49">
        <f>AO6/AP6</f>
        <v>138.334293431079</v>
      </c>
      <c r="AR6" s="20">
        <v>642</v>
      </c>
      <c r="AS6" s="42">
        <f>AT3</f>
        <v>3.82240527695837</v>
      </c>
      <c r="AT6" s="43">
        <f>AR6/AS6</f>
        <v>167.957072440749</v>
      </c>
      <c r="AU6" s="20">
        <v>503</v>
      </c>
      <c r="AV6" s="42">
        <f>AW3</f>
        <v>-30.0206050115225</v>
      </c>
      <c r="AW6" s="219">
        <f>AU6/AV6</f>
        <v>-16.7551586587591</v>
      </c>
    </row>
    <row r="7" spans="1:49">
      <c r="A7" s="2"/>
      <c r="B7" s="41"/>
      <c r="C7" s="2" t="s">
        <v>169</v>
      </c>
      <c r="D7" s="2"/>
      <c r="E7" s="20"/>
      <c r="F7" s="42"/>
      <c r="G7" s="38"/>
      <c r="H7" s="20"/>
      <c r="I7" s="42"/>
      <c r="J7" s="38"/>
      <c r="K7" s="20"/>
      <c r="L7" s="42"/>
      <c r="M7" s="39"/>
      <c r="N7" s="20"/>
      <c r="O7" s="42"/>
      <c r="P7" s="49"/>
      <c r="Q7" s="20"/>
      <c r="R7" s="42"/>
      <c r="S7" s="49"/>
      <c r="T7" s="20"/>
      <c r="U7" s="42"/>
      <c r="V7" s="38"/>
      <c r="W7" s="20"/>
      <c r="X7" s="42"/>
      <c r="Y7" s="49"/>
      <c r="Z7" s="20"/>
      <c r="AA7" s="42"/>
      <c r="AB7" s="49"/>
      <c r="AC7" s="20"/>
      <c r="AD7" s="42"/>
      <c r="AE7" s="39"/>
      <c r="AF7" s="20"/>
      <c r="AG7" s="42"/>
      <c r="AH7" s="39"/>
      <c r="AI7" s="20"/>
      <c r="AJ7" s="42"/>
      <c r="AK7" s="38"/>
      <c r="AL7" s="20"/>
      <c r="AM7" s="42"/>
      <c r="AN7" s="38"/>
      <c r="AO7" s="20"/>
      <c r="AP7" s="42"/>
      <c r="AQ7" s="49"/>
      <c r="AR7" s="20"/>
      <c r="AS7" s="42"/>
      <c r="AT7" s="43"/>
      <c r="AU7" s="20"/>
      <c r="AV7" s="42"/>
      <c r="AW7" s="219"/>
    </row>
    <row r="8" spans="1:49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232"/>
      <c r="Q8" s="20"/>
      <c r="R8" s="42"/>
      <c r="S8" s="232"/>
      <c r="T8" s="20"/>
      <c r="U8" s="42"/>
      <c r="V8" s="232"/>
      <c r="W8" s="20"/>
      <c r="X8" s="42"/>
      <c r="Y8" s="232"/>
      <c r="Z8" s="20"/>
      <c r="AA8" s="42"/>
      <c r="AB8" s="232"/>
      <c r="AC8" s="20"/>
      <c r="AD8" s="42"/>
      <c r="AE8" s="232"/>
      <c r="AF8" s="20"/>
      <c r="AG8" s="42"/>
      <c r="AH8" s="232"/>
      <c r="AI8" s="20"/>
      <c r="AJ8" s="42"/>
      <c r="AK8" s="232"/>
      <c r="AL8" s="20"/>
      <c r="AM8" s="42"/>
      <c r="AN8" s="232"/>
      <c r="AO8" s="20"/>
      <c r="AP8" s="42"/>
      <c r="AQ8" s="232"/>
      <c r="AR8" s="20"/>
      <c r="AS8" s="42"/>
      <c r="AT8" s="232"/>
      <c r="AU8" s="20"/>
      <c r="AV8" s="42"/>
      <c r="AW8" s="232"/>
    </row>
    <row r="9" spans="1:49">
      <c r="A9" s="2">
        <v>3</v>
      </c>
      <c r="B9" s="2" t="s">
        <v>170</v>
      </c>
      <c r="C9" s="2" t="s">
        <v>171</v>
      </c>
      <c r="D9" s="2" t="s">
        <v>172</v>
      </c>
      <c r="E9" s="82">
        <f>E3</f>
        <v>314382968</v>
      </c>
      <c r="F9" s="82">
        <v>223339648</v>
      </c>
      <c r="G9" s="38">
        <f>((E9-F9)/F9)*100</f>
        <v>40.7645130702454</v>
      </c>
      <c r="H9" s="82">
        <f>H3</f>
        <v>344943829</v>
      </c>
      <c r="I9" s="20">
        <v>113243318</v>
      </c>
      <c r="J9" s="38">
        <f>((H9-I9)/I9)*100</f>
        <v>204.604134788774</v>
      </c>
      <c r="K9" s="20">
        <f>K3</f>
        <v>5119394</v>
      </c>
      <c r="L9" s="20">
        <v>148429282</v>
      </c>
      <c r="M9" s="39">
        <f>((K9-L9)/L9)*100</f>
        <v>-96.5509541439404</v>
      </c>
      <c r="N9" s="20">
        <f>N3</f>
        <v>21745870</v>
      </c>
      <c r="O9" s="20">
        <v>-28181535</v>
      </c>
      <c r="P9" s="38">
        <f>((N9-O9)/O9)*-100</f>
        <v>177.163539885248</v>
      </c>
      <c r="Q9" s="20">
        <f>Q3</f>
        <v>42704</v>
      </c>
      <c r="R9" s="20">
        <v>42609</v>
      </c>
      <c r="S9" s="38">
        <f>((Q9-R9)/R9)*100</f>
        <v>0.222957591119247</v>
      </c>
      <c r="T9" s="20">
        <f>T3</f>
        <v>69930612</v>
      </c>
      <c r="U9" s="20">
        <v>61659323</v>
      </c>
      <c r="V9" s="38">
        <f>((T9-U9)/U9)*100</f>
        <v>13.4144985665834</v>
      </c>
      <c r="W9" s="20">
        <f>W3</f>
        <v>27958000</v>
      </c>
      <c r="X9" s="20">
        <v>-3798000</v>
      </c>
      <c r="Y9" s="38">
        <f>((W9-X9)/X9)*-100</f>
        <v>836.124275934702</v>
      </c>
      <c r="Z9" s="20">
        <f>Z3</f>
        <v>89148101</v>
      </c>
      <c r="AA9" s="20">
        <v>-341636426</v>
      </c>
      <c r="AB9" s="38">
        <f>((Z9-AA9)/AA9)*-100</f>
        <v>126.094436721452</v>
      </c>
      <c r="AC9" s="20">
        <f>AC3</f>
        <v>-127394548</v>
      </c>
      <c r="AD9" s="20">
        <v>42373855</v>
      </c>
      <c r="AE9" s="39">
        <f>((AC9-AD9)/AD9)*100</f>
        <v>-400.644225076996</v>
      </c>
      <c r="AF9" s="20">
        <f>AF3</f>
        <v>2077504</v>
      </c>
      <c r="AG9" s="20">
        <v>-100614500</v>
      </c>
      <c r="AH9" s="39">
        <f>((AF9-AG9)/AG9)*-100</f>
        <v>102.064815707478</v>
      </c>
      <c r="AI9" s="20">
        <f>AI3</f>
        <v>113908890</v>
      </c>
      <c r="AJ9" s="20">
        <v>-106459300</v>
      </c>
      <c r="AK9" s="38">
        <f>((AI9-AJ9)/AJ9)*-100</f>
        <v>206.997594385836</v>
      </c>
      <c r="AL9" s="20">
        <f>AL3</f>
        <v>111938704</v>
      </c>
      <c r="AM9" s="20">
        <v>116857089</v>
      </c>
      <c r="AN9" s="38">
        <f>((AL9-AM9)/AM9)*-100</f>
        <v>4.20888885910892</v>
      </c>
      <c r="AO9" s="20">
        <f>AO3</f>
        <v>31935547</v>
      </c>
      <c r="AP9" s="20">
        <v>-136123110</v>
      </c>
      <c r="AQ9" s="38">
        <f>((AO9-AP9)/AP9)*-100</f>
        <v>123.460782669453</v>
      </c>
      <c r="AR9" s="20">
        <f>AR3</f>
        <v>23324317</v>
      </c>
      <c r="AS9" s="20">
        <v>10485256</v>
      </c>
      <c r="AT9" s="38">
        <f>((AR9-AS9)/AS9)*100</f>
        <v>122.448712744829</v>
      </c>
      <c r="AU9" s="20">
        <f>AU3</f>
        <v>-207284112</v>
      </c>
      <c r="AV9" s="20">
        <v>-137163025</v>
      </c>
      <c r="AW9" s="38">
        <f>((AU9-AV9)/AV9)*-100</f>
        <v>-51.122441343066</v>
      </c>
    </row>
    <row r="10" spans="1:49">
      <c r="A10" s="2"/>
      <c r="E10" s="45"/>
      <c r="G10" s="40"/>
      <c r="H10" s="45"/>
      <c r="J10" s="40"/>
      <c r="K10" s="98" t="s">
        <v>289</v>
      </c>
      <c r="M10" s="40"/>
      <c r="N10" s="98"/>
      <c r="P10" s="40" t="s">
        <v>552</v>
      </c>
      <c r="Q10" s="98"/>
      <c r="S10" s="40"/>
      <c r="T10" s="98"/>
      <c r="V10" s="40"/>
      <c r="W10" s="98" t="s">
        <v>553</v>
      </c>
      <c r="Y10" s="40" t="s">
        <v>552</v>
      </c>
      <c r="Z10" s="98" t="s">
        <v>554</v>
      </c>
      <c r="AB10" s="40" t="s">
        <v>552</v>
      </c>
      <c r="AC10" s="98" t="s">
        <v>289</v>
      </c>
      <c r="AE10" s="40"/>
      <c r="AF10" s="98" t="s">
        <v>289</v>
      </c>
      <c r="AH10" s="40" t="s">
        <v>552</v>
      </c>
      <c r="AI10" s="98" t="s">
        <v>289</v>
      </c>
      <c r="AK10" s="40" t="s">
        <v>552</v>
      </c>
      <c r="AL10" s="98"/>
      <c r="AN10" s="40"/>
      <c r="AO10" s="98" t="s">
        <v>289</v>
      </c>
      <c r="AQ10" s="40" t="s">
        <v>555</v>
      </c>
      <c r="AR10" s="98"/>
      <c r="AT10" s="40"/>
      <c r="AU10" s="98" t="s">
        <v>289</v>
      </c>
      <c r="AW10" s="40" t="s">
        <v>552</v>
      </c>
    </row>
    <row r="11" spans="1:49">
      <c r="A11" s="2">
        <v>4</v>
      </c>
      <c r="B11" s="2" t="s">
        <v>173</v>
      </c>
      <c r="C11" s="41" t="s">
        <v>174</v>
      </c>
      <c r="D11" s="41" t="s">
        <v>172</v>
      </c>
      <c r="E11" s="20">
        <v>2444275714</v>
      </c>
      <c r="F11" s="20">
        <v>2216173901</v>
      </c>
      <c r="G11" s="38">
        <f>((E11-F11)/F11)*100</f>
        <v>10.2925954004365</v>
      </c>
      <c r="H11" s="20">
        <v>2186129696</v>
      </c>
      <c r="I11" s="20">
        <v>1906054300</v>
      </c>
      <c r="J11" s="38">
        <f>((H11-I11)/I11)*100</f>
        <v>14.6939883087276</v>
      </c>
      <c r="K11" s="20">
        <v>1865184750</v>
      </c>
      <c r="L11" s="20">
        <v>1776091757</v>
      </c>
      <c r="M11" s="38">
        <f>((K11-L11)/L11)*100</f>
        <v>5.01623818977051</v>
      </c>
      <c r="N11" s="20">
        <v>1043286207</v>
      </c>
      <c r="O11" s="20">
        <v>970787693</v>
      </c>
      <c r="P11" s="38">
        <f>((N11-O11)/O11)*100</f>
        <v>7.46800917675004</v>
      </c>
      <c r="Q11" s="20">
        <v>1234593</v>
      </c>
      <c r="R11" s="20">
        <v>1172346</v>
      </c>
      <c r="S11" s="38">
        <f>((Q11-R11)/R11)*100</f>
        <v>5.30960996156425</v>
      </c>
      <c r="T11" s="20">
        <v>1422311470</v>
      </c>
      <c r="U11" s="20">
        <v>1343520904</v>
      </c>
      <c r="V11" s="38">
        <f>((T11-U11)/U11)*100</f>
        <v>5.86448381751416</v>
      </c>
      <c r="W11" s="20">
        <v>1422311470</v>
      </c>
      <c r="X11" s="20">
        <v>1343520904</v>
      </c>
      <c r="Y11" s="38">
        <f>((W11-X11)/X11)*100</f>
        <v>5.86448381751416</v>
      </c>
      <c r="Z11" s="20">
        <v>1422311470</v>
      </c>
      <c r="AA11" s="20">
        <v>1343520904</v>
      </c>
      <c r="AB11" s="38">
        <f>((Z11-AA11)/AA11)*100</f>
        <v>5.86448381751416</v>
      </c>
      <c r="AC11" s="20">
        <v>1422311470</v>
      </c>
      <c r="AD11" s="20">
        <v>1343520904</v>
      </c>
      <c r="AE11" s="38">
        <f>((AC11-AD11)/AD11)*100</f>
        <v>5.86448381751416</v>
      </c>
      <c r="AF11" s="20">
        <v>1422311470</v>
      </c>
      <c r="AG11" s="20">
        <v>1343520904</v>
      </c>
      <c r="AH11" s="38">
        <f>((AF11-AG11)/AG11)*100</f>
        <v>5.86448381751416</v>
      </c>
      <c r="AI11" s="20">
        <v>1422311470</v>
      </c>
      <c r="AJ11" s="20">
        <v>1343520904</v>
      </c>
      <c r="AK11" s="38">
        <f>((AI11-AJ11)/AJ11)*100</f>
        <v>5.86448381751416</v>
      </c>
      <c r="AL11" s="20">
        <v>672008650</v>
      </c>
      <c r="AM11" s="20">
        <v>456439736</v>
      </c>
      <c r="AN11" s="38">
        <f>((AL11-AM11)/AM11)*100</f>
        <v>47.228340785825</v>
      </c>
      <c r="AO11" s="20">
        <v>672008650</v>
      </c>
      <c r="AP11" s="20">
        <v>456439736</v>
      </c>
      <c r="AQ11" s="38">
        <f>((AO11-AP11)/AP11)*100</f>
        <v>47.228340785825</v>
      </c>
      <c r="AR11" s="20">
        <v>768906829</v>
      </c>
      <c r="AS11" s="20">
        <v>689786079</v>
      </c>
      <c r="AT11" s="38">
        <f>((AR11-AS11)/AS11)*100</f>
        <v>11.4703315141853</v>
      </c>
      <c r="AU11" s="20">
        <v>768906829</v>
      </c>
      <c r="AV11" s="20">
        <v>689786079</v>
      </c>
      <c r="AW11" s="38">
        <f>((AU11-AV11)/AV11)*100</f>
        <v>11.4703315141853</v>
      </c>
    </row>
    <row r="12" spans="1:49">
      <c r="A12" s="2"/>
      <c r="B12" s="2"/>
      <c r="C12" s="41"/>
      <c r="D12" s="41"/>
      <c r="E12" s="20"/>
      <c r="F12" s="20"/>
      <c r="G12" s="38"/>
      <c r="H12" s="20"/>
      <c r="I12" s="20"/>
      <c r="J12" s="38"/>
      <c r="K12" s="20"/>
      <c r="L12" s="20"/>
      <c r="M12" s="38"/>
      <c r="N12" s="20"/>
      <c r="O12" s="20"/>
      <c r="P12" s="38"/>
      <c r="Q12" s="20"/>
      <c r="R12" s="20"/>
      <c r="S12" s="38"/>
      <c r="T12" s="20"/>
      <c r="U12" s="20"/>
      <c r="V12" s="38"/>
      <c r="W12" s="20"/>
      <c r="X12" s="20"/>
      <c r="Y12" s="38"/>
      <c r="Z12" s="20"/>
      <c r="AA12" s="20"/>
      <c r="AB12" s="38"/>
      <c r="AC12" s="20"/>
      <c r="AD12" s="20"/>
      <c r="AE12" s="38"/>
      <c r="AF12" s="20"/>
      <c r="AG12" s="20"/>
      <c r="AH12" s="38"/>
      <c r="AI12" s="20"/>
      <c r="AJ12" s="20"/>
      <c r="AK12" s="38"/>
      <c r="AL12" s="20"/>
      <c r="AM12" s="20"/>
      <c r="AN12" s="38"/>
      <c r="AO12" s="20"/>
      <c r="AP12" s="20"/>
      <c r="AQ12" s="38"/>
      <c r="AR12" s="20"/>
      <c r="AS12" s="20"/>
      <c r="AT12" s="38"/>
      <c r="AU12" s="20"/>
      <c r="AV12" s="20"/>
      <c r="AW12" s="38"/>
    </row>
    <row r="13" spans="1:49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  <c r="Z13" s="83"/>
      <c r="AA13" s="2"/>
      <c r="AB13" s="80"/>
      <c r="AC13" s="83"/>
      <c r="AD13" s="2"/>
      <c r="AE13" s="80"/>
      <c r="AF13" s="83"/>
      <c r="AG13" s="2"/>
      <c r="AH13" s="80"/>
      <c r="AI13" s="83"/>
      <c r="AJ13" s="2"/>
      <c r="AK13" s="80"/>
      <c r="AL13" s="83"/>
      <c r="AM13" s="2"/>
      <c r="AN13" s="80"/>
      <c r="AO13" s="83"/>
      <c r="AP13" s="2"/>
      <c r="AQ13" s="80"/>
      <c r="AR13" s="83"/>
      <c r="AS13" s="2"/>
      <c r="AT13" s="80"/>
      <c r="AU13" s="83"/>
      <c r="AV13" s="2"/>
      <c r="AW13" s="80"/>
    </row>
    <row r="14" spans="1:49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314382968</v>
      </c>
      <c r="F14" s="20">
        <f>E11</f>
        <v>2444275714</v>
      </c>
      <c r="G14" s="44">
        <f>(E14/F14)</f>
        <v>0.128620092324004</v>
      </c>
      <c r="H14" s="20">
        <f>H3</f>
        <v>344943829</v>
      </c>
      <c r="I14" s="20">
        <f>H11</f>
        <v>2186129696</v>
      </c>
      <c r="J14" s="44">
        <f>(H14/I14)</f>
        <v>0.157787449496318</v>
      </c>
      <c r="K14" s="20">
        <f>K3</f>
        <v>5119394</v>
      </c>
      <c r="L14" s="20">
        <f>K11</f>
        <v>1865184750</v>
      </c>
      <c r="M14" s="44">
        <f>(K14/L14)</f>
        <v>0.00274471148233439</v>
      </c>
      <c r="N14" s="20">
        <f>N3</f>
        <v>21745870</v>
      </c>
      <c r="O14" s="20">
        <f>N11</f>
        <v>1043286207</v>
      </c>
      <c r="P14" s="44">
        <f>(N14/O14)</f>
        <v>0.0208436283870089</v>
      </c>
      <c r="Q14" s="20">
        <f>Q3</f>
        <v>42704</v>
      </c>
      <c r="R14" s="20">
        <f>Q11</f>
        <v>1234593</v>
      </c>
      <c r="S14" s="44">
        <f>(Q14/R14)</f>
        <v>0.034589536794717</v>
      </c>
      <c r="T14" s="20">
        <f>T3</f>
        <v>69930612</v>
      </c>
      <c r="U14" s="20">
        <f>T11</f>
        <v>1422311470</v>
      </c>
      <c r="V14" s="44">
        <f>(T14/U14)</f>
        <v>0.049166876225782</v>
      </c>
      <c r="W14" s="20">
        <f>W3</f>
        <v>27958000</v>
      </c>
      <c r="X14" s="20">
        <f>W11</f>
        <v>1422311470</v>
      </c>
      <c r="Y14" s="44">
        <f>(W14/X14)</f>
        <v>0.019656735243793</v>
      </c>
      <c r="Z14" s="20">
        <f>Z3</f>
        <v>89148101</v>
      </c>
      <c r="AA14" s="20">
        <f>Z11</f>
        <v>1422311470</v>
      </c>
      <c r="AB14" s="44">
        <f>(Z14/AA14)</f>
        <v>0.0626783253038099</v>
      </c>
      <c r="AC14" s="20">
        <f>AC3</f>
        <v>-127394548</v>
      </c>
      <c r="AD14" s="20">
        <f>AC11</f>
        <v>1422311470</v>
      </c>
      <c r="AE14" s="44">
        <f>(AC14/AD14)</f>
        <v>-0.0895686709184733</v>
      </c>
      <c r="AF14" s="20">
        <f>AF3</f>
        <v>2077504</v>
      </c>
      <c r="AG14" s="20">
        <f>AF11</f>
        <v>1422311470</v>
      </c>
      <c r="AH14" s="44">
        <f>(AF14/AG14)</f>
        <v>0.00146065334057947</v>
      </c>
      <c r="AI14" s="20">
        <f>AI3</f>
        <v>113908890</v>
      </c>
      <c r="AJ14" s="20">
        <f>AI11</f>
        <v>1422311470</v>
      </c>
      <c r="AK14" s="44">
        <f>(AI14/AJ14)</f>
        <v>0.080087162624091</v>
      </c>
      <c r="AL14" s="20">
        <f>AL3</f>
        <v>111938704</v>
      </c>
      <c r="AM14" s="20">
        <f>AL11</f>
        <v>672008650</v>
      </c>
      <c r="AN14" s="44">
        <f>(AL14/AM14)</f>
        <v>0.166573308245363</v>
      </c>
      <c r="AO14" s="20">
        <f>AO3</f>
        <v>31935547</v>
      </c>
      <c r="AP14" s="20">
        <f>AO11</f>
        <v>672008650</v>
      </c>
      <c r="AQ14" s="44">
        <f>(AO14/AP14)</f>
        <v>0.04752252370561</v>
      </c>
      <c r="AR14" s="20">
        <f>AR3</f>
        <v>23324317</v>
      </c>
      <c r="AS14" s="20">
        <f>AR11</f>
        <v>768906829</v>
      </c>
      <c r="AT14" s="44">
        <f>(AR14/AS14)</f>
        <v>0.0303343865866485</v>
      </c>
      <c r="AU14" s="20">
        <f>AU3</f>
        <v>-207284112</v>
      </c>
      <c r="AV14" s="20">
        <f>AU11</f>
        <v>768906829</v>
      </c>
      <c r="AW14" s="44">
        <f>(AU14/AV14)</f>
        <v>-0.269582872959501</v>
      </c>
    </row>
    <row r="15" spans="1:49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44"/>
      <c r="K15" s="20"/>
      <c r="L15" s="2"/>
      <c r="M15" s="44"/>
      <c r="N15" s="20"/>
      <c r="O15" s="2"/>
      <c r="P15" s="44"/>
      <c r="Q15" s="20"/>
      <c r="R15" s="2"/>
      <c r="S15" s="44"/>
      <c r="T15" s="20"/>
      <c r="U15" s="2"/>
      <c r="V15" s="44"/>
      <c r="W15" s="20"/>
      <c r="X15" s="2"/>
      <c r="Y15" s="44"/>
      <c r="Z15" s="20"/>
      <c r="AA15" s="2"/>
      <c r="AB15" s="44"/>
      <c r="AC15" s="20"/>
      <c r="AD15" s="2"/>
      <c r="AE15" s="44"/>
      <c r="AF15" s="20"/>
      <c r="AG15" s="2"/>
      <c r="AH15" s="44"/>
      <c r="AI15" s="20"/>
      <c r="AJ15" s="2"/>
      <c r="AK15" s="44"/>
      <c r="AL15" s="20"/>
      <c r="AM15" s="2"/>
      <c r="AN15" s="44"/>
      <c r="AO15" s="20"/>
      <c r="AP15" s="2"/>
      <c r="AQ15" s="44"/>
      <c r="AR15" s="20"/>
      <c r="AS15" s="2"/>
      <c r="AT15" s="44"/>
      <c r="AU15" s="20"/>
      <c r="AV15" s="2"/>
      <c r="AW15" s="44"/>
    </row>
    <row r="16" spans="1:49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20"/>
      <c r="AM16" s="2"/>
      <c r="AN16" s="38"/>
      <c r="AO16" s="20"/>
      <c r="AP16" s="2"/>
      <c r="AQ16" s="38"/>
      <c r="AR16" s="20"/>
      <c r="AS16" s="2"/>
      <c r="AT16" s="38"/>
      <c r="AU16" s="20"/>
      <c r="AV16" s="2"/>
      <c r="AW16" s="38"/>
    </row>
    <row r="17" ht="30" spans="1:49">
      <c r="A17" s="2">
        <v>6</v>
      </c>
      <c r="B17" s="2" t="s">
        <v>177</v>
      </c>
      <c r="C17" s="2" t="s">
        <v>171</v>
      </c>
      <c r="D17" s="41" t="s">
        <v>178</v>
      </c>
      <c r="E17" s="20">
        <v>17909140732</v>
      </c>
      <c r="F17" s="20">
        <v>13999297975</v>
      </c>
      <c r="G17" s="38">
        <f>((E17-F17)/F17)*100</f>
        <v>27.9288487464315</v>
      </c>
      <c r="H17" s="20">
        <v>16879014186</v>
      </c>
      <c r="I17" s="20">
        <v>14257565269</v>
      </c>
      <c r="J17" s="38">
        <f>((H17-I17)/I17)*100</f>
        <v>18.3863714985039</v>
      </c>
      <c r="K17" s="20">
        <v>16879014186</v>
      </c>
      <c r="L17" s="20">
        <v>14257565269</v>
      </c>
      <c r="M17" s="38">
        <f>((K17-L17)/L17)*100</f>
        <v>18.3863714985039</v>
      </c>
      <c r="N17" s="20">
        <v>2495169199</v>
      </c>
      <c r="O17" s="20">
        <v>1977767555</v>
      </c>
      <c r="P17" s="38">
        <f>((N17-O17)/O17)*100</f>
        <v>26.1608925018491</v>
      </c>
      <c r="Q17" s="20">
        <v>6737372</v>
      </c>
      <c r="R17" s="20">
        <v>5939520</v>
      </c>
      <c r="S17" s="38">
        <f>((Q17-R17)/R17)*100</f>
        <v>13.4329373417381</v>
      </c>
      <c r="T17" s="20">
        <v>6159539342</v>
      </c>
      <c r="U17" s="20">
        <v>5393053710</v>
      </c>
      <c r="V17" s="38">
        <f>((T17-U17)/U17)*100</f>
        <v>14.2124605690233</v>
      </c>
      <c r="W17" s="20">
        <v>6159539342</v>
      </c>
      <c r="X17" s="20">
        <v>5393053710</v>
      </c>
      <c r="Y17" s="38">
        <f>((W17-X17)/X17)*100</f>
        <v>14.2124605690233</v>
      </c>
      <c r="Z17" s="20">
        <v>6159539342</v>
      </c>
      <c r="AA17" s="20">
        <v>5393053710</v>
      </c>
      <c r="AB17" s="38">
        <f>((Z17-AA17)/AA17)*100</f>
        <v>14.2124605690233</v>
      </c>
      <c r="AC17" s="20">
        <v>6159539342</v>
      </c>
      <c r="AD17" s="20">
        <v>5393053710</v>
      </c>
      <c r="AE17" s="38">
        <f>((AC17-AD17)/AD17)*100</f>
        <v>14.2124605690233</v>
      </c>
      <c r="AF17" s="20">
        <v>6159539342</v>
      </c>
      <c r="AG17" s="20">
        <v>5393053710</v>
      </c>
      <c r="AH17" s="38">
        <f>((AF17-AG17)/AG17)*100</f>
        <v>14.2124605690233</v>
      </c>
      <c r="AI17" s="20">
        <v>6159539342</v>
      </c>
      <c r="AJ17" s="20">
        <v>5393053710</v>
      </c>
      <c r="AK17" s="38">
        <f>((AI17-AJ17)/AJ17)*100</f>
        <v>14.2124605690233</v>
      </c>
      <c r="AL17" s="20">
        <v>4802903734</v>
      </c>
      <c r="AM17" s="20">
        <v>3952004781</v>
      </c>
      <c r="AN17" s="38">
        <f>((AL17-AM17)/AM17)*100</f>
        <v>21.5308179051517</v>
      </c>
      <c r="AO17" s="20">
        <v>4802903734</v>
      </c>
      <c r="AP17" s="20">
        <v>3952004781</v>
      </c>
      <c r="AQ17" s="38">
        <f>((AO17-AP17)/AP17)*100</f>
        <v>21.5308179051517</v>
      </c>
      <c r="AR17" s="20">
        <v>1888125981</v>
      </c>
      <c r="AS17" s="20">
        <v>1443933256</v>
      </c>
      <c r="AT17" s="38">
        <f>((AR17-AS17)/AS17)*100</f>
        <v>30.7626909453216</v>
      </c>
      <c r="AU17" s="20">
        <v>1888125981</v>
      </c>
      <c r="AV17" s="20">
        <v>1443933256</v>
      </c>
      <c r="AW17" s="38">
        <f>((AU17-AV17)/AV17)*100</f>
        <v>30.7626909453216</v>
      </c>
    </row>
    <row r="18" spans="1:49">
      <c r="A18" s="2"/>
      <c r="B18" s="2"/>
      <c r="C18" s="2"/>
      <c r="D18" s="2"/>
      <c r="E18" s="20"/>
      <c r="F18" s="2"/>
      <c r="G18" s="38"/>
      <c r="H18" s="20"/>
      <c r="I18" s="2"/>
      <c r="J18" s="38"/>
      <c r="K18" s="20"/>
      <c r="L18" s="2"/>
      <c r="M18" s="38"/>
      <c r="N18" s="20"/>
      <c r="O18" s="2"/>
      <c r="P18" s="38"/>
      <c r="Q18" s="20"/>
      <c r="R18" s="2"/>
      <c r="S18" s="38"/>
      <c r="T18" s="20"/>
      <c r="U18" s="2"/>
      <c r="V18" s="38"/>
      <c r="W18" s="20"/>
      <c r="X18" s="2"/>
      <c r="Y18" s="38"/>
      <c r="Z18" s="20"/>
      <c r="AA18" s="2"/>
      <c r="AB18" s="38"/>
      <c r="AC18" s="20"/>
      <c r="AD18" s="2"/>
      <c r="AE18" s="38"/>
      <c r="AF18" s="20"/>
      <c r="AG18" s="2"/>
      <c r="AH18" s="38"/>
      <c r="AI18" s="20"/>
      <c r="AJ18" s="2"/>
      <c r="AK18" s="38"/>
      <c r="AL18" s="20"/>
      <c r="AM18" s="2"/>
      <c r="AN18" s="38"/>
      <c r="AO18" s="20"/>
      <c r="AP18" s="2"/>
      <c r="AQ18" s="38"/>
      <c r="AR18" s="20"/>
      <c r="AS18" s="2"/>
      <c r="AT18" s="38"/>
      <c r="AU18" s="20"/>
      <c r="AV18" s="2"/>
      <c r="AW18" s="38"/>
    </row>
    <row r="19" spans="1:49">
      <c r="A19" s="2">
        <v>7</v>
      </c>
      <c r="B19" s="6" t="s">
        <v>179</v>
      </c>
      <c r="C19" s="2" t="s">
        <v>171</v>
      </c>
      <c r="D19" s="2" t="s">
        <v>172</v>
      </c>
      <c r="E19" s="20">
        <v>21874412705</v>
      </c>
      <c r="F19" s="20">
        <v>16413518399</v>
      </c>
      <c r="G19" s="38">
        <f>((E19-F19)/F19)*100</f>
        <v>33.2707112104173</v>
      </c>
      <c r="H19" s="20">
        <v>19990292732</v>
      </c>
      <c r="I19" s="20">
        <v>18510733492</v>
      </c>
      <c r="J19" s="38">
        <f>((H19-I19)/I19)*100</f>
        <v>7.99298007634024</v>
      </c>
      <c r="K19" s="20">
        <v>19990292732</v>
      </c>
      <c r="L19" s="20">
        <v>18510733492</v>
      </c>
      <c r="M19" s="38">
        <f>((K19-L19)/L19)*100</f>
        <v>7.99298007634024</v>
      </c>
      <c r="N19" s="20">
        <v>3880259884</v>
      </c>
      <c r="O19" s="20">
        <v>2554505786</v>
      </c>
      <c r="P19" s="38">
        <f>((N19-O19)/O19)*100</f>
        <v>51.8986531667226</v>
      </c>
      <c r="Q19" s="20">
        <v>8392617</v>
      </c>
      <c r="R19" s="20">
        <v>7903762</v>
      </c>
      <c r="S19" s="38">
        <f>((Q19-R19)/R19)*100</f>
        <v>6.18509261792043</v>
      </c>
      <c r="T19" s="20">
        <v>7834807500</v>
      </c>
      <c r="U19" s="20">
        <v>7373425075</v>
      </c>
      <c r="V19" s="38">
        <f>((T19-U19)/U19)*100</f>
        <v>6.25736913723233</v>
      </c>
      <c r="W19" s="20">
        <v>7834807500</v>
      </c>
      <c r="X19" s="20">
        <v>7373425075</v>
      </c>
      <c r="Y19" s="38">
        <f>((W19-X19)/X19)*100</f>
        <v>6.25736913723233</v>
      </c>
      <c r="Z19" s="20">
        <v>7834807500</v>
      </c>
      <c r="AA19" s="20">
        <v>7373425075</v>
      </c>
      <c r="AB19" s="38">
        <f>((Z19-AA19)/AA19)*100</f>
        <v>6.25736913723233</v>
      </c>
      <c r="AC19" s="20">
        <v>7834807500</v>
      </c>
      <c r="AD19" s="20">
        <v>7373425075</v>
      </c>
      <c r="AE19" s="38">
        <f>((AC19-AD19)/AD19)*100</f>
        <v>6.25736913723233</v>
      </c>
      <c r="AF19" s="20">
        <v>7834807500</v>
      </c>
      <c r="AG19" s="20">
        <v>7373425075</v>
      </c>
      <c r="AH19" s="38">
        <f>((AF19-AG19)/AG19)*100</f>
        <v>6.25736913723233</v>
      </c>
      <c r="AI19" s="20">
        <v>7834807500</v>
      </c>
      <c r="AJ19" s="20">
        <v>7373425075</v>
      </c>
      <c r="AK19" s="38">
        <f>((AI19-AJ19)/AJ19)*100</f>
        <v>6.25736913723233</v>
      </c>
      <c r="AL19" s="20">
        <v>6980580427</v>
      </c>
      <c r="AM19" s="20">
        <v>6093057677</v>
      </c>
      <c r="AN19" s="38">
        <f>((AL19-AM19)/AM19)*100</f>
        <v>14.5661307843878</v>
      </c>
      <c r="AO19" s="20">
        <v>6980580427</v>
      </c>
      <c r="AP19" s="20">
        <v>6093057677</v>
      </c>
      <c r="AQ19" s="38">
        <f>((AO19-AP19)/AP19)*100</f>
        <v>14.5661307843878</v>
      </c>
      <c r="AR19" s="20">
        <v>3172739554</v>
      </c>
      <c r="AS19" s="20">
        <v>1870250257</v>
      </c>
      <c r="AT19" s="38">
        <f>((AR19-AS19)/AS19)*100</f>
        <v>69.6425139964571</v>
      </c>
      <c r="AU19" s="20">
        <v>3172739554</v>
      </c>
      <c r="AV19" s="20">
        <v>1870250257</v>
      </c>
      <c r="AW19" s="38">
        <f>((AU19-AV19)/AV19)*100</f>
        <v>69.6425139964571</v>
      </c>
    </row>
    <row r="20" spans="1:49">
      <c r="A20" s="2"/>
      <c r="D20" s="2"/>
      <c r="E20" s="20"/>
      <c r="F20" s="20"/>
      <c r="G20" s="80"/>
      <c r="H20" s="20"/>
      <c r="I20" s="20"/>
      <c r="J20" s="80"/>
      <c r="K20" s="20"/>
      <c r="L20" s="20"/>
      <c r="M20" s="80"/>
      <c r="N20" s="20"/>
      <c r="O20" s="20"/>
      <c r="P20" s="80"/>
      <c r="Q20" s="20"/>
      <c r="R20" s="20"/>
      <c r="S20" s="80"/>
      <c r="T20" s="20"/>
      <c r="U20" s="20"/>
      <c r="V20" s="80"/>
      <c r="W20" s="20"/>
      <c r="X20" s="20"/>
      <c r="Y20" s="80"/>
      <c r="Z20" s="20"/>
      <c r="AA20" s="20"/>
      <c r="AB20" s="80"/>
      <c r="AC20" s="20"/>
      <c r="AD20" s="20"/>
      <c r="AE20" s="80"/>
      <c r="AF20" s="20"/>
      <c r="AG20" s="20"/>
      <c r="AH20" s="80"/>
      <c r="AI20" s="20"/>
      <c r="AJ20" s="20"/>
      <c r="AK20" s="80"/>
      <c r="AL20" s="20"/>
      <c r="AM20" s="20"/>
      <c r="AN20" s="80"/>
      <c r="AO20" s="20"/>
      <c r="AP20" s="20"/>
      <c r="AQ20" s="80"/>
      <c r="AR20" s="20"/>
      <c r="AS20" s="20"/>
      <c r="AT20" s="80"/>
      <c r="AU20" s="20"/>
      <c r="AV20" s="20"/>
      <c r="AW20" s="80"/>
    </row>
    <row r="21" spans="1:49">
      <c r="A21" s="2">
        <v>8</v>
      </c>
      <c r="B21" s="2" t="s">
        <v>180</v>
      </c>
      <c r="C21" s="37" t="s">
        <v>176</v>
      </c>
      <c r="D21" s="2" t="s">
        <v>181</v>
      </c>
      <c r="E21" s="20">
        <f>E11</f>
        <v>2444275714</v>
      </c>
      <c r="F21" s="20">
        <f>F3</f>
        <v>13515528</v>
      </c>
      <c r="G21" s="38">
        <f>E21/F21</f>
        <v>180.849443247796</v>
      </c>
      <c r="H21" s="20">
        <f>H11</f>
        <v>2186129696</v>
      </c>
      <c r="I21" s="20">
        <f>I3</f>
        <v>11834709</v>
      </c>
      <c r="J21" s="38">
        <f>H21/I21</f>
        <v>184.721880022568</v>
      </c>
      <c r="K21" s="20">
        <f>K11</f>
        <v>1865184750</v>
      </c>
      <c r="L21" s="20">
        <f>L3</f>
        <v>9461152</v>
      </c>
      <c r="M21" s="38">
        <f>K21/L21</f>
        <v>197.141399905635</v>
      </c>
      <c r="N21" s="20">
        <f>N11</f>
        <v>1043286207</v>
      </c>
      <c r="O21" s="20">
        <f>O3</f>
        <v>7594467</v>
      </c>
      <c r="P21" s="38">
        <f>N21/O21</f>
        <v>137.374513181768</v>
      </c>
      <c r="Q21" s="20">
        <f>Q11</f>
        <v>1234593</v>
      </c>
      <c r="R21" s="20">
        <f>R3</f>
        <v>11214</v>
      </c>
      <c r="S21" s="38">
        <f>Q21/R21</f>
        <v>110.093900481541</v>
      </c>
      <c r="T21" s="20">
        <f>T11</f>
        <v>1422311470</v>
      </c>
      <c r="U21" s="20">
        <f>U3</f>
        <v>10000000</v>
      </c>
      <c r="V21" s="38">
        <f>T21/U21</f>
        <v>142.231147</v>
      </c>
      <c r="W21" s="20">
        <f>W11</f>
        <v>1422311470</v>
      </c>
      <c r="X21" s="20">
        <f>X3</f>
        <v>10121760</v>
      </c>
      <c r="Y21" s="38">
        <f>W21/X21</f>
        <v>140.520173369058</v>
      </c>
      <c r="Z21" s="20">
        <f>Z11</f>
        <v>1422311470</v>
      </c>
      <c r="AA21" s="20">
        <f>AA3</f>
        <v>9488754</v>
      </c>
      <c r="AB21" s="38">
        <f>Z21/AA21</f>
        <v>149.894440302699</v>
      </c>
      <c r="AC21" s="20">
        <f>AC11</f>
        <v>1422311470</v>
      </c>
      <c r="AD21" s="20">
        <f>AD3</f>
        <v>8679938</v>
      </c>
      <c r="AE21" s="38">
        <f>AC21/AD21</f>
        <v>163.8619388756</v>
      </c>
      <c r="AF21" s="20">
        <f>AF11</f>
        <v>1422311470</v>
      </c>
      <c r="AG21" s="20">
        <f>AG3</f>
        <v>8904242</v>
      </c>
      <c r="AH21" s="38">
        <f>AF21/AG21</f>
        <v>159.734143568874</v>
      </c>
      <c r="AI21" s="20">
        <f>AI11</f>
        <v>1422311470</v>
      </c>
      <c r="AJ21" s="20">
        <f>AJ3</f>
        <v>10825566</v>
      </c>
      <c r="AK21" s="38">
        <f>AI21/AJ21</f>
        <v>131.384490196633</v>
      </c>
      <c r="AL21" s="20">
        <f>AL11</f>
        <v>672008650</v>
      </c>
      <c r="AM21" s="20">
        <f>AM3</f>
        <v>8481060</v>
      </c>
      <c r="AN21" s="38">
        <f>AL21/AM21</f>
        <v>79.2363985162232</v>
      </c>
      <c r="AO21" s="20">
        <f>AO11</f>
        <v>672008650</v>
      </c>
      <c r="AP21" s="20">
        <f>AP3</f>
        <v>8189114</v>
      </c>
      <c r="AQ21" s="38">
        <f>AO21/AP21</f>
        <v>82.0612156577622</v>
      </c>
      <c r="AR21" s="20">
        <f>AR11</f>
        <v>768906829</v>
      </c>
      <c r="AS21" s="20">
        <f>AS3</f>
        <v>6102000</v>
      </c>
      <c r="AT21" s="38">
        <f>AR21/AS21</f>
        <v>126.008985414618</v>
      </c>
      <c r="AU21" s="20">
        <f>AU11</f>
        <v>768906829</v>
      </c>
      <c r="AV21" s="20">
        <f>AV3</f>
        <v>6904728</v>
      </c>
      <c r="AW21" s="38">
        <f>AU21/AV21</f>
        <v>111.359466875451</v>
      </c>
    </row>
    <row r="22" spans="1:49">
      <c r="A22" s="2"/>
      <c r="B22" s="2"/>
      <c r="C22" s="6" t="s">
        <v>163</v>
      </c>
      <c r="D22" s="2"/>
      <c r="E22" s="20"/>
      <c r="F22" s="20"/>
      <c r="G22" s="38"/>
      <c r="H22" s="20"/>
      <c r="I22" s="20"/>
      <c r="J22" s="38"/>
      <c r="K22" s="20"/>
      <c r="L22" s="20"/>
      <c r="M22" s="38"/>
      <c r="N22" s="20"/>
      <c r="O22" s="20"/>
      <c r="P22" s="38"/>
      <c r="Q22" s="20"/>
      <c r="R22" s="20"/>
      <c r="S22" s="38"/>
      <c r="T22" s="20"/>
      <c r="U22" s="20"/>
      <c r="V22" s="38"/>
      <c r="W22" s="20"/>
      <c r="X22" s="20"/>
      <c r="Y22" s="38"/>
      <c r="Z22" s="20"/>
      <c r="AA22" s="20"/>
      <c r="AB22" s="38"/>
      <c r="AC22" s="20"/>
      <c r="AD22" s="20"/>
      <c r="AE22" s="38"/>
      <c r="AF22" s="20"/>
      <c r="AG22" s="20"/>
      <c r="AH22" s="38"/>
      <c r="AI22" s="20"/>
      <c r="AJ22" s="20"/>
      <c r="AK22" s="38"/>
      <c r="AL22" s="20"/>
      <c r="AM22" s="20"/>
      <c r="AN22" s="38"/>
      <c r="AO22" s="20"/>
      <c r="AP22" s="20"/>
      <c r="AQ22" s="38"/>
      <c r="AR22" s="20"/>
      <c r="AS22" s="20"/>
      <c r="AT22" s="38"/>
      <c r="AU22" s="20"/>
      <c r="AV22" s="20"/>
      <c r="AW22" s="38"/>
    </row>
    <row r="23" spans="1:49">
      <c r="A23" s="2"/>
      <c r="B23" s="2"/>
      <c r="C23" s="6"/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55" t="s">
        <v>556</v>
      </c>
      <c r="AM23" s="20"/>
      <c r="AN23" s="38"/>
      <c r="AO23" s="20"/>
      <c r="AP23" s="20"/>
      <c r="AQ23" s="38"/>
      <c r="AR23" s="20"/>
      <c r="AS23" s="20"/>
      <c r="AT23" s="38"/>
      <c r="AU23" s="256" t="s">
        <v>557</v>
      </c>
      <c r="AV23" s="20"/>
      <c r="AW23" s="38"/>
    </row>
    <row r="24" spans="1:49">
      <c r="A24" s="2">
        <v>9</v>
      </c>
      <c r="B24" s="2" t="s">
        <v>182</v>
      </c>
      <c r="C24" s="37" t="s">
        <v>183</v>
      </c>
      <c r="D24" s="50" t="s">
        <v>184</v>
      </c>
      <c r="E24" s="20">
        <f>E6</f>
        <v>623</v>
      </c>
      <c r="F24" s="42">
        <f>G21</f>
        <v>180.849443247796</v>
      </c>
      <c r="G24" s="38">
        <f>E24/F24</f>
        <v>3.44485439828741</v>
      </c>
      <c r="H24" s="20">
        <f>H6</f>
        <v>640</v>
      </c>
      <c r="I24" s="42">
        <f>J21</f>
        <v>184.721880022568</v>
      </c>
      <c r="J24" s="38">
        <f>H24/I24</f>
        <v>3.46466807246554</v>
      </c>
      <c r="K24" s="20">
        <f>K6</f>
        <v>632</v>
      </c>
      <c r="L24" s="42">
        <f>M21</f>
        <v>197.141399905635</v>
      </c>
      <c r="M24" s="38">
        <f>K24/L24</f>
        <v>3.20582079818098</v>
      </c>
      <c r="N24" s="20">
        <f>N6</f>
        <v>741</v>
      </c>
      <c r="O24" s="42">
        <f>P21</f>
        <v>137.374513181768</v>
      </c>
      <c r="P24" s="38">
        <f>N24/O24</f>
        <v>5.39401365535354</v>
      </c>
      <c r="Q24" s="20">
        <f>Q6</f>
        <v>504</v>
      </c>
      <c r="R24" s="42">
        <f>S21</f>
        <v>110.093900481541</v>
      </c>
      <c r="S24" s="38">
        <f>Q24/R24</f>
        <v>4.57791029108378</v>
      </c>
      <c r="T24" s="20">
        <f>T6</f>
        <v>543</v>
      </c>
      <c r="U24" s="42">
        <f>V21</f>
        <v>142.231147</v>
      </c>
      <c r="V24" s="38">
        <f>T24/U24</f>
        <v>3.81772917854624</v>
      </c>
      <c r="W24" s="20">
        <f>W6</f>
        <v>504</v>
      </c>
      <c r="X24" s="42">
        <f>Y21</f>
        <v>140.520173369058</v>
      </c>
      <c r="Y24" s="38">
        <f>W24/X24</f>
        <v>3.58667362782359</v>
      </c>
      <c r="Z24" s="20">
        <f>Z6</f>
        <v>549.96</v>
      </c>
      <c r="AA24" s="42">
        <f>AB21</f>
        <v>149.894440302699</v>
      </c>
      <c r="AB24" s="38">
        <f>Z24/AA24</f>
        <v>3.66898197751298</v>
      </c>
      <c r="AC24" s="20">
        <f>AC6</f>
        <v>583</v>
      </c>
      <c r="AD24" s="42">
        <f>AE21</f>
        <v>163.8619388756</v>
      </c>
      <c r="AE24" s="38">
        <f>AC24/AD24</f>
        <v>3.557873194962</v>
      </c>
      <c r="AF24" s="20">
        <f>AF6</f>
        <v>512</v>
      </c>
      <c r="AG24" s="42">
        <f>AH21</f>
        <v>159.734143568874</v>
      </c>
      <c r="AH24" s="38">
        <f>AF24/AG24</f>
        <v>3.20532597828238</v>
      </c>
      <c r="AI24" s="20">
        <f>AI6</f>
        <v>431</v>
      </c>
      <c r="AJ24" s="42">
        <f>AK21</f>
        <v>131.384490196633</v>
      </c>
      <c r="AK24" s="38">
        <f>AI24/AJ24</f>
        <v>3.28044809060001</v>
      </c>
      <c r="AL24" s="20">
        <f>AL6</f>
        <v>521.87</v>
      </c>
      <c r="AM24" s="42">
        <f>AN21</f>
        <v>79.2363985162232</v>
      </c>
      <c r="AN24" s="38">
        <f>AL24/AM24</f>
        <v>6.58624079050173</v>
      </c>
      <c r="AO24" s="20">
        <f>AO6</f>
        <v>539.47</v>
      </c>
      <c r="AP24" s="42">
        <f>AQ21</f>
        <v>82.0612156577622</v>
      </c>
      <c r="AQ24" s="38">
        <f>AO24/AP24</f>
        <v>6.57399473887725</v>
      </c>
      <c r="AR24" s="20">
        <f>AR6</f>
        <v>642</v>
      </c>
      <c r="AS24" s="42">
        <f>AT21</f>
        <v>126.008985414618</v>
      </c>
      <c r="AT24" s="38">
        <f>AR24/AS24</f>
        <v>5.09487476537941</v>
      </c>
      <c r="AU24" s="20">
        <f>AU6</f>
        <v>503</v>
      </c>
      <c r="AV24" s="42">
        <f>AW21</f>
        <v>111.359466875451</v>
      </c>
      <c r="AW24" s="38">
        <f>AU24/AV24</f>
        <v>4.51690380812055</v>
      </c>
    </row>
    <row r="25" spans="1:49">
      <c r="A25" s="2"/>
      <c r="B25" s="2"/>
      <c r="C25" s="2" t="s">
        <v>185</v>
      </c>
      <c r="D25" s="2"/>
      <c r="E25" s="20"/>
      <c r="F25" s="42"/>
      <c r="G25" s="38"/>
      <c r="H25" s="20"/>
      <c r="I25" s="42"/>
      <c r="J25" s="38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38"/>
      <c r="W25" s="20"/>
      <c r="X25" s="42"/>
      <c r="Y25" s="38"/>
      <c r="Z25" s="20"/>
      <c r="AA25" s="42"/>
      <c r="AB25" s="38"/>
      <c r="AC25" s="20"/>
      <c r="AD25" s="42"/>
      <c r="AE25" s="38"/>
      <c r="AF25" s="20"/>
      <c r="AG25" s="42"/>
      <c r="AH25" s="38"/>
      <c r="AI25" s="20"/>
      <c r="AJ25" s="42"/>
      <c r="AK25" s="38"/>
      <c r="AL25" s="20"/>
      <c r="AM25" s="42"/>
      <c r="AN25" s="38"/>
      <c r="AO25" s="20"/>
      <c r="AP25" s="42"/>
      <c r="AQ25" s="38"/>
      <c r="AR25" s="20"/>
      <c r="AS25" s="42"/>
      <c r="AT25" s="38"/>
      <c r="AU25" s="20"/>
      <c r="AV25" s="42"/>
      <c r="AW25" s="38"/>
    </row>
    <row r="26" spans="1:49">
      <c r="A26" s="2"/>
      <c r="B26" s="2"/>
      <c r="C26" s="2"/>
      <c r="D26" s="2"/>
      <c r="E26" s="20"/>
      <c r="F26" s="2"/>
      <c r="G26" s="85"/>
      <c r="H26" s="20"/>
      <c r="I26" s="2"/>
      <c r="J26" s="85"/>
      <c r="K26" s="20"/>
      <c r="L26" s="2"/>
      <c r="M26" s="85"/>
      <c r="N26" s="20"/>
      <c r="O26" s="2"/>
      <c r="P26" s="85"/>
      <c r="Q26" s="20"/>
      <c r="R26" s="2"/>
      <c r="S26" s="85"/>
      <c r="T26" s="20"/>
      <c r="U26" s="2"/>
      <c r="V26" s="85"/>
      <c r="W26" s="20"/>
      <c r="X26" s="2"/>
      <c r="Y26" s="85"/>
      <c r="Z26" s="20"/>
      <c r="AA26" s="2"/>
      <c r="AB26" s="85"/>
      <c r="AC26" s="20"/>
      <c r="AD26" s="2"/>
      <c r="AE26" s="85"/>
      <c r="AF26" s="20"/>
      <c r="AG26" s="2"/>
      <c r="AH26" s="85"/>
      <c r="AI26" s="20"/>
      <c r="AJ26" s="2"/>
      <c r="AK26" s="85"/>
      <c r="AL26" s="20"/>
      <c r="AM26" s="2"/>
      <c r="AN26" s="85"/>
      <c r="AO26" s="20"/>
      <c r="AP26" s="2"/>
      <c r="AQ26" s="85"/>
      <c r="AR26" s="20"/>
      <c r="AS26" s="2"/>
      <c r="AT26" s="85"/>
      <c r="AU26" s="20"/>
      <c r="AV26" s="2"/>
      <c r="AW26" s="85"/>
    </row>
    <row r="27" spans="1:49">
      <c r="A27" s="2">
        <v>10</v>
      </c>
      <c r="B27" s="2" t="s">
        <v>186</v>
      </c>
      <c r="C27" s="37" t="s">
        <v>187</v>
      </c>
      <c r="D27" s="41" t="s">
        <v>295</v>
      </c>
      <c r="E27" s="42">
        <v>6.35</v>
      </c>
      <c r="F27" s="20">
        <f>E6</f>
        <v>623</v>
      </c>
      <c r="G27" s="38">
        <f>(E27/F27)*100</f>
        <v>1.01926163723917</v>
      </c>
      <c r="H27" s="42">
        <v>5.26</v>
      </c>
      <c r="I27" s="20">
        <f>H6</f>
        <v>640</v>
      </c>
      <c r="J27" s="38">
        <f>(H27/I27)*100</f>
        <v>0.821875</v>
      </c>
      <c r="K27" s="42">
        <v>5.26</v>
      </c>
      <c r="L27" s="20">
        <f>K6</f>
        <v>632</v>
      </c>
      <c r="M27" s="38">
        <f>(K27/L27)*100</f>
        <v>0.832278481012658</v>
      </c>
      <c r="N27" s="42">
        <v>0</v>
      </c>
      <c r="O27" s="20">
        <f>N6</f>
        <v>741</v>
      </c>
      <c r="P27" s="38">
        <f>(N27/O27)*100</f>
        <v>0</v>
      </c>
      <c r="Q27" s="42">
        <v>0</v>
      </c>
      <c r="R27" s="20">
        <f>Q6</f>
        <v>504</v>
      </c>
      <c r="S27" s="38">
        <f>(Q27/R27)*100</f>
        <v>0</v>
      </c>
      <c r="T27" s="42">
        <v>1.96</v>
      </c>
      <c r="U27" s="20">
        <f>T6</f>
        <v>543</v>
      </c>
      <c r="V27" s="38">
        <f>(T27/U27)*100</f>
        <v>0.360957642725598</v>
      </c>
      <c r="W27" s="42">
        <v>1.96</v>
      </c>
      <c r="X27" s="20">
        <f>W6</f>
        <v>504</v>
      </c>
      <c r="Y27" s="38">
        <f>(W27/X27)*100</f>
        <v>0.388888888888889</v>
      </c>
      <c r="Z27" s="42">
        <v>1.96</v>
      </c>
      <c r="AA27" s="20">
        <f>Z6</f>
        <v>549.96</v>
      </c>
      <c r="AB27" s="38">
        <f>(Z27/AA27)*100</f>
        <v>0.356389555604044</v>
      </c>
      <c r="AC27" s="42">
        <v>1.96</v>
      </c>
      <c r="AD27" s="20">
        <f>AC6</f>
        <v>583</v>
      </c>
      <c r="AE27" s="38">
        <f>(AC27/AD27)*100</f>
        <v>0.336192109777015</v>
      </c>
      <c r="AF27" s="42">
        <v>1.96</v>
      </c>
      <c r="AG27" s="20">
        <f>AF6</f>
        <v>512</v>
      </c>
      <c r="AH27" s="38">
        <f>(AF27/AG27)*100</f>
        <v>0.3828125</v>
      </c>
      <c r="AI27" s="42">
        <v>1.96</v>
      </c>
      <c r="AJ27" s="20">
        <f>AI6</f>
        <v>431</v>
      </c>
      <c r="AK27" s="38">
        <f>(AI27/AJ27)*100</f>
        <v>0.454756380510441</v>
      </c>
      <c r="AL27" s="42">
        <v>0</v>
      </c>
      <c r="AM27" s="20">
        <f>AL6</f>
        <v>521.87</v>
      </c>
      <c r="AN27" s="38">
        <f>(AL27/AM27)*100</f>
        <v>0</v>
      </c>
      <c r="AO27" s="42">
        <v>0</v>
      </c>
      <c r="AP27" s="20">
        <f>AO6</f>
        <v>539.47</v>
      </c>
      <c r="AQ27" s="38">
        <f>(AO27/AP27)*100</f>
        <v>0</v>
      </c>
      <c r="AR27" s="42">
        <v>0</v>
      </c>
      <c r="AS27" s="20">
        <f>AR6</f>
        <v>642</v>
      </c>
      <c r="AT27" s="38">
        <f>(AR27/AS27)*100</f>
        <v>0</v>
      </c>
      <c r="AU27" s="42">
        <v>0</v>
      </c>
      <c r="AV27" s="20">
        <f>AU6</f>
        <v>503</v>
      </c>
      <c r="AW27" s="38">
        <f>(AU27/AV27)*100</f>
        <v>0</v>
      </c>
    </row>
    <row r="28" spans="1:49">
      <c r="A28" s="2"/>
      <c r="B28" s="2"/>
      <c r="C28" s="2" t="s">
        <v>189</v>
      </c>
      <c r="D28" s="41"/>
      <c r="E28" s="42"/>
      <c r="F28" s="20"/>
      <c r="G28" s="38"/>
      <c r="H28" s="42"/>
      <c r="I28" s="20"/>
      <c r="J28" s="38"/>
      <c r="K28" s="42"/>
      <c r="L28" s="20"/>
      <c r="M28" s="38"/>
      <c r="N28" s="42"/>
      <c r="O28" s="20"/>
      <c r="P28" s="38"/>
      <c r="Q28" s="42"/>
      <c r="R28" s="20"/>
      <c r="S28" s="38"/>
      <c r="T28" s="42"/>
      <c r="U28" s="20"/>
      <c r="V28" s="38"/>
      <c r="W28" s="42"/>
      <c r="X28" s="20"/>
      <c r="Y28" s="38"/>
      <c r="Z28" s="42"/>
      <c r="AA28" s="20"/>
      <c r="AB28" s="38"/>
      <c r="AC28" s="42"/>
      <c r="AD28" s="20"/>
      <c r="AE28" s="38"/>
      <c r="AF28" s="42"/>
      <c r="AG28" s="20"/>
      <c r="AH28" s="38"/>
      <c r="AI28" s="42"/>
      <c r="AJ28" s="20"/>
      <c r="AK28" s="38"/>
      <c r="AL28" s="42"/>
      <c r="AM28" s="20"/>
      <c r="AN28" s="38"/>
      <c r="AO28" s="42"/>
      <c r="AP28" s="20"/>
      <c r="AQ28" s="38"/>
      <c r="AR28" s="42"/>
      <c r="AS28" s="20"/>
      <c r="AT28" s="38"/>
      <c r="AU28" s="42"/>
      <c r="AV28" s="20"/>
      <c r="AW28" s="38"/>
    </row>
    <row r="29" spans="1:49">
      <c r="A29" s="2"/>
      <c r="B29" s="2"/>
      <c r="C29" s="2"/>
      <c r="D29" s="41"/>
      <c r="E29" s="86"/>
      <c r="F29" s="20"/>
      <c r="G29" s="38"/>
      <c r="H29" s="86"/>
      <c r="I29" s="20"/>
      <c r="J29" s="38"/>
      <c r="K29" s="86"/>
      <c r="L29" s="20"/>
      <c r="M29" s="38"/>
      <c r="N29" s="86"/>
      <c r="O29" s="20"/>
      <c r="P29" s="38"/>
      <c r="Q29" s="86"/>
      <c r="R29" s="20"/>
      <c r="S29" s="38"/>
      <c r="T29" s="86"/>
      <c r="U29" s="20"/>
      <c r="V29" s="38"/>
      <c r="W29" s="86"/>
      <c r="X29" s="20"/>
      <c r="Y29" s="38"/>
      <c r="Z29" s="86"/>
      <c r="AA29" s="20"/>
      <c r="AB29" s="38"/>
      <c r="AC29" s="86"/>
      <c r="AD29" s="20"/>
      <c r="AE29" s="38"/>
      <c r="AF29" s="86"/>
      <c r="AG29" s="20"/>
      <c r="AH29" s="38"/>
      <c r="AI29" s="86"/>
      <c r="AJ29" s="20"/>
      <c r="AK29" s="38"/>
      <c r="AL29" s="86"/>
      <c r="AM29" s="20"/>
      <c r="AN29" s="38"/>
      <c r="AO29" s="86"/>
      <c r="AP29" s="20"/>
      <c r="AQ29" s="38"/>
      <c r="AR29" s="86"/>
      <c r="AS29" s="20"/>
      <c r="AT29" s="38"/>
      <c r="AU29" s="86"/>
      <c r="AV29" s="20"/>
      <c r="AW29" s="38"/>
    </row>
    <row r="30" ht="30" spans="1:49">
      <c r="A30" s="2">
        <v>11</v>
      </c>
      <c r="B30" s="2" t="s">
        <v>192</v>
      </c>
      <c r="C30" s="41" t="s">
        <v>193</v>
      </c>
      <c r="D30" s="2" t="s">
        <v>194</v>
      </c>
      <c r="E30" s="2">
        <v>13.98</v>
      </c>
      <c r="F30" s="42">
        <v>14.32</v>
      </c>
      <c r="G30" s="232">
        <f>E30</f>
        <v>13.98</v>
      </c>
      <c r="H30" s="2">
        <v>14.1</v>
      </c>
      <c r="I30" s="42">
        <v>12.84</v>
      </c>
      <c r="J30" s="232">
        <f>H30</f>
        <v>14.1</v>
      </c>
      <c r="K30" s="2">
        <v>14.1</v>
      </c>
      <c r="L30" s="42">
        <v>12.84</v>
      </c>
      <c r="M30" s="232">
        <f>K30</f>
        <v>14.1</v>
      </c>
      <c r="N30" s="2">
        <v>25.8</v>
      </c>
      <c r="O30" s="42">
        <v>29.41</v>
      </c>
      <c r="P30" s="232">
        <f>N30</f>
        <v>25.8</v>
      </c>
      <c r="Q30" s="2">
        <v>15.24</v>
      </c>
      <c r="R30" s="42">
        <v>13.4</v>
      </c>
      <c r="S30" s="232">
        <f>Q30</f>
        <v>15.24</v>
      </c>
      <c r="T30" s="2">
        <v>18.07</v>
      </c>
      <c r="U30" s="42">
        <v>19.53</v>
      </c>
      <c r="V30" s="232">
        <f>T30</f>
        <v>18.07</v>
      </c>
      <c r="W30" s="2">
        <v>18.07</v>
      </c>
      <c r="X30" s="42">
        <v>19.53</v>
      </c>
      <c r="Y30" s="232">
        <f>W30</f>
        <v>18.07</v>
      </c>
      <c r="Z30" s="2">
        <v>18.07</v>
      </c>
      <c r="AA30" s="42">
        <v>19.53</v>
      </c>
      <c r="AB30" s="232">
        <f>Z30</f>
        <v>18.07</v>
      </c>
      <c r="AC30" s="2">
        <v>18.07</v>
      </c>
      <c r="AD30" s="42">
        <v>19.53</v>
      </c>
      <c r="AE30" s="232">
        <f>AC30</f>
        <v>18.07</v>
      </c>
      <c r="AF30" s="2">
        <v>18.07</v>
      </c>
      <c r="AG30" s="42">
        <v>19.53</v>
      </c>
      <c r="AH30" s="232">
        <f>AF30</f>
        <v>18.07</v>
      </c>
      <c r="AI30" s="2">
        <v>18.07</v>
      </c>
      <c r="AJ30" s="42">
        <v>19.53</v>
      </c>
      <c r="AK30" s="232">
        <f>AI30</f>
        <v>18.07</v>
      </c>
      <c r="AL30" s="2">
        <v>12.92</v>
      </c>
      <c r="AM30" s="42">
        <v>10.48</v>
      </c>
      <c r="AN30" s="232">
        <f>AL30</f>
        <v>12.92</v>
      </c>
      <c r="AO30" s="2">
        <v>12.92</v>
      </c>
      <c r="AP30" s="42">
        <v>10.48</v>
      </c>
      <c r="AQ30" s="232">
        <f>AO30</f>
        <v>12.92</v>
      </c>
      <c r="AR30" s="2">
        <v>15.91</v>
      </c>
      <c r="AS30" s="42">
        <v>24.51</v>
      </c>
      <c r="AT30" s="232">
        <f>AR30</f>
        <v>15.91</v>
      </c>
      <c r="AU30" s="2">
        <v>15.91</v>
      </c>
      <c r="AV30" s="42">
        <v>24.51</v>
      </c>
      <c r="AW30" s="232">
        <f>AU30</f>
        <v>15.91</v>
      </c>
    </row>
    <row r="31" spans="1:49">
      <c r="A31" s="2"/>
      <c r="B31" s="2"/>
      <c r="D31" s="41"/>
      <c r="E31" s="42"/>
      <c r="F31" s="20"/>
      <c r="G31" s="38"/>
      <c r="H31" s="42"/>
      <c r="I31" s="20"/>
      <c r="J31" s="38"/>
      <c r="K31" s="42"/>
      <c r="L31" s="20"/>
      <c r="M31" s="38"/>
      <c r="N31" s="42"/>
      <c r="O31" s="20"/>
      <c r="P31" s="38"/>
      <c r="Q31" s="42"/>
      <c r="R31" s="20"/>
      <c r="S31" s="38"/>
      <c r="T31" s="42"/>
      <c r="U31" s="20"/>
      <c r="V31" s="38"/>
      <c r="W31" s="42"/>
      <c r="X31" s="20"/>
      <c r="Y31" s="38"/>
      <c r="Z31" s="42"/>
      <c r="AA31" s="20"/>
      <c r="AB31" s="38"/>
      <c r="AC31" s="42"/>
      <c r="AD31" s="20"/>
      <c r="AE31" s="38"/>
      <c r="AF31" s="42"/>
      <c r="AG31" s="20"/>
      <c r="AH31" s="38"/>
      <c r="AI31" s="42"/>
      <c r="AJ31" s="20"/>
      <c r="AK31" s="38"/>
      <c r="AL31" s="42"/>
      <c r="AM31" s="20"/>
      <c r="AN31" s="38"/>
      <c r="AO31" s="42"/>
      <c r="AP31" s="20"/>
      <c r="AQ31" s="38"/>
      <c r="AR31" s="42"/>
      <c r="AS31" s="20"/>
      <c r="AT31" s="38"/>
      <c r="AU31" s="42"/>
      <c r="AV31" s="20"/>
      <c r="AW31" s="38"/>
    </row>
    <row r="32" ht="30" spans="1:49">
      <c r="A32" s="2">
        <v>12</v>
      </c>
      <c r="B32" s="23" t="s">
        <v>196</v>
      </c>
      <c r="C32" s="2" t="s">
        <v>197</v>
      </c>
      <c r="D32" s="2" t="s">
        <v>198</v>
      </c>
      <c r="E32" s="42">
        <v>3.11</v>
      </c>
      <c r="F32" s="42">
        <v>3.22</v>
      </c>
      <c r="G32" s="38">
        <f>E32</f>
        <v>3.11</v>
      </c>
      <c r="H32" s="42">
        <v>1.83</v>
      </c>
      <c r="I32" s="42">
        <v>3.68</v>
      </c>
      <c r="J32" s="38">
        <f>H32</f>
        <v>1.83</v>
      </c>
      <c r="K32" s="42">
        <v>1.83</v>
      </c>
      <c r="L32" s="42">
        <v>3.68</v>
      </c>
      <c r="M32" s="38">
        <f>K32</f>
        <v>1.83</v>
      </c>
      <c r="N32" s="42">
        <v>9.74</v>
      </c>
      <c r="O32" s="42">
        <v>13.42</v>
      </c>
      <c r="P32" s="38">
        <f>N32</f>
        <v>9.74</v>
      </c>
      <c r="Q32" s="42">
        <v>9</v>
      </c>
      <c r="R32" s="42">
        <v>6.47</v>
      </c>
      <c r="S32" s="38">
        <f>Q32</f>
        <v>9</v>
      </c>
      <c r="T32" s="42">
        <v>2.57</v>
      </c>
      <c r="U32" s="42">
        <v>2.86</v>
      </c>
      <c r="V32" s="38">
        <f>T32</f>
        <v>2.57</v>
      </c>
      <c r="W32" s="42">
        <v>2.57</v>
      </c>
      <c r="X32" s="42">
        <v>2.86</v>
      </c>
      <c r="Y32" s="38">
        <f>W32</f>
        <v>2.57</v>
      </c>
      <c r="Z32" s="42">
        <v>2.57</v>
      </c>
      <c r="AA32" s="42">
        <v>2.86</v>
      </c>
      <c r="AB32" s="38">
        <f>Z32</f>
        <v>2.57</v>
      </c>
      <c r="AC32" s="42">
        <v>2.57</v>
      </c>
      <c r="AD32" s="42">
        <v>2.86</v>
      </c>
      <c r="AE32" s="38">
        <f>AC32</f>
        <v>2.57</v>
      </c>
      <c r="AF32" s="42">
        <v>2.57</v>
      </c>
      <c r="AG32" s="42">
        <v>2.86</v>
      </c>
      <c r="AH32" s="38">
        <f>AF32</f>
        <v>2.57</v>
      </c>
      <c r="AI32" s="42">
        <v>2.57</v>
      </c>
      <c r="AJ32" s="42">
        <v>2.86</v>
      </c>
      <c r="AK32" s="38">
        <f>AI32</f>
        <v>2.57</v>
      </c>
      <c r="AL32" s="42">
        <v>4.44</v>
      </c>
      <c r="AM32" s="42">
        <v>8.92</v>
      </c>
      <c r="AN32" s="38">
        <f>AL32</f>
        <v>4.44</v>
      </c>
      <c r="AO32" s="42">
        <v>4.44</v>
      </c>
      <c r="AP32" s="42">
        <v>8.92</v>
      </c>
      <c r="AQ32" s="38">
        <f>AO32</f>
        <v>4.44</v>
      </c>
      <c r="AR32" s="42">
        <v>5.47</v>
      </c>
      <c r="AS32" s="42">
        <v>4.34</v>
      </c>
      <c r="AT32" s="38">
        <f>AR32</f>
        <v>5.47</v>
      </c>
      <c r="AU32" s="42">
        <v>5.47</v>
      </c>
      <c r="AV32" s="42">
        <v>4.34</v>
      </c>
      <c r="AW32" s="38">
        <f>AU32</f>
        <v>5.47</v>
      </c>
    </row>
    <row r="33" spans="1:49">
      <c r="A33" s="2"/>
      <c r="B33" s="23"/>
      <c r="C33" s="2"/>
      <c r="D33" s="2"/>
      <c r="E33" s="82"/>
      <c r="F33" s="82"/>
      <c r="G33" s="38"/>
      <c r="H33" s="82"/>
      <c r="I33" s="82"/>
      <c r="J33" s="38"/>
      <c r="K33" s="82"/>
      <c r="L33" s="82"/>
      <c r="M33" s="38"/>
      <c r="N33" s="82"/>
      <c r="O33" s="82"/>
      <c r="P33" s="38"/>
      <c r="Q33" s="82"/>
      <c r="R33" s="82"/>
      <c r="S33" s="38"/>
      <c r="T33" s="82"/>
      <c r="U33" s="82"/>
      <c r="V33" s="38"/>
      <c r="W33" s="82"/>
      <c r="X33" s="82"/>
      <c r="Y33" s="38"/>
      <c r="Z33" s="82"/>
      <c r="AA33" s="82"/>
      <c r="AB33" s="38"/>
      <c r="AC33" s="82"/>
      <c r="AD33" s="82"/>
      <c r="AE33" s="38"/>
      <c r="AF33" s="82"/>
      <c r="AG33" s="82"/>
      <c r="AH33" s="38"/>
      <c r="AI33" s="82"/>
      <c r="AJ33" s="82"/>
      <c r="AK33" s="38"/>
      <c r="AL33" s="82"/>
      <c r="AM33" s="82"/>
      <c r="AN33" s="38"/>
      <c r="AO33" s="82"/>
      <c r="AP33" s="82"/>
      <c r="AQ33" s="38"/>
      <c r="AR33" s="82"/>
      <c r="AS33" s="82"/>
      <c r="AT33" s="38"/>
      <c r="AU33" s="82"/>
      <c r="AV33" s="82"/>
      <c r="AW33" s="38"/>
    </row>
    <row r="34" ht="30" spans="1:49">
      <c r="A34" s="2">
        <v>13</v>
      </c>
      <c r="B34" s="23" t="s">
        <v>199</v>
      </c>
      <c r="C34" s="41" t="s">
        <v>200</v>
      </c>
      <c r="D34" s="2" t="s">
        <v>558</v>
      </c>
      <c r="E34" s="42">
        <v>79.29</v>
      </c>
      <c r="F34" s="42">
        <v>85.08</v>
      </c>
      <c r="G34" s="38">
        <f>E34</f>
        <v>79.29</v>
      </c>
      <c r="H34" s="42">
        <v>85.17</v>
      </c>
      <c r="I34" s="42">
        <v>78.63</v>
      </c>
      <c r="J34" s="38">
        <f>H34</f>
        <v>85.17</v>
      </c>
      <c r="K34" s="42">
        <v>85.17</v>
      </c>
      <c r="L34" s="42">
        <v>78.63</v>
      </c>
      <c r="M34" s="38">
        <f>K34</f>
        <v>85.17</v>
      </c>
      <c r="N34" s="42">
        <v>68.84</v>
      </c>
      <c r="O34" s="42">
        <v>84.04</v>
      </c>
      <c r="P34" s="38">
        <f>N34</f>
        <v>68.84</v>
      </c>
      <c r="Q34" s="42">
        <v>82.12</v>
      </c>
      <c r="R34" s="42">
        <v>76.33</v>
      </c>
      <c r="S34" s="38">
        <f>Q34</f>
        <v>82.12</v>
      </c>
      <c r="T34" s="42">
        <v>78.31</v>
      </c>
      <c r="U34" s="42">
        <v>74.64</v>
      </c>
      <c r="V34" s="38">
        <f>T34</f>
        <v>78.31</v>
      </c>
      <c r="W34" s="42">
        <v>78.31</v>
      </c>
      <c r="X34" s="42">
        <v>74.64</v>
      </c>
      <c r="Y34" s="38">
        <f>W34</f>
        <v>78.31</v>
      </c>
      <c r="Z34" s="42">
        <v>78.31</v>
      </c>
      <c r="AA34" s="42">
        <v>74.64</v>
      </c>
      <c r="AB34" s="38">
        <f>Z34</f>
        <v>78.31</v>
      </c>
      <c r="AC34" s="42">
        <v>78.31</v>
      </c>
      <c r="AD34" s="42">
        <v>74.64</v>
      </c>
      <c r="AE34" s="38">
        <f>AC34</f>
        <v>78.31</v>
      </c>
      <c r="AF34" s="42">
        <v>78.31</v>
      </c>
      <c r="AG34" s="42">
        <v>74.64</v>
      </c>
      <c r="AH34" s="38">
        <f>AF34</f>
        <v>78.31</v>
      </c>
      <c r="AI34" s="42">
        <v>78.31</v>
      </c>
      <c r="AJ34" s="42">
        <v>74.64</v>
      </c>
      <c r="AK34" s="38">
        <f>AI34</f>
        <v>78.31</v>
      </c>
      <c r="AL34" s="42">
        <v>72.73</v>
      </c>
      <c r="AM34" s="42">
        <v>74.77</v>
      </c>
      <c r="AN34" s="38">
        <f>AL34</f>
        <v>72.73</v>
      </c>
      <c r="AO34" s="42">
        <v>72.73</v>
      </c>
      <c r="AP34" s="42">
        <v>74.77</v>
      </c>
      <c r="AQ34" s="38">
        <f>AO34</f>
        <v>72.73</v>
      </c>
      <c r="AR34" s="42">
        <v>59.51</v>
      </c>
      <c r="AS34" s="42">
        <v>77.21</v>
      </c>
      <c r="AT34" s="38">
        <f>AR34</f>
        <v>59.51</v>
      </c>
      <c r="AU34" s="42">
        <v>59.51</v>
      </c>
      <c r="AV34" s="42">
        <v>77.21</v>
      </c>
      <c r="AW34" s="38">
        <f>AU34</f>
        <v>59.51</v>
      </c>
    </row>
    <row r="35" spans="1:49">
      <c r="A35" s="2"/>
      <c r="B35" s="2"/>
      <c r="C35" s="2"/>
      <c r="D35" s="41"/>
      <c r="E35" s="42"/>
      <c r="F35" s="20"/>
      <c r="G35" s="38"/>
      <c r="H35" s="42"/>
      <c r="I35" s="20"/>
      <c r="J35" s="38"/>
      <c r="K35" s="42"/>
      <c r="L35" s="20"/>
      <c r="M35" s="38"/>
      <c r="N35" s="42"/>
      <c r="O35" s="20"/>
      <c r="P35" s="38"/>
      <c r="Q35" s="42"/>
      <c r="R35" s="20"/>
      <c r="S35" s="38"/>
      <c r="T35" s="42"/>
      <c r="U35" s="20"/>
      <c r="V35" s="38"/>
      <c r="W35" s="42"/>
      <c r="X35" s="20"/>
      <c r="Y35" s="38"/>
      <c r="Z35" s="42"/>
      <c r="AA35" s="20"/>
      <c r="AB35" s="38"/>
      <c r="AC35" s="42"/>
      <c r="AD35" s="20"/>
      <c r="AE35" s="38"/>
      <c r="AF35" s="42"/>
      <c r="AG35" s="20"/>
      <c r="AH35" s="38"/>
      <c r="AI35" s="42"/>
      <c r="AJ35" s="20"/>
      <c r="AK35" s="38"/>
      <c r="AL35" s="42"/>
      <c r="AM35" s="20"/>
      <c r="AN35" s="38"/>
      <c r="AO35" s="42"/>
      <c r="AP35" s="20"/>
      <c r="AQ35" s="38"/>
      <c r="AR35" s="42"/>
      <c r="AS35" s="20"/>
      <c r="AT35" s="38"/>
      <c r="AU35" s="42"/>
      <c r="AV35" s="20"/>
      <c r="AW35" s="38"/>
    </row>
    <row r="36" spans="1:49">
      <c r="A36" s="2">
        <v>14</v>
      </c>
      <c r="B36" s="2" t="s">
        <v>297</v>
      </c>
      <c r="C36" s="37" t="s">
        <v>298</v>
      </c>
      <c r="D36" s="2" t="s">
        <v>299</v>
      </c>
      <c r="E36" s="239"/>
      <c r="F36" s="239"/>
      <c r="G36" s="44">
        <v>0.2902</v>
      </c>
      <c r="H36" s="239"/>
      <c r="I36" s="239"/>
      <c r="J36" s="44">
        <v>0.2664</v>
      </c>
      <c r="K36" s="239"/>
      <c r="L36" s="239"/>
      <c r="M36" s="44">
        <v>0.2664</v>
      </c>
      <c r="N36" s="239"/>
      <c r="O36" s="239"/>
      <c r="P36" s="44">
        <v>0.5092</v>
      </c>
      <c r="Q36" s="239"/>
      <c r="R36" s="239"/>
      <c r="S36" s="44">
        <v>0.2409</v>
      </c>
      <c r="T36" s="239"/>
      <c r="U36" s="239"/>
      <c r="V36" s="44">
        <v>0.355</v>
      </c>
      <c r="W36" s="239"/>
      <c r="X36" s="239"/>
      <c r="Y36" s="44">
        <v>0.355</v>
      </c>
      <c r="Z36" s="239"/>
      <c r="AA36" s="239"/>
      <c r="AB36" s="44">
        <v>0.355</v>
      </c>
      <c r="AC36" s="239"/>
      <c r="AD36" s="239"/>
      <c r="AE36" s="44">
        <v>0.355</v>
      </c>
      <c r="AF36" s="239"/>
      <c r="AG36" s="239"/>
      <c r="AH36" s="44">
        <v>0.355</v>
      </c>
      <c r="AI36" s="239"/>
      <c r="AJ36" s="239"/>
      <c r="AK36" s="44">
        <v>0.355</v>
      </c>
      <c r="AL36" s="239"/>
      <c r="AM36" s="239"/>
      <c r="AN36" s="44">
        <v>0.2985</v>
      </c>
      <c r="AO36" s="239"/>
      <c r="AP36" s="239"/>
      <c r="AQ36" s="44">
        <v>0.2985</v>
      </c>
      <c r="AR36" s="239"/>
      <c r="AS36" s="239"/>
      <c r="AT36" s="44">
        <v>0.4476</v>
      </c>
      <c r="AU36" s="239"/>
      <c r="AV36" s="239"/>
      <c r="AW36" s="44">
        <v>0.4476</v>
      </c>
    </row>
    <row r="37" spans="1:49">
      <c r="A37" s="2"/>
      <c r="B37" s="2"/>
      <c r="C37" s="6" t="s">
        <v>300</v>
      </c>
      <c r="D37" s="2"/>
      <c r="E37" s="239"/>
      <c r="F37" s="240"/>
      <c r="G37" s="44"/>
      <c r="H37" s="239"/>
      <c r="I37" s="240"/>
      <c r="J37" s="44"/>
      <c r="K37" s="239"/>
      <c r="L37" s="240"/>
      <c r="M37" s="44"/>
      <c r="N37" s="239"/>
      <c r="O37" s="240"/>
      <c r="P37" s="44"/>
      <c r="Q37" s="239"/>
      <c r="R37" s="240"/>
      <c r="S37" s="44"/>
      <c r="T37" s="239"/>
      <c r="U37" s="240"/>
      <c r="V37" s="44"/>
      <c r="W37" s="239"/>
      <c r="X37" s="240"/>
      <c r="Y37" s="44"/>
      <c r="Z37" s="239"/>
      <c r="AA37" s="240"/>
      <c r="AB37" s="44"/>
      <c r="AC37" s="239"/>
      <c r="AD37" s="240"/>
      <c r="AE37" s="44"/>
      <c r="AF37" s="239"/>
      <c r="AG37" s="240"/>
      <c r="AH37" s="44"/>
      <c r="AI37" s="239"/>
      <c r="AJ37" s="240"/>
      <c r="AK37" s="44"/>
      <c r="AL37" s="239"/>
      <c r="AM37" s="240"/>
      <c r="AN37" s="44"/>
      <c r="AO37" s="239"/>
      <c r="AP37" s="240"/>
      <c r="AQ37" s="44"/>
      <c r="AR37" s="239"/>
      <c r="AS37" s="240"/>
      <c r="AT37" s="44"/>
      <c r="AU37" s="239"/>
      <c r="AV37" s="240"/>
      <c r="AW37" s="44"/>
    </row>
  </sheetData>
  <mergeCells count="401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3:A4"/>
    <mergeCell ref="A6:A7"/>
    <mergeCell ref="A11:A12"/>
    <mergeCell ref="A14:A15"/>
    <mergeCell ref="A21:A22"/>
    <mergeCell ref="A24:A25"/>
    <mergeCell ref="A27:A28"/>
    <mergeCell ref="A36:A37"/>
    <mergeCell ref="B3:B4"/>
    <mergeCell ref="B6:B7"/>
    <mergeCell ref="B11:B12"/>
    <mergeCell ref="B14:B15"/>
    <mergeCell ref="B21:B22"/>
    <mergeCell ref="B24:B25"/>
    <mergeCell ref="B27:B28"/>
    <mergeCell ref="B36:B37"/>
    <mergeCell ref="C11:C12"/>
    <mergeCell ref="D3:D4"/>
    <mergeCell ref="D6:D7"/>
    <mergeCell ref="D11:D12"/>
    <mergeCell ref="D14:D15"/>
    <mergeCell ref="D21:D22"/>
    <mergeCell ref="D24:D25"/>
    <mergeCell ref="D27:D28"/>
    <mergeCell ref="D36:D37"/>
    <mergeCell ref="E3:E4"/>
    <mergeCell ref="E6:E7"/>
    <mergeCell ref="E11:E12"/>
    <mergeCell ref="E14:E15"/>
    <mergeCell ref="E21:E22"/>
    <mergeCell ref="E24:E25"/>
    <mergeCell ref="E27:E28"/>
    <mergeCell ref="E36:E37"/>
    <mergeCell ref="F3:F4"/>
    <mergeCell ref="F6:F7"/>
    <mergeCell ref="F11:F12"/>
    <mergeCell ref="F14:F15"/>
    <mergeCell ref="F21:F22"/>
    <mergeCell ref="F24:F25"/>
    <mergeCell ref="F27:F28"/>
    <mergeCell ref="F36:F37"/>
    <mergeCell ref="G3:G4"/>
    <mergeCell ref="G6:G7"/>
    <mergeCell ref="G11:G12"/>
    <mergeCell ref="G14:G15"/>
    <mergeCell ref="G21:G22"/>
    <mergeCell ref="G24:G25"/>
    <mergeCell ref="G27:G28"/>
    <mergeCell ref="G36:G37"/>
    <mergeCell ref="H3:H4"/>
    <mergeCell ref="H6:H7"/>
    <mergeCell ref="H11:H12"/>
    <mergeCell ref="H14:H15"/>
    <mergeCell ref="H21:H22"/>
    <mergeCell ref="H24:H25"/>
    <mergeCell ref="H27:H28"/>
    <mergeCell ref="H36:H37"/>
    <mergeCell ref="I3:I4"/>
    <mergeCell ref="I6:I7"/>
    <mergeCell ref="I11:I12"/>
    <mergeCell ref="I14:I15"/>
    <mergeCell ref="I21:I22"/>
    <mergeCell ref="I24:I25"/>
    <mergeCell ref="I27:I28"/>
    <mergeCell ref="I36:I37"/>
    <mergeCell ref="J3:J4"/>
    <mergeCell ref="J6:J7"/>
    <mergeCell ref="J11:J12"/>
    <mergeCell ref="J14:J15"/>
    <mergeCell ref="J21:J22"/>
    <mergeCell ref="J24:J25"/>
    <mergeCell ref="J27:J28"/>
    <mergeCell ref="J36:J37"/>
    <mergeCell ref="K3:K4"/>
    <mergeCell ref="K6:K7"/>
    <mergeCell ref="K11:K12"/>
    <mergeCell ref="K14:K15"/>
    <mergeCell ref="K21:K22"/>
    <mergeCell ref="K24:K25"/>
    <mergeCell ref="K27:K28"/>
    <mergeCell ref="K36:K37"/>
    <mergeCell ref="L3:L4"/>
    <mergeCell ref="L6:L7"/>
    <mergeCell ref="L11:L12"/>
    <mergeCell ref="L14:L15"/>
    <mergeCell ref="L21:L22"/>
    <mergeCell ref="L24:L25"/>
    <mergeCell ref="L27:L28"/>
    <mergeCell ref="L36:L37"/>
    <mergeCell ref="M3:M4"/>
    <mergeCell ref="M6:M7"/>
    <mergeCell ref="M11:M12"/>
    <mergeCell ref="M14:M15"/>
    <mergeCell ref="M21:M22"/>
    <mergeCell ref="M24:M25"/>
    <mergeCell ref="M27:M28"/>
    <mergeCell ref="M36:M37"/>
    <mergeCell ref="N3:N4"/>
    <mergeCell ref="N6:N7"/>
    <mergeCell ref="N11:N12"/>
    <mergeCell ref="N14:N15"/>
    <mergeCell ref="N21:N22"/>
    <mergeCell ref="N24:N25"/>
    <mergeCell ref="N27:N28"/>
    <mergeCell ref="N36:N37"/>
    <mergeCell ref="O3:O4"/>
    <mergeCell ref="O6:O7"/>
    <mergeCell ref="O11:O12"/>
    <mergeCell ref="O14:O15"/>
    <mergeCell ref="O21:O22"/>
    <mergeCell ref="O24:O25"/>
    <mergeCell ref="O27:O28"/>
    <mergeCell ref="O36:O37"/>
    <mergeCell ref="P3:P4"/>
    <mergeCell ref="P6:P7"/>
    <mergeCell ref="P11:P12"/>
    <mergeCell ref="P14:P15"/>
    <mergeCell ref="P21:P22"/>
    <mergeCell ref="P24:P25"/>
    <mergeCell ref="P27:P28"/>
    <mergeCell ref="P36:P37"/>
    <mergeCell ref="Q3:Q4"/>
    <mergeCell ref="Q6:Q7"/>
    <mergeCell ref="Q11:Q12"/>
    <mergeCell ref="Q14:Q15"/>
    <mergeCell ref="Q21:Q22"/>
    <mergeCell ref="Q24:Q25"/>
    <mergeCell ref="Q27:Q28"/>
    <mergeCell ref="Q36:Q37"/>
    <mergeCell ref="R3:R4"/>
    <mergeCell ref="R6:R7"/>
    <mergeCell ref="R11:R12"/>
    <mergeCell ref="R14:R15"/>
    <mergeCell ref="R21:R22"/>
    <mergeCell ref="R24:R25"/>
    <mergeCell ref="R27:R28"/>
    <mergeCell ref="R36:R37"/>
    <mergeCell ref="S3:S4"/>
    <mergeCell ref="S6:S7"/>
    <mergeCell ref="S11:S12"/>
    <mergeCell ref="S14:S15"/>
    <mergeCell ref="S21:S22"/>
    <mergeCell ref="S24:S25"/>
    <mergeCell ref="S27:S28"/>
    <mergeCell ref="S36:S37"/>
    <mergeCell ref="T3:T4"/>
    <mergeCell ref="T6:T7"/>
    <mergeCell ref="T11:T12"/>
    <mergeCell ref="T14:T15"/>
    <mergeCell ref="T21:T22"/>
    <mergeCell ref="T24:T25"/>
    <mergeCell ref="T27:T28"/>
    <mergeCell ref="T36:T37"/>
    <mergeCell ref="U3:U4"/>
    <mergeCell ref="U6:U7"/>
    <mergeCell ref="U11:U12"/>
    <mergeCell ref="U14:U15"/>
    <mergeCell ref="U21:U22"/>
    <mergeCell ref="U24:U25"/>
    <mergeCell ref="U27:U28"/>
    <mergeCell ref="U36:U37"/>
    <mergeCell ref="V3:V4"/>
    <mergeCell ref="V6:V7"/>
    <mergeCell ref="V11:V12"/>
    <mergeCell ref="V14:V15"/>
    <mergeCell ref="V21:V22"/>
    <mergeCell ref="V24:V25"/>
    <mergeCell ref="V27:V28"/>
    <mergeCell ref="V36:V37"/>
    <mergeCell ref="W3:W4"/>
    <mergeCell ref="W6:W7"/>
    <mergeCell ref="W11:W12"/>
    <mergeCell ref="W14:W15"/>
    <mergeCell ref="W21:W22"/>
    <mergeCell ref="W24:W25"/>
    <mergeCell ref="W27:W28"/>
    <mergeCell ref="W36:W37"/>
    <mergeCell ref="X3:X4"/>
    <mergeCell ref="X6:X7"/>
    <mergeCell ref="X11:X12"/>
    <mergeCell ref="X14:X15"/>
    <mergeCell ref="X21:X22"/>
    <mergeCell ref="X24:X25"/>
    <mergeCell ref="X27:X28"/>
    <mergeCell ref="X36:X37"/>
    <mergeCell ref="Y3:Y4"/>
    <mergeCell ref="Y6:Y7"/>
    <mergeCell ref="Y11:Y12"/>
    <mergeCell ref="Y14:Y15"/>
    <mergeCell ref="Y21:Y22"/>
    <mergeCell ref="Y24:Y25"/>
    <mergeCell ref="Y27:Y28"/>
    <mergeCell ref="Y36:Y37"/>
    <mergeCell ref="Z3:Z4"/>
    <mergeCell ref="Z6:Z7"/>
    <mergeCell ref="Z11:Z12"/>
    <mergeCell ref="Z14:Z15"/>
    <mergeCell ref="Z21:Z22"/>
    <mergeCell ref="Z24:Z25"/>
    <mergeCell ref="Z27:Z28"/>
    <mergeCell ref="Z36:Z37"/>
    <mergeCell ref="AA3:AA4"/>
    <mergeCell ref="AA6:AA7"/>
    <mergeCell ref="AA11:AA12"/>
    <mergeCell ref="AA14:AA15"/>
    <mergeCell ref="AA21:AA22"/>
    <mergeCell ref="AA24:AA25"/>
    <mergeCell ref="AA27:AA28"/>
    <mergeCell ref="AA36:AA37"/>
    <mergeCell ref="AB3:AB4"/>
    <mergeCell ref="AB6:AB7"/>
    <mergeCell ref="AB11:AB12"/>
    <mergeCell ref="AB14:AB15"/>
    <mergeCell ref="AB21:AB22"/>
    <mergeCell ref="AB24:AB25"/>
    <mergeCell ref="AB27:AB28"/>
    <mergeCell ref="AB36:AB37"/>
    <mergeCell ref="AC3:AC4"/>
    <mergeCell ref="AC6:AC7"/>
    <mergeCell ref="AC11:AC12"/>
    <mergeCell ref="AC14:AC15"/>
    <mergeCell ref="AC21:AC22"/>
    <mergeCell ref="AC24:AC25"/>
    <mergeCell ref="AC27:AC28"/>
    <mergeCell ref="AC36:AC37"/>
    <mergeCell ref="AD3:AD4"/>
    <mergeCell ref="AD6:AD7"/>
    <mergeCell ref="AD11:AD12"/>
    <mergeCell ref="AD14:AD15"/>
    <mergeCell ref="AD21:AD22"/>
    <mergeCell ref="AD24:AD25"/>
    <mergeCell ref="AD27:AD28"/>
    <mergeCell ref="AD36:AD37"/>
    <mergeCell ref="AE3:AE4"/>
    <mergeCell ref="AE6:AE7"/>
    <mergeCell ref="AE11:AE12"/>
    <mergeCell ref="AE14:AE15"/>
    <mergeCell ref="AE21:AE22"/>
    <mergeCell ref="AE24:AE25"/>
    <mergeCell ref="AE27:AE28"/>
    <mergeCell ref="AE36:AE37"/>
    <mergeCell ref="AF3:AF4"/>
    <mergeCell ref="AF6:AF7"/>
    <mergeCell ref="AF11:AF12"/>
    <mergeCell ref="AF14:AF15"/>
    <mergeCell ref="AF21:AF22"/>
    <mergeCell ref="AF24:AF25"/>
    <mergeCell ref="AF27:AF28"/>
    <mergeCell ref="AF36:AF37"/>
    <mergeCell ref="AG3:AG4"/>
    <mergeCell ref="AG6:AG7"/>
    <mergeCell ref="AG11:AG12"/>
    <mergeCell ref="AG14:AG15"/>
    <mergeCell ref="AG21:AG22"/>
    <mergeCell ref="AG24:AG25"/>
    <mergeCell ref="AG27:AG28"/>
    <mergeCell ref="AG36:AG37"/>
    <mergeCell ref="AH3:AH4"/>
    <mergeCell ref="AH6:AH7"/>
    <mergeCell ref="AH11:AH12"/>
    <mergeCell ref="AH14:AH15"/>
    <mergeCell ref="AH21:AH22"/>
    <mergeCell ref="AH24:AH25"/>
    <mergeCell ref="AH27:AH28"/>
    <mergeCell ref="AH36:AH37"/>
    <mergeCell ref="AI3:AI4"/>
    <mergeCell ref="AI6:AI7"/>
    <mergeCell ref="AI11:AI12"/>
    <mergeCell ref="AI14:AI15"/>
    <mergeCell ref="AI21:AI22"/>
    <mergeCell ref="AI24:AI25"/>
    <mergeCell ref="AI27:AI28"/>
    <mergeCell ref="AI36:AI37"/>
    <mergeCell ref="AJ3:AJ4"/>
    <mergeCell ref="AJ6:AJ7"/>
    <mergeCell ref="AJ11:AJ12"/>
    <mergeCell ref="AJ14:AJ15"/>
    <mergeCell ref="AJ21:AJ22"/>
    <mergeCell ref="AJ24:AJ25"/>
    <mergeCell ref="AJ27:AJ28"/>
    <mergeCell ref="AJ36:AJ37"/>
    <mergeCell ref="AK3:AK4"/>
    <mergeCell ref="AK6:AK7"/>
    <mergeCell ref="AK11:AK12"/>
    <mergeCell ref="AK14:AK15"/>
    <mergeCell ref="AK21:AK22"/>
    <mergeCell ref="AK24:AK25"/>
    <mergeCell ref="AK27:AK28"/>
    <mergeCell ref="AK36:AK37"/>
    <mergeCell ref="AL3:AL4"/>
    <mergeCell ref="AL6:AL7"/>
    <mergeCell ref="AL11:AL12"/>
    <mergeCell ref="AL14:AL15"/>
    <mergeCell ref="AL21:AL22"/>
    <mergeCell ref="AL24:AL25"/>
    <mergeCell ref="AL27:AL28"/>
    <mergeCell ref="AL36:AL37"/>
    <mergeCell ref="AM3:AM4"/>
    <mergeCell ref="AM6:AM7"/>
    <mergeCell ref="AM11:AM12"/>
    <mergeCell ref="AM14:AM15"/>
    <mergeCell ref="AM21:AM22"/>
    <mergeCell ref="AM24:AM25"/>
    <mergeCell ref="AM27:AM28"/>
    <mergeCell ref="AM36:AM37"/>
    <mergeCell ref="AN3:AN4"/>
    <mergeCell ref="AN6:AN7"/>
    <mergeCell ref="AN11:AN12"/>
    <mergeCell ref="AN14:AN15"/>
    <mergeCell ref="AN21:AN22"/>
    <mergeCell ref="AN24:AN25"/>
    <mergeCell ref="AN27:AN28"/>
    <mergeCell ref="AN36:AN37"/>
    <mergeCell ref="AO3:AO4"/>
    <mergeCell ref="AO6:AO7"/>
    <mergeCell ref="AO11:AO12"/>
    <mergeCell ref="AO14:AO15"/>
    <mergeCell ref="AO21:AO22"/>
    <mergeCell ref="AO24:AO25"/>
    <mergeCell ref="AO27:AO28"/>
    <mergeCell ref="AO36:AO37"/>
    <mergeCell ref="AP3:AP4"/>
    <mergeCell ref="AP6:AP7"/>
    <mergeCell ref="AP11:AP12"/>
    <mergeCell ref="AP14:AP15"/>
    <mergeCell ref="AP21:AP22"/>
    <mergeCell ref="AP24:AP25"/>
    <mergeCell ref="AP27:AP28"/>
    <mergeCell ref="AP36:AP37"/>
    <mergeCell ref="AQ3:AQ4"/>
    <mergeCell ref="AQ6:AQ7"/>
    <mergeCell ref="AQ11:AQ12"/>
    <mergeCell ref="AQ14:AQ15"/>
    <mergeCell ref="AQ21:AQ22"/>
    <mergeCell ref="AQ24:AQ25"/>
    <mergeCell ref="AQ27:AQ28"/>
    <mergeCell ref="AQ36:AQ37"/>
    <mergeCell ref="AR3:AR4"/>
    <mergeCell ref="AR6:AR7"/>
    <mergeCell ref="AR11:AR12"/>
    <mergeCell ref="AR14:AR15"/>
    <mergeCell ref="AR21:AR22"/>
    <mergeCell ref="AR24:AR25"/>
    <mergeCell ref="AR27:AR28"/>
    <mergeCell ref="AR36:AR37"/>
    <mergeCell ref="AS3:AS4"/>
    <mergeCell ref="AS6:AS7"/>
    <mergeCell ref="AS11:AS12"/>
    <mergeCell ref="AS14:AS15"/>
    <mergeCell ref="AS21:AS22"/>
    <mergeCell ref="AS24:AS25"/>
    <mergeCell ref="AS27:AS28"/>
    <mergeCell ref="AS36:AS37"/>
    <mergeCell ref="AT3:AT4"/>
    <mergeCell ref="AT6:AT7"/>
    <mergeCell ref="AT11:AT12"/>
    <mergeCell ref="AT14:AT15"/>
    <mergeCell ref="AT21:AT22"/>
    <mergeCell ref="AT24:AT25"/>
    <mergeCell ref="AT27:AT28"/>
    <mergeCell ref="AT36:AT37"/>
    <mergeCell ref="AU3:AU4"/>
    <mergeCell ref="AU6:AU7"/>
    <mergeCell ref="AU11:AU12"/>
    <mergeCell ref="AU14:AU15"/>
    <mergeCell ref="AU21:AU22"/>
    <mergeCell ref="AU24:AU25"/>
    <mergeCell ref="AU27:AU28"/>
    <mergeCell ref="AU36:AU37"/>
    <mergeCell ref="AV3:AV4"/>
    <mergeCell ref="AV6:AV7"/>
    <mergeCell ref="AV11:AV12"/>
    <mergeCell ref="AV14:AV15"/>
    <mergeCell ref="AV21:AV22"/>
    <mergeCell ref="AV24:AV25"/>
    <mergeCell ref="AV27:AV28"/>
    <mergeCell ref="AV36:AV37"/>
    <mergeCell ref="AW3:AW4"/>
    <mergeCell ref="AW6:AW7"/>
    <mergeCell ref="AW11:AW12"/>
    <mergeCell ref="AW14:AW15"/>
    <mergeCell ref="AW21:AW22"/>
    <mergeCell ref="AW24:AW25"/>
    <mergeCell ref="AW27:AW28"/>
    <mergeCell ref="AW36:AW37"/>
  </mergeCells>
  <pageMargins left="0.7" right="0.7" top="0.75" bottom="0.75" header="0.3" footer="0.3"/>
  <pageSetup paperSize="1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38"/>
  <sheetViews>
    <sheetView zoomScale="110" zoomScaleNormal="110" topLeftCell="B1" workbookViewId="0">
      <selection activeCell="G2" sqref="G2"/>
    </sheetView>
  </sheetViews>
  <sheetFormatPr defaultColWidth="9" defaultRowHeight="15"/>
  <cols>
    <col min="1" max="1" width="4.26666666666667" hidden="1" customWidth="1"/>
    <col min="2" max="2" width="29.1809523809524" customWidth="1"/>
    <col min="3" max="3" width="21" hidden="1" customWidth="1"/>
    <col min="4" max="4" width="9.72380952380952" customWidth="1"/>
    <col min="5" max="5" width="14.2666666666667" hidden="1" customWidth="1"/>
    <col min="6" max="6" width="14.1809523809524" hidden="1" customWidth="1"/>
    <col min="7" max="7" width="11.8190476190476" style="6" customWidth="1"/>
    <col min="8" max="8" width="14.2666666666667" hidden="1" customWidth="1"/>
    <col min="9" max="9" width="14.1809523809524" hidden="1" customWidth="1"/>
    <col min="10" max="10" width="11" style="6" customWidth="1"/>
    <col min="11" max="11" width="14.2666666666667" hidden="1" customWidth="1"/>
    <col min="12" max="12" width="14.1809523809524" hidden="1" customWidth="1"/>
    <col min="13" max="13" width="9.90476190476191" style="6" hidden="1" customWidth="1"/>
    <col min="14" max="14" width="14.2666666666667" hidden="1" customWidth="1"/>
    <col min="15" max="15" width="14.1809523809524" hidden="1" customWidth="1"/>
    <col min="16" max="16" width="9.90476190476191" style="6" hidden="1" customWidth="1"/>
    <col min="17" max="17" width="14.2666666666667" hidden="1" customWidth="1"/>
    <col min="18" max="18" width="14.1809523809524" hidden="1" customWidth="1"/>
    <col min="19" max="19" width="9.90476190476191" style="6" customWidth="1"/>
    <col min="20" max="20" width="14.2666666666667" hidden="1" customWidth="1"/>
    <col min="21" max="21" width="4.08571428571429" hidden="1" customWidth="1"/>
    <col min="22" max="22" width="12.0857142857143" style="6" customWidth="1"/>
    <col min="23" max="23" width="14.2666666666667" hidden="1" customWidth="1"/>
    <col min="24" max="24" width="14.1809523809524" hidden="1" customWidth="1"/>
    <col min="25" max="25" width="9.90476190476191" style="6" hidden="1" customWidth="1"/>
    <col min="26" max="26" width="14.2666666666667" hidden="1" customWidth="1"/>
    <col min="27" max="27" width="14.1809523809524" hidden="1" customWidth="1"/>
    <col min="28" max="28" width="9.90476190476191" style="6" hidden="1" customWidth="1"/>
    <col min="29" max="29" width="14.2666666666667" hidden="1" customWidth="1"/>
    <col min="30" max="30" width="14.1809523809524" hidden="1" customWidth="1"/>
    <col min="31" max="31" width="9.90476190476191" style="6" hidden="1" customWidth="1"/>
    <col min="32" max="32" width="14.2666666666667" hidden="1" customWidth="1"/>
    <col min="33" max="33" width="14.1809523809524" hidden="1" customWidth="1"/>
    <col min="34" max="34" width="9.90476190476191" style="6" hidden="1" customWidth="1"/>
    <col min="35" max="35" width="14.2666666666667" hidden="1" customWidth="1"/>
    <col min="36" max="36" width="14.1809523809524" hidden="1" customWidth="1"/>
    <col min="37" max="37" width="9.90476190476191" style="6" hidden="1" customWidth="1"/>
    <col min="38" max="38" width="14.2666666666667" hidden="1" customWidth="1"/>
    <col min="39" max="39" width="14.1809523809524" hidden="1" customWidth="1"/>
    <col min="40" max="40" width="11.7238095238095" style="6" customWidth="1"/>
    <col min="41" max="41" width="14.2666666666667" hidden="1" customWidth="1"/>
    <col min="42" max="42" width="14.1809523809524" hidden="1" customWidth="1"/>
    <col min="43" max="43" width="9.90476190476191" style="6" hidden="1" customWidth="1"/>
    <col min="44" max="44" width="14.2666666666667" hidden="1" customWidth="1"/>
    <col min="45" max="45" width="14.1809523809524" hidden="1" customWidth="1"/>
    <col min="46" max="46" width="12.3619047619048" style="6" customWidth="1"/>
    <col min="47" max="47" width="14.2666666666667" hidden="1" customWidth="1"/>
    <col min="48" max="48" width="14.1809523809524" hidden="1" customWidth="1"/>
    <col min="49" max="49" width="9.90476190476191" style="6" hidden="1" customWidth="1"/>
  </cols>
  <sheetData>
    <row r="1" s="27" customFormat="1" ht="79.5" customHeight="1" spans="1:49">
      <c r="A1" s="74" t="s">
        <v>528</v>
      </c>
      <c r="B1" s="75"/>
      <c r="C1" s="75"/>
      <c r="D1" s="76"/>
      <c r="E1" s="31" t="s">
        <v>529</v>
      </c>
      <c r="F1" s="32"/>
      <c r="G1" s="33"/>
      <c r="H1" s="31" t="s">
        <v>530</v>
      </c>
      <c r="I1" s="32"/>
      <c r="J1" s="33"/>
      <c r="K1" s="31" t="s">
        <v>531</v>
      </c>
      <c r="L1" s="32"/>
      <c r="M1" s="33"/>
      <c r="N1" s="31" t="s">
        <v>532</v>
      </c>
      <c r="O1" s="32"/>
      <c r="P1" s="33"/>
      <c r="Q1" s="31" t="s">
        <v>533</v>
      </c>
      <c r="R1" s="32"/>
      <c r="S1" s="33"/>
      <c r="T1" s="31" t="s">
        <v>534</v>
      </c>
      <c r="U1" s="32"/>
      <c r="V1" s="33"/>
      <c r="W1" s="213" t="s">
        <v>535</v>
      </c>
      <c r="X1" s="214"/>
      <c r="Y1" s="215"/>
      <c r="Z1" s="31" t="s">
        <v>536</v>
      </c>
      <c r="AA1" s="32"/>
      <c r="AB1" s="33"/>
      <c r="AC1" s="31" t="s">
        <v>537</v>
      </c>
      <c r="AD1" s="32"/>
      <c r="AE1" s="33"/>
      <c r="AF1" s="31" t="s">
        <v>538</v>
      </c>
      <c r="AG1" s="32"/>
      <c r="AH1" s="33"/>
      <c r="AI1" s="31" t="s">
        <v>539</v>
      </c>
      <c r="AJ1" s="32"/>
      <c r="AK1" s="33"/>
      <c r="AL1" s="31" t="s">
        <v>540</v>
      </c>
      <c r="AM1" s="32"/>
      <c r="AN1" s="33"/>
      <c r="AO1" s="249" t="s">
        <v>541</v>
      </c>
      <c r="AP1" s="250"/>
      <c r="AQ1" s="251"/>
      <c r="AR1" s="31" t="s">
        <v>542</v>
      </c>
      <c r="AS1" s="32"/>
      <c r="AT1" s="33"/>
      <c r="AU1" s="31" t="s">
        <v>543</v>
      </c>
      <c r="AV1" s="32"/>
      <c r="AW1" s="33"/>
    </row>
    <row r="2" ht="15.75" spans="1:49">
      <c r="A2" s="77" t="s">
        <v>0</v>
      </c>
      <c r="B2" s="77" t="s">
        <v>155</v>
      </c>
      <c r="C2" s="77" t="s">
        <v>156</v>
      </c>
      <c r="D2" s="77"/>
      <c r="E2" s="35" t="s">
        <v>158</v>
      </c>
      <c r="F2" s="35" t="s">
        <v>159</v>
      </c>
      <c r="G2" s="36">
        <v>2</v>
      </c>
      <c r="H2" s="36"/>
      <c r="I2" s="36"/>
      <c r="J2" s="36">
        <v>1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5" t="s">
        <v>158</v>
      </c>
      <c r="AV2" s="35" t="s">
        <v>159</v>
      </c>
      <c r="AW2" s="35" t="s">
        <v>160</v>
      </c>
    </row>
    <row r="3" spans="1:49">
      <c r="A3" s="2">
        <v>1</v>
      </c>
      <c r="B3" s="2" t="s">
        <v>65</v>
      </c>
      <c r="C3" s="37" t="s">
        <v>161</v>
      </c>
      <c r="D3" s="2" t="s">
        <v>232</v>
      </c>
      <c r="E3" s="20">
        <v>314382968</v>
      </c>
      <c r="F3" s="20">
        <v>13515528</v>
      </c>
      <c r="G3" s="96">
        <f>E3/F3</f>
        <v>23.2608720872762</v>
      </c>
      <c r="H3" s="20">
        <v>344943829</v>
      </c>
      <c r="I3" s="20">
        <v>11834709</v>
      </c>
      <c r="J3" s="96">
        <f>H3/I3</f>
        <v>29.1467943149257</v>
      </c>
      <c r="K3" s="20">
        <v>5119394</v>
      </c>
      <c r="L3" s="20">
        <v>9461152</v>
      </c>
      <c r="M3" s="49">
        <f>K3/L3</f>
        <v>0.541096263964473</v>
      </c>
      <c r="N3" s="20">
        <v>21745870</v>
      </c>
      <c r="O3" s="20">
        <v>7594467</v>
      </c>
      <c r="P3" s="49">
        <f>N3/O3</f>
        <v>2.86338330260702</v>
      </c>
      <c r="Q3" s="20">
        <v>42704</v>
      </c>
      <c r="R3" s="20">
        <v>11214</v>
      </c>
      <c r="S3" s="49">
        <f>Q3/R3</f>
        <v>3.80809702158017</v>
      </c>
      <c r="T3" s="20">
        <v>69930612</v>
      </c>
      <c r="U3" s="20">
        <v>10000000</v>
      </c>
      <c r="V3" s="38">
        <f>T3/U3</f>
        <v>6.9930612</v>
      </c>
      <c r="W3" s="20">
        <v>27958000</v>
      </c>
      <c r="X3" s="20">
        <v>10121760</v>
      </c>
      <c r="Y3" s="49">
        <f>W3/X3</f>
        <v>2.76216784432747</v>
      </c>
      <c r="Z3" s="20">
        <v>89148101</v>
      </c>
      <c r="AA3" s="20">
        <v>9488754</v>
      </c>
      <c r="AB3" s="49">
        <f>Z3/AA3</f>
        <v>9.3951324905251</v>
      </c>
      <c r="AC3" s="20">
        <v>-127394548</v>
      </c>
      <c r="AD3" s="20">
        <v>8679938</v>
      </c>
      <c r="AE3" s="39">
        <f>AC3/AD3</f>
        <v>-14.6768960792116</v>
      </c>
      <c r="AF3" s="20">
        <v>2077504</v>
      </c>
      <c r="AG3" s="20">
        <v>8904242</v>
      </c>
      <c r="AH3" s="49">
        <f>AF3/AG3</f>
        <v>0.233316210408477</v>
      </c>
      <c r="AI3" s="20">
        <v>113908890</v>
      </c>
      <c r="AJ3" s="20">
        <v>10825566</v>
      </c>
      <c r="AK3" s="38">
        <f>AI3/AJ3</f>
        <v>10.522211032661</v>
      </c>
      <c r="AL3" s="20">
        <v>111938704</v>
      </c>
      <c r="AM3" s="20">
        <v>8481060</v>
      </c>
      <c r="AN3" s="38">
        <f>AL3/AM3</f>
        <v>13.1986690342952</v>
      </c>
      <c r="AO3" s="20">
        <v>31935547</v>
      </c>
      <c r="AP3" s="20">
        <v>8189114</v>
      </c>
      <c r="AQ3" s="49">
        <f>AO3/AP3</f>
        <v>3.89975606640718</v>
      </c>
      <c r="AR3" s="20">
        <v>23324317</v>
      </c>
      <c r="AS3" s="20">
        <v>6102000</v>
      </c>
      <c r="AT3" s="38">
        <f>AR3/AS3</f>
        <v>3.82240527695837</v>
      </c>
      <c r="AU3" s="20">
        <v>-207284112</v>
      </c>
      <c r="AV3" s="20">
        <v>6904728</v>
      </c>
      <c r="AW3" s="219">
        <f>AU3/AV3</f>
        <v>-30.0206050115225</v>
      </c>
    </row>
    <row r="4" ht="7.5" customHeight="1" spans="1:49">
      <c r="A4" s="2"/>
      <c r="B4" s="2"/>
      <c r="C4" s="2" t="s">
        <v>163</v>
      </c>
      <c r="D4" s="2"/>
      <c r="E4" s="20"/>
      <c r="F4" s="20"/>
      <c r="G4" s="96"/>
      <c r="H4" s="20"/>
      <c r="I4" s="20"/>
      <c r="J4" s="96"/>
      <c r="K4" s="20"/>
      <c r="L4" s="20"/>
      <c r="M4" s="49"/>
      <c r="N4" s="20"/>
      <c r="O4" s="20"/>
      <c r="P4" s="49"/>
      <c r="Q4" s="20"/>
      <c r="R4" s="20"/>
      <c r="S4" s="49"/>
      <c r="T4" s="20"/>
      <c r="U4" s="20"/>
      <c r="V4" s="38"/>
      <c r="W4" s="20"/>
      <c r="X4" s="20"/>
      <c r="Y4" s="49"/>
      <c r="Z4" s="20"/>
      <c r="AA4" s="20"/>
      <c r="AB4" s="49"/>
      <c r="AC4" s="20"/>
      <c r="AD4" s="20"/>
      <c r="AE4" s="39"/>
      <c r="AF4" s="20"/>
      <c r="AG4" s="20"/>
      <c r="AH4" s="49"/>
      <c r="AI4" s="20"/>
      <c r="AJ4" s="20"/>
      <c r="AK4" s="38"/>
      <c r="AL4" s="20"/>
      <c r="AM4" s="20"/>
      <c r="AN4" s="38"/>
      <c r="AO4" s="20"/>
      <c r="AP4" s="20"/>
      <c r="AQ4" s="49"/>
      <c r="AR4" s="20"/>
      <c r="AS4" s="20"/>
      <c r="AT4" s="38"/>
      <c r="AU4" s="20"/>
      <c r="AV4" s="20"/>
      <c r="AW4" s="219"/>
    </row>
    <row r="5" hidden="1" spans="1:49">
      <c r="A5" s="2"/>
      <c r="D5" s="2"/>
      <c r="E5" s="78"/>
      <c r="F5" s="20"/>
      <c r="G5" s="38"/>
      <c r="H5" s="78"/>
      <c r="I5" s="20"/>
      <c r="J5" s="38"/>
      <c r="K5" s="78"/>
      <c r="L5" s="20"/>
      <c r="M5" s="38"/>
      <c r="N5" s="78" t="s">
        <v>544</v>
      </c>
      <c r="O5" s="20"/>
      <c r="P5" s="38"/>
      <c r="Q5" s="78"/>
      <c r="R5" s="20"/>
      <c r="S5" s="38"/>
      <c r="T5" s="78"/>
      <c r="U5" s="20"/>
      <c r="V5" s="38"/>
      <c r="W5" s="87" t="s">
        <v>544</v>
      </c>
      <c r="X5" s="20"/>
      <c r="Y5" s="38"/>
      <c r="Z5" s="87" t="s">
        <v>545</v>
      </c>
      <c r="AA5" s="20"/>
      <c r="AB5" s="38"/>
      <c r="AC5" s="87" t="s">
        <v>546</v>
      </c>
      <c r="AD5" s="20"/>
      <c r="AE5" s="38"/>
      <c r="AF5" s="252" t="s">
        <v>547</v>
      </c>
      <c r="AG5" s="20"/>
      <c r="AH5" s="38"/>
      <c r="AI5" s="98" t="s">
        <v>547</v>
      </c>
      <c r="AJ5" s="20"/>
      <c r="AK5" s="38"/>
      <c r="AL5" s="98"/>
      <c r="AM5" s="20"/>
      <c r="AN5" s="38"/>
      <c r="AO5" s="98" t="s">
        <v>548</v>
      </c>
      <c r="AP5" s="20"/>
      <c r="AQ5" s="38"/>
      <c r="AR5" s="98"/>
      <c r="AS5" s="20"/>
      <c r="AT5" s="38"/>
      <c r="AU5" s="98" t="s">
        <v>549</v>
      </c>
      <c r="AV5" s="253" t="s">
        <v>550</v>
      </c>
      <c r="AW5" s="254" t="s">
        <v>551</v>
      </c>
    </row>
    <row r="6" spans="1:49">
      <c r="A6" s="2">
        <v>2</v>
      </c>
      <c r="B6" s="41" t="s">
        <v>166</v>
      </c>
      <c r="C6" s="37" t="s">
        <v>167</v>
      </c>
      <c r="D6" s="2" t="s">
        <v>233</v>
      </c>
      <c r="E6" s="20">
        <v>623</v>
      </c>
      <c r="F6" s="42">
        <f>G3</f>
        <v>23.2608720872762</v>
      </c>
      <c r="G6" s="96">
        <f>E6/F6</f>
        <v>26.7831746661289</v>
      </c>
      <c r="H6" s="20">
        <v>640</v>
      </c>
      <c r="I6" s="42">
        <f>J3</f>
        <v>29.1467943149257</v>
      </c>
      <c r="J6" s="96">
        <f>H6/I6</f>
        <v>21.9578178335812</v>
      </c>
      <c r="K6" s="20">
        <v>632</v>
      </c>
      <c r="L6" s="42">
        <f>M3</f>
        <v>0.541096263964473</v>
      </c>
      <c r="M6" s="39">
        <f>K6/L6</f>
        <v>1167.99919365456</v>
      </c>
      <c r="N6" s="20">
        <v>741</v>
      </c>
      <c r="O6" s="42">
        <f>P3</f>
        <v>2.86338330260702</v>
      </c>
      <c r="P6" s="49">
        <f>N6/O6</f>
        <v>258.784773706455</v>
      </c>
      <c r="Q6" s="20">
        <v>504</v>
      </c>
      <c r="R6" s="42">
        <f>S3</f>
        <v>3.80809702158017</v>
      </c>
      <c r="S6" s="49">
        <f>Q6/R6</f>
        <v>132.349569127014</v>
      </c>
      <c r="T6" s="20">
        <v>543</v>
      </c>
      <c r="U6" s="42">
        <f>V3</f>
        <v>6.9930612</v>
      </c>
      <c r="V6" s="38">
        <f>T6/U6</f>
        <v>77.6483981006773</v>
      </c>
      <c r="W6" s="20">
        <v>504</v>
      </c>
      <c r="X6" s="42">
        <f>Y3</f>
        <v>2.76216784432747</v>
      </c>
      <c r="Y6" s="49">
        <f>W6/X6</f>
        <v>182.465378067101</v>
      </c>
      <c r="Z6" s="20">
        <v>549.96</v>
      </c>
      <c r="AA6" s="42">
        <f>AB3</f>
        <v>9.3951324905251</v>
      </c>
      <c r="AB6" s="49">
        <f>Z6/AA6</f>
        <v>58.5366944590328</v>
      </c>
      <c r="AC6" s="20">
        <v>583</v>
      </c>
      <c r="AD6" s="42">
        <f>AE3</f>
        <v>-14.6768960792116</v>
      </c>
      <c r="AE6" s="39">
        <f>AC6/AD6</f>
        <v>-39.7222952900622</v>
      </c>
      <c r="AF6" s="20">
        <v>512</v>
      </c>
      <c r="AG6" s="42">
        <f>AH3</f>
        <v>0.233316210408477</v>
      </c>
      <c r="AH6" s="39">
        <f>AF6/AG6</f>
        <v>2194.4467514864</v>
      </c>
      <c r="AI6" s="20">
        <v>431</v>
      </c>
      <c r="AJ6" s="42">
        <f>AK3</f>
        <v>10.522211032661</v>
      </c>
      <c r="AK6" s="38">
        <f>AI6/AJ6</f>
        <v>40.9609728090582</v>
      </c>
      <c r="AL6" s="20">
        <v>521.87</v>
      </c>
      <c r="AM6" s="42">
        <f>AN3</f>
        <v>13.1986690342952</v>
      </c>
      <c r="AN6" s="38">
        <f>AL6/AM6</f>
        <v>39.5395928668247</v>
      </c>
      <c r="AO6" s="20">
        <v>539.47</v>
      </c>
      <c r="AP6" s="42">
        <f>AQ3</f>
        <v>3.89975606640718</v>
      </c>
      <c r="AQ6" s="49">
        <f>AO6/AP6</f>
        <v>138.334293431079</v>
      </c>
      <c r="AR6" s="20">
        <v>642</v>
      </c>
      <c r="AS6" s="42">
        <f>AT3</f>
        <v>3.82240527695837</v>
      </c>
      <c r="AT6" s="43">
        <f>AR6/AS6</f>
        <v>167.957072440749</v>
      </c>
      <c r="AU6" s="20">
        <v>503</v>
      </c>
      <c r="AV6" s="42">
        <f>AW3</f>
        <v>-30.0206050115225</v>
      </c>
      <c r="AW6" s="219">
        <f>AU6/AV6</f>
        <v>-16.7551586587591</v>
      </c>
    </row>
    <row r="7" ht="7" customHeight="1" spans="1:49">
      <c r="A7" s="2"/>
      <c r="B7" s="41"/>
      <c r="C7" s="2" t="s">
        <v>169</v>
      </c>
      <c r="D7" s="2"/>
      <c r="E7" s="20"/>
      <c r="F7" s="42"/>
      <c r="G7" s="96"/>
      <c r="H7" s="20"/>
      <c r="I7" s="42"/>
      <c r="J7" s="96"/>
      <c r="K7" s="20"/>
      <c r="L7" s="42"/>
      <c r="M7" s="39"/>
      <c r="N7" s="20"/>
      <c r="O7" s="42"/>
      <c r="P7" s="49"/>
      <c r="Q7" s="20"/>
      <c r="R7" s="42"/>
      <c r="S7" s="49"/>
      <c r="T7" s="20"/>
      <c r="U7" s="42"/>
      <c r="V7" s="38"/>
      <c r="W7" s="20"/>
      <c r="X7" s="42"/>
      <c r="Y7" s="49"/>
      <c r="Z7" s="20"/>
      <c r="AA7" s="42"/>
      <c r="AB7" s="49"/>
      <c r="AC7" s="20"/>
      <c r="AD7" s="42"/>
      <c r="AE7" s="39"/>
      <c r="AF7" s="20"/>
      <c r="AG7" s="42"/>
      <c r="AH7" s="39"/>
      <c r="AI7" s="20"/>
      <c r="AJ7" s="42"/>
      <c r="AK7" s="38"/>
      <c r="AL7" s="20"/>
      <c r="AM7" s="42"/>
      <c r="AN7" s="38"/>
      <c r="AO7" s="20"/>
      <c r="AP7" s="42"/>
      <c r="AQ7" s="49"/>
      <c r="AR7" s="20"/>
      <c r="AS7" s="42"/>
      <c r="AT7" s="43"/>
      <c r="AU7" s="20"/>
      <c r="AV7" s="42"/>
      <c r="AW7" s="219"/>
    </row>
    <row r="8" hidden="1" spans="1:49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232"/>
      <c r="Q8" s="20"/>
      <c r="R8" s="42"/>
      <c r="S8" s="232"/>
      <c r="T8" s="20"/>
      <c r="U8" s="42"/>
      <c r="V8" s="232"/>
      <c r="W8" s="20"/>
      <c r="X8" s="42"/>
      <c r="Y8" s="232"/>
      <c r="Z8" s="20"/>
      <c r="AA8" s="42"/>
      <c r="AB8" s="232"/>
      <c r="AC8" s="20"/>
      <c r="AD8" s="42"/>
      <c r="AE8" s="232"/>
      <c r="AF8" s="20"/>
      <c r="AG8" s="42"/>
      <c r="AH8" s="232"/>
      <c r="AI8" s="20"/>
      <c r="AJ8" s="42"/>
      <c r="AK8" s="232"/>
      <c r="AL8" s="20"/>
      <c r="AM8" s="42"/>
      <c r="AN8" s="232"/>
      <c r="AO8" s="20"/>
      <c r="AP8" s="42"/>
      <c r="AQ8" s="232"/>
      <c r="AR8" s="20"/>
      <c r="AS8" s="42"/>
      <c r="AT8" s="232"/>
      <c r="AU8" s="20"/>
      <c r="AV8" s="42"/>
      <c r="AW8" s="232"/>
    </row>
    <row r="9" spans="1:49">
      <c r="A9" s="2">
        <v>3</v>
      </c>
      <c r="B9" s="2" t="s">
        <v>170</v>
      </c>
      <c r="C9" s="2" t="s">
        <v>171</v>
      </c>
      <c r="D9" s="2" t="s">
        <v>234</v>
      </c>
      <c r="E9" s="82">
        <f>E3</f>
        <v>314382968</v>
      </c>
      <c r="F9" s="82">
        <v>223339648</v>
      </c>
      <c r="G9" s="96">
        <f>((E9-F9)/F9)*100</f>
        <v>40.7645130702454</v>
      </c>
      <c r="H9" s="82">
        <f>H3</f>
        <v>344943829</v>
      </c>
      <c r="I9" s="20">
        <v>113243318</v>
      </c>
      <c r="J9" s="96">
        <f>((H9-I9)/I9)*100</f>
        <v>204.604134788774</v>
      </c>
      <c r="K9" s="20">
        <f>K3</f>
        <v>5119394</v>
      </c>
      <c r="L9" s="20">
        <v>148429282</v>
      </c>
      <c r="M9" s="39">
        <f>((K9-L9)/L9)*100</f>
        <v>-96.5509541439404</v>
      </c>
      <c r="N9" s="20">
        <f>N3</f>
        <v>21745870</v>
      </c>
      <c r="O9" s="20">
        <v>-28181535</v>
      </c>
      <c r="P9" s="38">
        <f>((N9-O9)/O9)*-100</f>
        <v>177.163539885248</v>
      </c>
      <c r="Q9" s="20">
        <f>Q3</f>
        <v>42704</v>
      </c>
      <c r="R9" s="20">
        <v>42609</v>
      </c>
      <c r="S9" s="38">
        <f>((Q9-R9)/R9)*100</f>
        <v>0.222957591119247</v>
      </c>
      <c r="T9" s="20">
        <f>T3</f>
        <v>69930612</v>
      </c>
      <c r="U9" s="20">
        <v>61659323</v>
      </c>
      <c r="V9" s="38">
        <f>((T9-U9)/U9)*100</f>
        <v>13.4144985665834</v>
      </c>
      <c r="W9" s="20">
        <f>W3</f>
        <v>27958000</v>
      </c>
      <c r="X9" s="20">
        <v>-3798000</v>
      </c>
      <c r="Y9" s="38">
        <f>((W9-X9)/X9)*-100</f>
        <v>836.124275934702</v>
      </c>
      <c r="Z9" s="20">
        <f>Z3</f>
        <v>89148101</v>
      </c>
      <c r="AA9" s="20">
        <v>-341636426</v>
      </c>
      <c r="AB9" s="38">
        <f>((Z9-AA9)/AA9)*-100</f>
        <v>126.094436721452</v>
      </c>
      <c r="AC9" s="20">
        <f>AC3</f>
        <v>-127394548</v>
      </c>
      <c r="AD9" s="20">
        <v>42373855</v>
      </c>
      <c r="AE9" s="39">
        <f>((AC9-AD9)/AD9)*100</f>
        <v>-400.644225076996</v>
      </c>
      <c r="AF9" s="20">
        <f>AF3</f>
        <v>2077504</v>
      </c>
      <c r="AG9" s="20">
        <v>-100614500</v>
      </c>
      <c r="AH9" s="39">
        <f>((AF9-AG9)/AG9)*-100</f>
        <v>102.064815707478</v>
      </c>
      <c r="AI9" s="20">
        <f>AI3</f>
        <v>113908890</v>
      </c>
      <c r="AJ9" s="20">
        <v>-106459300</v>
      </c>
      <c r="AK9" s="38">
        <f>((AI9-AJ9)/AJ9)*-100</f>
        <v>206.997594385836</v>
      </c>
      <c r="AL9" s="20">
        <f>AL3</f>
        <v>111938704</v>
      </c>
      <c r="AM9" s="20">
        <v>116857089</v>
      </c>
      <c r="AN9" s="38">
        <f>((AL9-AM9)/AM9)*-100</f>
        <v>4.20888885910892</v>
      </c>
      <c r="AO9" s="20">
        <f>AO3</f>
        <v>31935547</v>
      </c>
      <c r="AP9" s="20">
        <v>-136123110</v>
      </c>
      <c r="AQ9" s="38">
        <f>((AO9-AP9)/AP9)*-100</f>
        <v>123.460782669453</v>
      </c>
      <c r="AR9" s="20">
        <f>AR3</f>
        <v>23324317</v>
      </c>
      <c r="AS9" s="20">
        <v>10485256</v>
      </c>
      <c r="AT9" s="38">
        <f>((AR9-AS9)/AS9)*100</f>
        <v>122.448712744829</v>
      </c>
      <c r="AU9" s="20">
        <f>AU3</f>
        <v>-207284112</v>
      </c>
      <c r="AV9" s="20">
        <v>-137163025</v>
      </c>
      <c r="AW9" s="38">
        <f>((AU9-AV9)/AV9)*-100</f>
        <v>-51.122441343066</v>
      </c>
    </row>
    <row r="10" hidden="1" spans="1:49">
      <c r="A10" s="2"/>
      <c r="E10" s="45"/>
      <c r="G10" s="40"/>
      <c r="H10" s="45"/>
      <c r="J10" s="40"/>
      <c r="K10" s="98" t="s">
        <v>289</v>
      </c>
      <c r="M10" s="40"/>
      <c r="N10" s="98"/>
      <c r="P10" s="40" t="s">
        <v>552</v>
      </c>
      <c r="Q10" s="98"/>
      <c r="S10" s="40"/>
      <c r="T10" s="98"/>
      <c r="V10" s="40"/>
      <c r="W10" s="98" t="s">
        <v>553</v>
      </c>
      <c r="Y10" s="40" t="s">
        <v>552</v>
      </c>
      <c r="Z10" s="98" t="s">
        <v>554</v>
      </c>
      <c r="AB10" s="40" t="s">
        <v>552</v>
      </c>
      <c r="AC10" s="98" t="s">
        <v>289</v>
      </c>
      <c r="AE10" s="40"/>
      <c r="AF10" s="98" t="s">
        <v>289</v>
      </c>
      <c r="AH10" s="40" t="s">
        <v>552</v>
      </c>
      <c r="AI10" s="98" t="s">
        <v>289</v>
      </c>
      <c r="AK10" s="40" t="s">
        <v>552</v>
      </c>
      <c r="AL10" s="98"/>
      <c r="AN10" s="40"/>
      <c r="AO10" s="98" t="s">
        <v>289</v>
      </c>
      <c r="AQ10" s="40" t="s">
        <v>555</v>
      </c>
      <c r="AR10" s="98"/>
      <c r="AT10" s="40"/>
      <c r="AU10" s="98" t="s">
        <v>289</v>
      </c>
      <c r="AW10" s="40" t="s">
        <v>552</v>
      </c>
    </row>
    <row r="11" hidden="1" spans="1:49">
      <c r="A11" s="2">
        <v>4</v>
      </c>
      <c r="B11" s="2" t="s">
        <v>173</v>
      </c>
      <c r="C11" s="41" t="s">
        <v>174</v>
      </c>
      <c r="D11" s="41" t="s">
        <v>234</v>
      </c>
      <c r="E11" s="20">
        <v>2444275714</v>
      </c>
      <c r="F11" s="20">
        <v>2216173901</v>
      </c>
      <c r="G11" s="38">
        <f>((E11-F11)/F11)*100</f>
        <v>10.2925954004365</v>
      </c>
      <c r="H11" s="20">
        <v>2186129696</v>
      </c>
      <c r="I11" s="20">
        <v>1906054300</v>
      </c>
      <c r="J11" s="38">
        <f>((H11-I11)/I11)*100</f>
        <v>14.6939883087276</v>
      </c>
      <c r="K11" s="20">
        <v>1865184750</v>
      </c>
      <c r="L11" s="20">
        <v>1776091757</v>
      </c>
      <c r="M11" s="38">
        <f>((K11-L11)/L11)*100</f>
        <v>5.01623818977051</v>
      </c>
      <c r="N11" s="20">
        <v>1043286207</v>
      </c>
      <c r="O11" s="20">
        <v>970787693</v>
      </c>
      <c r="P11" s="38">
        <f>((N11-O11)/O11)*100</f>
        <v>7.46800917675004</v>
      </c>
      <c r="Q11" s="20">
        <v>1234593</v>
      </c>
      <c r="R11" s="20">
        <v>1172346</v>
      </c>
      <c r="S11" s="38">
        <f>((Q11-R11)/R11)*100</f>
        <v>5.30960996156425</v>
      </c>
      <c r="T11" s="20">
        <v>1422311470</v>
      </c>
      <c r="U11" s="20">
        <v>1343520904</v>
      </c>
      <c r="V11" s="38">
        <f>((T11-U11)/U11)*100</f>
        <v>5.86448381751416</v>
      </c>
      <c r="W11" s="20">
        <v>1422311470</v>
      </c>
      <c r="X11" s="20">
        <v>1343520904</v>
      </c>
      <c r="Y11" s="38">
        <f>((W11-X11)/X11)*100</f>
        <v>5.86448381751416</v>
      </c>
      <c r="Z11" s="20">
        <v>1422311470</v>
      </c>
      <c r="AA11" s="20">
        <v>1343520904</v>
      </c>
      <c r="AB11" s="38">
        <f>((Z11-AA11)/AA11)*100</f>
        <v>5.86448381751416</v>
      </c>
      <c r="AC11" s="20">
        <v>1422311470</v>
      </c>
      <c r="AD11" s="20">
        <v>1343520904</v>
      </c>
      <c r="AE11" s="38">
        <f>((AC11-AD11)/AD11)*100</f>
        <v>5.86448381751416</v>
      </c>
      <c r="AF11" s="20">
        <v>1422311470</v>
      </c>
      <c r="AG11" s="20">
        <v>1343520904</v>
      </c>
      <c r="AH11" s="38">
        <f>((AF11-AG11)/AG11)*100</f>
        <v>5.86448381751416</v>
      </c>
      <c r="AI11" s="20">
        <v>1422311470</v>
      </c>
      <c r="AJ11" s="20">
        <v>1343520904</v>
      </c>
      <c r="AK11" s="38">
        <f>((AI11-AJ11)/AJ11)*100</f>
        <v>5.86448381751416</v>
      </c>
      <c r="AL11" s="20">
        <v>672008650</v>
      </c>
      <c r="AM11" s="20">
        <v>456439736</v>
      </c>
      <c r="AN11" s="38">
        <f>((AL11-AM11)/AM11)*100</f>
        <v>47.228340785825</v>
      </c>
      <c r="AO11" s="20">
        <v>672008650</v>
      </c>
      <c r="AP11" s="20">
        <v>456439736</v>
      </c>
      <c r="AQ11" s="38">
        <f>((AO11-AP11)/AP11)*100</f>
        <v>47.228340785825</v>
      </c>
      <c r="AR11" s="20">
        <v>768906829</v>
      </c>
      <c r="AS11" s="20">
        <v>689786079</v>
      </c>
      <c r="AT11" s="38">
        <f>((AR11-AS11)/AS11)*100</f>
        <v>11.4703315141853</v>
      </c>
      <c r="AU11" s="20">
        <v>768906829</v>
      </c>
      <c r="AV11" s="20">
        <v>689786079</v>
      </c>
      <c r="AW11" s="38">
        <f>((AU11-AV11)/AV11)*100</f>
        <v>11.4703315141853</v>
      </c>
    </row>
    <row r="12" ht="5.5" hidden="1" customHeight="1" spans="1:49">
      <c r="A12" s="2"/>
      <c r="B12" s="2"/>
      <c r="C12" s="41"/>
      <c r="D12" s="41"/>
      <c r="E12" s="20"/>
      <c r="F12" s="20"/>
      <c r="G12" s="38"/>
      <c r="H12" s="20"/>
      <c r="I12" s="20"/>
      <c r="J12" s="38"/>
      <c r="K12" s="20"/>
      <c r="L12" s="20"/>
      <c r="M12" s="38"/>
      <c r="N12" s="20"/>
      <c r="O12" s="20"/>
      <c r="P12" s="38"/>
      <c r="Q12" s="20"/>
      <c r="R12" s="20"/>
      <c r="S12" s="38"/>
      <c r="T12" s="20"/>
      <c r="U12" s="20"/>
      <c r="V12" s="38"/>
      <c r="W12" s="20"/>
      <c r="X12" s="20"/>
      <c r="Y12" s="38"/>
      <c r="Z12" s="20"/>
      <c r="AA12" s="20"/>
      <c r="AB12" s="38"/>
      <c r="AC12" s="20"/>
      <c r="AD12" s="20"/>
      <c r="AE12" s="38"/>
      <c r="AF12" s="20"/>
      <c r="AG12" s="20"/>
      <c r="AH12" s="38"/>
      <c r="AI12" s="20"/>
      <c r="AJ12" s="20"/>
      <c r="AK12" s="38"/>
      <c r="AL12" s="20"/>
      <c r="AM12" s="20"/>
      <c r="AN12" s="38"/>
      <c r="AO12" s="20"/>
      <c r="AP12" s="20"/>
      <c r="AQ12" s="38"/>
      <c r="AR12" s="20"/>
      <c r="AS12" s="20"/>
      <c r="AT12" s="38"/>
      <c r="AU12" s="20"/>
      <c r="AV12" s="20"/>
      <c r="AW12" s="38"/>
    </row>
    <row r="13" hidden="1" spans="1:49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  <c r="Z13" s="83"/>
      <c r="AA13" s="2"/>
      <c r="AB13" s="80"/>
      <c r="AC13" s="83"/>
      <c r="AD13" s="2"/>
      <c r="AE13" s="80"/>
      <c r="AF13" s="83"/>
      <c r="AG13" s="2"/>
      <c r="AH13" s="80"/>
      <c r="AI13" s="83"/>
      <c r="AJ13" s="2"/>
      <c r="AK13" s="80"/>
      <c r="AL13" s="83"/>
      <c r="AM13" s="2"/>
      <c r="AN13" s="80"/>
      <c r="AO13" s="83"/>
      <c r="AP13" s="2"/>
      <c r="AQ13" s="80"/>
      <c r="AR13" s="83"/>
      <c r="AS13" s="2"/>
      <c r="AT13" s="80"/>
      <c r="AU13" s="83"/>
      <c r="AV13" s="2"/>
      <c r="AW13" s="80"/>
    </row>
    <row r="14" spans="1:49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314382968</v>
      </c>
      <c r="F14" s="20">
        <f>E11</f>
        <v>2444275714</v>
      </c>
      <c r="G14" s="113">
        <f>(E14/F14)</f>
        <v>0.128620092324004</v>
      </c>
      <c r="H14" s="20">
        <f>H3</f>
        <v>344943829</v>
      </c>
      <c r="I14" s="20">
        <f>H11</f>
        <v>2186129696</v>
      </c>
      <c r="J14" s="113">
        <f>(H14/I14)</f>
        <v>0.157787449496318</v>
      </c>
      <c r="K14" s="20">
        <f>K3</f>
        <v>5119394</v>
      </c>
      <c r="L14" s="20">
        <f>K11</f>
        <v>1865184750</v>
      </c>
      <c r="M14" s="44">
        <f>(K14/L14)</f>
        <v>0.00274471148233439</v>
      </c>
      <c r="N14" s="20">
        <f>N3</f>
        <v>21745870</v>
      </c>
      <c r="O14" s="20">
        <f>N11</f>
        <v>1043286207</v>
      </c>
      <c r="P14" s="44">
        <f>(N14/O14)</f>
        <v>0.0208436283870089</v>
      </c>
      <c r="Q14" s="20">
        <f>Q3</f>
        <v>42704</v>
      </c>
      <c r="R14" s="20">
        <f>Q11</f>
        <v>1234593</v>
      </c>
      <c r="S14" s="44">
        <f>(Q14/R14)</f>
        <v>0.034589536794717</v>
      </c>
      <c r="T14" s="20">
        <f>T3</f>
        <v>69930612</v>
      </c>
      <c r="U14" s="20">
        <f>T11</f>
        <v>1422311470</v>
      </c>
      <c r="V14" s="44">
        <f>(T14/U14)</f>
        <v>0.049166876225782</v>
      </c>
      <c r="W14" s="20">
        <f>W3</f>
        <v>27958000</v>
      </c>
      <c r="X14" s="20">
        <f>W11</f>
        <v>1422311470</v>
      </c>
      <c r="Y14" s="44">
        <f>(W14/X14)</f>
        <v>0.019656735243793</v>
      </c>
      <c r="Z14" s="20">
        <f>Z3</f>
        <v>89148101</v>
      </c>
      <c r="AA14" s="20">
        <f>Z11</f>
        <v>1422311470</v>
      </c>
      <c r="AB14" s="44">
        <f>(Z14/AA14)</f>
        <v>0.0626783253038099</v>
      </c>
      <c r="AC14" s="20">
        <f>AC3</f>
        <v>-127394548</v>
      </c>
      <c r="AD14" s="20">
        <f>AC11</f>
        <v>1422311470</v>
      </c>
      <c r="AE14" s="44">
        <f>(AC14/AD14)</f>
        <v>-0.0895686709184733</v>
      </c>
      <c r="AF14" s="20">
        <f>AF3</f>
        <v>2077504</v>
      </c>
      <c r="AG14" s="20">
        <f>AF11</f>
        <v>1422311470</v>
      </c>
      <c r="AH14" s="44">
        <f>(AF14/AG14)</f>
        <v>0.00146065334057947</v>
      </c>
      <c r="AI14" s="20">
        <f>AI3</f>
        <v>113908890</v>
      </c>
      <c r="AJ14" s="20">
        <f>AI11</f>
        <v>1422311470</v>
      </c>
      <c r="AK14" s="44">
        <f>(AI14/AJ14)</f>
        <v>0.080087162624091</v>
      </c>
      <c r="AL14" s="20">
        <f>AL3</f>
        <v>111938704</v>
      </c>
      <c r="AM14" s="20">
        <f>AL11</f>
        <v>672008650</v>
      </c>
      <c r="AN14" s="113">
        <f>(AL14/AM14)</f>
        <v>0.166573308245363</v>
      </c>
      <c r="AO14" s="20">
        <f>AO3</f>
        <v>31935547</v>
      </c>
      <c r="AP14" s="20">
        <f>AO11</f>
        <v>672008650</v>
      </c>
      <c r="AQ14" s="44">
        <f>(AO14/AP14)</f>
        <v>0.04752252370561</v>
      </c>
      <c r="AR14" s="20">
        <f>AR3</f>
        <v>23324317</v>
      </c>
      <c r="AS14" s="20">
        <f>AR11</f>
        <v>768906829</v>
      </c>
      <c r="AT14" s="44">
        <f>(AR14/AS14)</f>
        <v>0.0303343865866485</v>
      </c>
      <c r="AU14" s="20">
        <f>AU3</f>
        <v>-207284112</v>
      </c>
      <c r="AV14" s="20">
        <f>AU11</f>
        <v>768906829</v>
      </c>
      <c r="AW14" s="44">
        <f>(AU14/AV14)</f>
        <v>-0.269582872959501</v>
      </c>
    </row>
    <row r="15" ht="2.5" customHeight="1" spans="1:49">
      <c r="A15" s="2"/>
      <c r="B15" s="2"/>
      <c r="C15" s="2" t="s">
        <v>176</v>
      </c>
      <c r="D15" s="2"/>
      <c r="E15" s="20"/>
      <c r="F15" s="2"/>
      <c r="G15" s="113"/>
      <c r="H15" s="20"/>
      <c r="I15" s="2"/>
      <c r="J15" s="113"/>
      <c r="K15" s="20"/>
      <c r="L15" s="2"/>
      <c r="M15" s="44"/>
      <c r="N15" s="20"/>
      <c r="O15" s="2"/>
      <c r="P15" s="44"/>
      <c r="Q15" s="20"/>
      <c r="R15" s="2"/>
      <c r="S15" s="44"/>
      <c r="T15" s="20"/>
      <c r="U15" s="2"/>
      <c r="V15" s="44"/>
      <c r="W15" s="20"/>
      <c r="X15" s="2"/>
      <c r="Y15" s="44"/>
      <c r="Z15" s="20"/>
      <c r="AA15" s="2"/>
      <c r="AB15" s="44"/>
      <c r="AC15" s="20"/>
      <c r="AD15" s="2"/>
      <c r="AE15" s="44"/>
      <c r="AF15" s="20"/>
      <c r="AG15" s="2"/>
      <c r="AH15" s="44"/>
      <c r="AI15" s="20"/>
      <c r="AJ15" s="2"/>
      <c r="AK15" s="44"/>
      <c r="AL15" s="20"/>
      <c r="AM15" s="2"/>
      <c r="AN15" s="113"/>
      <c r="AO15" s="20"/>
      <c r="AP15" s="2"/>
      <c r="AQ15" s="44"/>
      <c r="AR15" s="20"/>
      <c r="AS15" s="2"/>
      <c r="AT15" s="44"/>
      <c r="AU15" s="20"/>
      <c r="AV15" s="2"/>
      <c r="AW15" s="44"/>
    </row>
    <row r="16" hidden="1" spans="1:49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20"/>
      <c r="AM16" s="2"/>
      <c r="AN16" s="38"/>
      <c r="AO16" s="20"/>
      <c r="AP16" s="2"/>
      <c r="AQ16" s="38"/>
      <c r="AR16" s="20"/>
      <c r="AS16" s="2"/>
      <c r="AT16" s="38"/>
      <c r="AU16" s="20"/>
      <c r="AV16" s="2"/>
      <c r="AW16" s="38"/>
    </row>
    <row r="17" ht="16" customHeight="1" spans="1:49">
      <c r="A17" s="2">
        <v>6</v>
      </c>
      <c r="B17" s="2" t="s">
        <v>177</v>
      </c>
      <c r="C17" s="2" t="s">
        <v>171</v>
      </c>
      <c r="D17" s="41" t="s">
        <v>235</v>
      </c>
      <c r="E17" s="20">
        <v>17909140732</v>
      </c>
      <c r="F17" s="20">
        <v>13999297975</v>
      </c>
      <c r="G17" s="96">
        <f>((E17-F17)/F17)*100</f>
        <v>27.9288487464315</v>
      </c>
      <c r="H17" s="20">
        <v>16879014186</v>
      </c>
      <c r="I17" s="20">
        <v>14257565269</v>
      </c>
      <c r="J17" s="96">
        <f>((H17-I17)/I17)*100</f>
        <v>18.3863714985039</v>
      </c>
      <c r="K17" s="20">
        <v>16879014186</v>
      </c>
      <c r="L17" s="20">
        <v>14257565269</v>
      </c>
      <c r="M17" s="38">
        <f>((K17-L17)/L17)*100</f>
        <v>18.3863714985039</v>
      </c>
      <c r="N17" s="20">
        <v>2495169199</v>
      </c>
      <c r="O17" s="20">
        <v>1977767555</v>
      </c>
      <c r="P17" s="38">
        <f>((N17-O17)/O17)*100</f>
        <v>26.1608925018491</v>
      </c>
      <c r="Q17" s="20">
        <v>6737372</v>
      </c>
      <c r="R17" s="20">
        <v>5939520</v>
      </c>
      <c r="S17" s="38">
        <f>((Q17-R17)/R17)*100</f>
        <v>13.4329373417381</v>
      </c>
      <c r="T17" s="20">
        <v>6159539342</v>
      </c>
      <c r="U17" s="20">
        <v>5393053710</v>
      </c>
      <c r="V17" s="38">
        <f>((T17-U17)/U17)*100</f>
        <v>14.2124605690233</v>
      </c>
      <c r="W17" s="20">
        <v>6159539342</v>
      </c>
      <c r="X17" s="20">
        <v>5393053710</v>
      </c>
      <c r="Y17" s="38">
        <f>((W17-X17)/X17)*100</f>
        <v>14.2124605690233</v>
      </c>
      <c r="Z17" s="20">
        <v>6159539342</v>
      </c>
      <c r="AA17" s="20">
        <v>5393053710</v>
      </c>
      <c r="AB17" s="38">
        <f>((Z17-AA17)/AA17)*100</f>
        <v>14.2124605690233</v>
      </c>
      <c r="AC17" s="20">
        <v>6159539342</v>
      </c>
      <c r="AD17" s="20">
        <v>5393053710</v>
      </c>
      <c r="AE17" s="38">
        <f>((AC17-AD17)/AD17)*100</f>
        <v>14.2124605690233</v>
      </c>
      <c r="AF17" s="20">
        <v>6159539342</v>
      </c>
      <c r="AG17" s="20">
        <v>5393053710</v>
      </c>
      <c r="AH17" s="38">
        <f>((AF17-AG17)/AG17)*100</f>
        <v>14.2124605690233</v>
      </c>
      <c r="AI17" s="20">
        <v>6159539342</v>
      </c>
      <c r="AJ17" s="20">
        <v>5393053710</v>
      </c>
      <c r="AK17" s="38">
        <f>((AI17-AJ17)/AJ17)*100</f>
        <v>14.2124605690233</v>
      </c>
      <c r="AL17" s="20">
        <v>4802903734</v>
      </c>
      <c r="AM17" s="20">
        <v>3952004781</v>
      </c>
      <c r="AN17" s="38">
        <f>((AL17-AM17)/AM17)*100</f>
        <v>21.5308179051517</v>
      </c>
      <c r="AO17" s="20">
        <v>4802903734</v>
      </c>
      <c r="AP17" s="20">
        <v>3952004781</v>
      </c>
      <c r="AQ17" s="38">
        <f>((AO17-AP17)/AP17)*100</f>
        <v>21.5308179051517</v>
      </c>
      <c r="AR17" s="20">
        <v>1888125981</v>
      </c>
      <c r="AS17" s="20">
        <v>1443933256</v>
      </c>
      <c r="AT17" s="38">
        <f>((AR17-AS17)/AS17)*100</f>
        <v>30.7626909453216</v>
      </c>
      <c r="AU17" s="20">
        <v>1888125981</v>
      </c>
      <c r="AV17" s="20">
        <v>1443933256</v>
      </c>
      <c r="AW17" s="38">
        <f>((AU17-AV17)/AV17)*100</f>
        <v>30.7626909453216</v>
      </c>
    </row>
    <row r="18" hidden="1" spans="1:49">
      <c r="A18" s="2"/>
      <c r="B18" s="2"/>
      <c r="C18" s="2"/>
      <c r="D18" s="2"/>
      <c r="E18" s="20"/>
      <c r="F18" s="2"/>
      <c r="G18" s="96"/>
      <c r="H18" s="20"/>
      <c r="I18" s="2"/>
      <c r="J18" s="96"/>
      <c r="K18" s="20"/>
      <c r="L18" s="2"/>
      <c r="M18" s="38"/>
      <c r="N18" s="20"/>
      <c r="O18" s="2"/>
      <c r="P18" s="38"/>
      <c r="Q18" s="20"/>
      <c r="R18" s="2"/>
      <c r="S18" s="38"/>
      <c r="T18" s="20"/>
      <c r="U18" s="2"/>
      <c r="V18" s="38"/>
      <c r="W18" s="20"/>
      <c r="X18" s="2"/>
      <c r="Y18" s="38"/>
      <c r="Z18" s="20"/>
      <c r="AA18" s="2"/>
      <c r="AB18" s="38"/>
      <c r="AC18" s="20"/>
      <c r="AD18" s="2"/>
      <c r="AE18" s="38"/>
      <c r="AF18" s="20"/>
      <c r="AG18" s="2"/>
      <c r="AH18" s="38"/>
      <c r="AI18" s="20"/>
      <c r="AJ18" s="2"/>
      <c r="AK18" s="38"/>
      <c r="AL18" s="20"/>
      <c r="AM18" s="2"/>
      <c r="AN18" s="38"/>
      <c r="AO18" s="20"/>
      <c r="AP18" s="2"/>
      <c r="AQ18" s="38"/>
      <c r="AR18" s="20"/>
      <c r="AS18" s="2"/>
      <c r="AT18" s="38"/>
      <c r="AU18" s="20"/>
      <c r="AV18" s="2"/>
      <c r="AW18" s="38"/>
    </row>
    <row r="19" spans="1:49">
      <c r="A19" s="2">
        <v>7</v>
      </c>
      <c r="B19" s="6" t="s">
        <v>179</v>
      </c>
      <c r="C19" s="2" t="s">
        <v>171</v>
      </c>
      <c r="D19" s="2" t="s">
        <v>235</v>
      </c>
      <c r="E19" s="20">
        <v>21874412705</v>
      </c>
      <c r="F19" s="20">
        <v>16413518399</v>
      </c>
      <c r="G19" s="96">
        <f>((E19-F19)/F19)*100</f>
        <v>33.2707112104173</v>
      </c>
      <c r="H19" s="20">
        <v>19990292732</v>
      </c>
      <c r="I19" s="20">
        <v>18510733492</v>
      </c>
      <c r="J19" s="96">
        <f>((H19-I19)/I19)*100</f>
        <v>7.99298007634024</v>
      </c>
      <c r="K19" s="20">
        <v>19990292732</v>
      </c>
      <c r="L19" s="20">
        <v>18510733492</v>
      </c>
      <c r="M19" s="38">
        <f>((K19-L19)/L19)*100</f>
        <v>7.99298007634024</v>
      </c>
      <c r="N19" s="20">
        <v>3880259884</v>
      </c>
      <c r="O19" s="20">
        <v>2554505786</v>
      </c>
      <c r="P19" s="38">
        <f>((N19-O19)/O19)*100</f>
        <v>51.8986531667226</v>
      </c>
      <c r="Q19" s="20">
        <v>8392617</v>
      </c>
      <c r="R19" s="20">
        <v>7903762</v>
      </c>
      <c r="S19" s="38">
        <f>((Q19-R19)/R19)*100</f>
        <v>6.18509261792043</v>
      </c>
      <c r="T19" s="20">
        <v>7834807500</v>
      </c>
      <c r="U19" s="20">
        <v>7373425075</v>
      </c>
      <c r="V19" s="38">
        <f>((T19-U19)/U19)*100</f>
        <v>6.25736913723233</v>
      </c>
      <c r="W19" s="20">
        <v>7834807500</v>
      </c>
      <c r="X19" s="20">
        <v>7373425075</v>
      </c>
      <c r="Y19" s="38">
        <f>((W19-X19)/X19)*100</f>
        <v>6.25736913723233</v>
      </c>
      <c r="Z19" s="20">
        <v>7834807500</v>
      </c>
      <c r="AA19" s="20">
        <v>7373425075</v>
      </c>
      <c r="AB19" s="38">
        <f>((Z19-AA19)/AA19)*100</f>
        <v>6.25736913723233</v>
      </c>
      <c r="AC19" s="20">
        <v>7834807500</v>
      </c>
      <c r="AD19" s="20">
        <v>7373425075</v>
      </c>
      <c r="AE19" s="38">
        <f>((AC19-AD19)/AD19)*100</f>
        <v>6.25736913723233</v>
      </c>
      <c r="AF19" s="20">
        <v>7834807500</v>
      </c>
      <c r="AG19" s="20">
        <v>7373425075</v>
      </c>
      <c r="AH19" s="38">
        <f>((AF19-AG19)/AG19)*100</f>
        <v>6.25736913723233</v>
      </c>
      <c r="AI19" s="20">
        <v>7834807500</v>
      </c>
      <c r="AJ19" s="20">
        <v>7373425075</v>
      </c>
      <c r="AK19" s="38">
        <f>((AI19-AJ19)/AJ19)*100</f>
        <v>6.25736913723233</v>
      </c>
      <c r="AL19" s="20">
        <v>6980580427</v>
      </c>
      <c r="AM19" s="20">
        <v>6093057677</v>
      </c>
      <c r="AN19" s="38">
        <f>((AL19-AM19)/AM19)*100</f>
        <v>14.5661307843878</v>
      </c>
      <c r="AO19" s="20">
        <v>6980580427</v>
      </c>
      <c r="AP19" s="20">
        <v>6093057677</v>
      </c>
      <c r="AQ19" s="38">
        <f>((AO19-AP19)/AP19)*100</f>
        <v>14.5661307843878</v>
      </c>
      <c r="AR19" s="20">
        <v>3172739554</v>
      </c>
      <c r="AS19" s="20">
        <v>1870250257</v>
      </c>
      <c r="AT19" s="38">
        <f>((AR19-AS19)/AS19)*100</f>
        <v>69.6425139964571</v>
      </c>
      <c r="AU19" s="20">
        <v>3172739554</v>
      </c>
      <c r="AV19" s="20">
        <v>1870250257</v>
      </c>
      <c r="AW19" s="38">
        <f>((AU19-AV19)/AV19)*100</f>
        <v>69.6425139964571</v>
      </c>
    </row>
    <row r="20" hidden="1" spans="1:49">
      <c r="A20" s="2"/>
      <c r="D20" s="2"/>
      <c r="E20" s="20"/>
      <c r="F20" s="20"/>
      <c r="G20" s="80"/>
      <c r="H20" s="20"/>
      <c r="I20" s="20"/>
      <c r="J20" s="80"/>
      <c r="K20" s="20"/>
      <c r="L20" s="20"/>
      <c r="M20" s="80"/>
      <c r="N20" s="20"/>
      <c r="O20" s="20"/>
      <c r="P20" s="80"/>
      <c r="Q20" s="20"/>
      <c r="R20" s="20"/>
      <c r="S20" s="80"/>
      <c r="T20" s="20"/>
      <c r="U20" s="20"/>
      <c r="V20" s="80"/>
      <c r="W20" s="20"/>
      <c r="X20" s="20"/>
      <c r="Y20" s="80"/>
      <c r="Z20" s="20"/>
      <c r="AA20" s="20"/>
      <c r="AB20" s="80"/>
      <c r="AC20" s="20"/>
      <c r="AD20" s="20"/>
      <c r="AE20" s="80"/>
      <c r="AF20" s="20"/>
      <c r="AG20" s="20"/>
      <c r="AH20" s="80"/>
      <c r="AI20" s="20"/>
      <c r="AJ20" s="20"/>
      <c r="AK20" s="80"/>
      <c r="AL20" s="20"/>
      <c r="AM20" s="20"/>
      <c r="AN20" s="80"/>
      <c r="AO20" s="20"/>
      <c r="AP20" s="20"/>
      <c r="AQ20" s="80"/>
      <c r="AR20" s="20"/>
      <c r="AS20" s="20"/>
      <c r="AT20" s="80"/>
      <c r="AU20" s="20"/>
      <c r="AV20" s="20"/>
      <c r="AW20" s="80"/>
    </row>
    <row r="21" spans="1:49">
      <c r="A21" s="2">
        <v>8</v>
      </c>
      <c r="B21" s="2" t="s">
        <v>180</v>
      </c>
      <c r="C21" s="37" t="s">
        <v>176</v>
      </c>
      <c r="D21" s="2" t="s">
        <v>181</v>
      </c>
      <c r="E21" s="20">
        <f>E11</f>
        <v>2444275714</v>
      </c>
      <c r="F21" s="20">
        <f>F3</f>
        <v>13515528</v>
      </c>
      <c r="G21" s="96">
        <f>E21/F21</f>
        <v>180.849443247796</v>
      </c>
      <c r="H21" s="20">
        <f>H11</f>
        <v>2186129696</v>
      </c>
      <c r="I21" s="20">
        <f>I3</f>
        <v>11834709</v>
      </c>
      <c r="J21" s="96">
        <f>H21/I21</f>
        <v>184.721880022568</v>
      </c>
      <c r="K21" s="20">
        <f>K11</f>
        <v>1865184750</v>
      </c>
      <c r="L21" s="20">
        <f>L3</f>
        <v>9461152</v>
      </c>
      <c r="M21" s="96">
        <f>K21/L21</f>
        <v>197.141399905635</v>
      </c>
      <c r="N21" s="20">
        <f>N11</f>
        <v>1043286207</v>
      </c>
      <c r="O21" s="20">
        <f>O3</f>
        <v>7594467</v>
      </c>
      <c r="P21" s="96">
        <f>N21/O21</f>
        <v>137.374513181768</v>
      </c>
      <c r="Q21" s="20">
        <f>Q11</f>
        <v>1234593</v>
      </c>
      <c r="R21" s="20">
        <f>R3</f>
        <v>11214</v>
      </c>
      <c r="S21" s="96">
        <f>Q21/R21</f>
        <v>110.093900481541</v>
      </c>
      <c r="T21" s="20">
        <f>T11</f>
        <v>1422311470</v>
      </c>
      <c r="U21" s="20">
        <f>U3</f>
        <v>10000000</v>
      </c>
      <c r="V21" s="96">
        <f>T21/U21</f>
        <v>142.231147</v>
      </c>
      <c r="W21" s="20">
        <f>W11</f>
        <v>1422311470</v>
      </c>
      <c r="X21" s="20">
        <f>X3</f>
        <v>10121760</v>
      </c>
      <c r="Y21" s="38">
        <f>W21/X21</f>
        <v>140.520173369058</v>
      </c>
      <c r="Z21" s="20">
        <f>Z11</f>
        <v>1422311470</v>
      </c>
      <c r="AA21" s="20">
        <f>AA3</f>
        <v>9488754</v>
      </c>
      <c r="AB21" s="38">
        <f>Z21/AA21</f>
        <v>149.894440302699</v>
      </c>
      <c r="AC21" s="20">
        <f>AC11</f>
        <v>1422311470</v>
      </c>
      <c r="AD21" s="20">
        <f>AD3</f>
        <v>8679938</v>
      </c>
      <c r="AE21" s="38">
        <f>AC21/AD21</f>
        <v>163.8619388756</v>
      </c>
      <c r="AF21" s="20">
        <f>AF11</f>
        <v>1422311470</v>
      </c>
      <c r="AG21" s="20">
        <f>AG3</f>
        <v>8904242</v>
      </c>
      <c r="AH21" s="38">
        <f>AF21/AG21</f>
        <v>159.734143568874</v>
      </c>
      <c r="AI21" s="20">
        <f>AI11</f>
        <v>1422311470</v>
      </c>
      <c r="AJ21" s="20">
        <f>AJ3</f>
        <v>10825566</v>
      </c>
      <c r="AK21" s="38">
        <f>AI21/AJ21</f>
        <v>131.384490196633</v>
      </c>
      <c r="AL21" s="20">
        <f>AL11</f>
        <v>672008650</v>
      </c>
      <c r="AM21" s="20">
        <f>AM3</f>
        <v>8481060</v>
      </c>
      <c r="AN21" s="49">
        <f>AL21/AM21</f>
        <v>79.2363985162232</v>
      </c>
      <c r="AO21" s="20">
        <f>AO11</f>
        <v>672008650</v>
      </c>
      <c r="AP21" s="20">
        <f>AP3</f>
        <v>8189114</v>
      </c>
      <c r="AQ21" s="38">
        <f>AO21/AP21</f>
        <v>82.0612156577622</v>
      </c>
      <c r="AR21" s="20">
        <f>AR11</f>
        <v>768906829</v>
      </c>
      <c r="AS21" s="20">
        <f>AS3</f>
        <v>6102000</v>
      </c>
      <c r="AT21" s="96">
        <f>AR21/AS21</f>
        <v>126.008985414618</v>
      </c>
      <c r="AU21" s="20">
        <f>AU11</f>
        <v>768906829</v>
      </c>
      <c r="AV21" s="20">
        <f>AV3</f>
        <v>6904728</v>
      </c>
      <c r="AW21" s="38">
        <f>AU21/AV21</f>
        <v>111.359466875451</v>
      </c>
    </row>
    <row r="22" ht="5" hidden="1" customHeight="1" spans="1:49">
      <c r="A22" s="2"/>
      <c r="B22" s="2"/>
      <c r="C22" s="6" t="s">
        <v>163</v>
      </c>
      <c r="D22" s="2"/>
      <c r="E22" s="20"/>
      <c r="F22" s="20"/>
      <c r="G22" s="96"/>
      <c r="H22" s="20"/>
      <c r="I22" s="20"/>
      <c r="J22" s="96"/>
      <c r="K22" s="20"/>
      <c r="L22" s="20"/>
      <c r="M22" s="96"/>
      <c r="N22" s="20"/>
      <c r="O22" s="20"/>
      <c r="P22" s="96"/>
      <c r="Q22" s="20"/>
      <c r="R22" s="20"/>
      <c r="S22" s="96"/>
      <c r="T22" s="20"/>
      <c r="U22" s="20"/>
      <c r="V22" s="96"/>
      <c r="W22" s="20"/>
      <c r="X22" s="20"/>
      <c r="Y22" s="38"/>
      <c r="Z22" s="20"/>
      <c r="AA22" s="20"/>
      <c r="AB22" s="38"/>
      <c r="AC22" s="20"/>
      <c r="AD22" s="20"/>
      <c r="AE22" s="38"/>
      <c r="AF22" s="20"/>
      <c r="AG22" s="20"/>
      <c r="AH22" s="38"/>
      <c r="AI22" s="20"/>
      <c r="AJ22" s="20"/>
      <c r="AK22" s="38"/>
      <c r="AL22" s="20"/>
      <c r="AM22" s="20"/>
      <c r="AN22" s="49"/>
      <c r="AO22" s="20"/>
      <c r="AP22" s="20"/>
      <c r="AQ22" s="38"/>
      <c r="AR22" s="20"/>
      <c r="AS22" s="20"/>
      <c r="AT22" s="96"/>
      <c r="AU22" s="20"/>
      <c r="AV22" s="20"/>
      <c r="AW22" s="38"/>
    </row>
    <row r="23" hidden="1" spans="1:49">
      <c r="A23" s="2"/>
      <c r="B23" s="2"/>
      <c r="C23" s="6"/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55" t="s">
        <v>556</v>
      </c>
      <c r="AM23" s="20"/>
      <c r="AN23" s="38"/>
      <c r="AO23" s="20"/>
      <c r="AP23" s="20"/>
      <c r="AQ23" s="38"/>
      <c r="AR23" s="20"/>
      <c r="AS23" s="20"/>
      <c r="AT23" s="38"/>
      <c r="AU23" s="256" t="s">
        <v>557</v>
      </c>
      <c r="AV23" s="20"/>
      <c r="AW23" s="38"/>
    </row>
    <row r="24" spans="1:49">
      <c r="A24" s="2">
        <v>9</v>
      </c>
      <c r="B24" s="2" t="s">
        <v>182</v>
      </c>
      <c r="C24" s="37" t="s">
        <v>183</v>
      </c>
      <c r="D24" s="50" t="s">
        <v>559</v>
      </c>
      <c r="E24" s="20">
        <f>E6</f>
        <v>623</v>
      </c>
      <c r="F24" s="42">
        <f>G21</f>
        <v>180.849443247796</v>
      </c>
      <c r="G24" s="96">
        <f>E24/F24</f>
        <v>3.44485439828741</v>
      </c>
      <c r="H24" s="20">
        <f>H6</f>
        <v>640</v>
      </c>
      <c r="I24" s="42">
        <f>J21</f>
        <v>184.721880022568</v>
      </c>
      <c r="J24" s="96">
        <f>H24/I24</f>
        <v>3.46466807246554</v>
      </c>
      <c r="K24" s="20">
        <f>K6</f>
        <v>632</v>
      </c>
      <c r="L24" s="42">
        <f>M21</f>
        <v>197.141399905635</v>
      </c>
      <c r="M24" s="38">
        <f>K24/L24</f>
        <v>3.20582079818098</v>
      </c>
      <c r="N24" s="20">
        <f>N6</f>
        <v>741</v>
      </c>
      <c r="O24" s="42">
        <f>P21</f>
        <v>137.374513181768</v>
      </c>
      <c r="P24" s="38">
        <f>N24/O24</f>
        <v>5.39401365535354</v>
      </c>
      <c r="Q24" s="20">
        <f>Q6</f>
        <v>504</v>
      </c>
      <c r="R24" s="42">
        <f>S21</f>
        <v>110.093900481541</v>
      </c>
      <c r="S24" s="38">
        <f>Q24/R24</f>
        <v>4.57791029108378</v>
      </c>
      <c r="T24" s="20">
        <f>T6</f>
        <v>543</v>
      </c>
      <c r="U24" s="42">
        <f>V21</f>
        <v>142.231147</v>
      </c>
      <c r="V24" s="96">
        <f>T24/U24</f>
        <v>3.81772917854624</v>
      </c>
      <c r="W24" s="20">
        <f>W6</f>
        <v>504</v>
      </c>
      <c r="X24" s="42">
        <f>Y21</f>
        <v>140.520173369058</v>
      </c>
      <c r="Y24" s="38">
        <f>W24/X24</f>
        <v>3.58667362782359</v>
      </c>
      <c r="Z24" s="20">
        <f>Z6</f>
        <v>549.96</v>
      </c>
      <c r="AA24" s="42">
        <f>AB21</f>
        <v>149.894440302699</v>
      </c>
      <c r="AB24" s="38">
        <f>Z24/AA24</f>
        <v>3.66898197751298</v>
      </c>
      <c r="AC24" s="20">
        <f>AC6</f>
        <v>583</v>
      </c>
      <c r="AD24" s="42">
        <f>AE21</f>
        <v>163.8619388756</v>
      </c>
      <c r="AE24" s="38">
        <f>AC24/AD24</f>
        <v>3.557873194962</v>
      </c>
      <c r="AF24" s="20">
        <f>AF6</f>
        <v>512</v>
      </c>
      <c r="AG24" s="42">
        <f>AH21</f>
        <v>159.734143568874</v>
      </c>
      <c r="AH24" s="38">
        <f>AF24/AG24</f>
        <v>3.20532597828238</v>
      </c>
      <c r="AI24" s="20">
        <f>AI6</f>
        <v>431</v>
      </c>
      <c r="AJ24" s="42">
        <f>AK21</f>
        <v>131.384490196633</v>
      </c>
      <c r="AK24" s="38">
        <f>AI24/AJ24</f>
        <v>3.28044809060001</v>
      </c>
      <c r="AL24" s="20">
        <f>AL6</f>
        <v>521.87</v>
      </c>
      <c r="AM24" s="42">
        <f>AN21</f>
        <v>79.2363985162232</v>
      </c>
      <c r="AN24" s="38">
        <f>AL24/AM24</f>
        <v>6.58624079050173</v>
      </c>
      <c r="AO24" s="20">
        <f>AO6</f>
        <v>539.47</v>
      </c>
      <c r="AP24" s="42">
        <f>AQ21</f>
        <v>82.0612156577622</v>
      </c>
      <c r="AQ24" s="38">
        <f>AO24/AP24</f>
        <v>6.57399473887725</v>
      </c>
      <c r="AR24" s="20">
        <f>AR6</f>
        <v>642</v>
      </c>
      <c r="AS24" s="42">
        <f>AT21</f>
        <v>126.008985414618</v>
      </c>
      <c r="AT24" s="38">
        <f>AR24/AS24</f>
        <v>5.09487476537941</v>
      </c>
      <c r="AU24" s="20">
        <f>AU6</f>
        <v>503</v>
      </c>
      <c r="AV24" s="42">
        <f>AW21</f>
        <v>111.359466875451</v>
      </c>
      <c r="AW24" s="38">
        <f>AU24/AV24</f>
        <v>4.51690380812055</v>
      </c>
    </row>
    <row r="25" ht="4" customHeight="1" spans="1:49">
      <c r="A25" s="2"/>
      <c r="B25" s="2"/>
      <c r="C25" s="2" t="s">
        <v>185</v>
      </c>
      <c r="D25" s="2"/>
      <c r="E25" s="20"/>
      <c r="F25" s="42"/>
      <c r="G25" s="96"/>
      <c r="H25" s="20"/>
      <c r="I25" s="42"/>
      <c r="J25" s="96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96"/>
      <c r="W25" s="20"/>
      <c r="X25" s="42"/>
      <c r="Y25" s="38"/>
      <c r="Z25" s="20"/>
      <c r="AA25" s="42"/>
      <c r="AB25" s="38"/>
      <c r="AC25" s="20"/>
      <c r="AD25" s="42"/>
      <c r="AE25" s="38"/>
      <c r="AF25" s="20"/>
      <c r="AG25" s="42"/>
      <c r="AH25" s="38"/>
      <c r="AI25" s="20"/>
      <c r="AJ25" s="42"/>
      <c r="AK25" s="38"/>
      <c r="AL25" s="20"/>
      <c r="AM25" s="42"/>
      <c r="AN25" s="38"/>
      <c r="AO25" s="20"/>
      <c r="AP25" s="42"/>
      <c r="AQ25" s="38"/>
      <c r="AR25" s="20"/>
      <c r="AS25" s="42"/>
      <c r="AT25" s="38"/>
      <c r="AU25" s="20"/>
      <c r="AV25" s="42"/>
      <c r="AW25" s="38"/>
    </row>
    <row r="26" hidden="1" spans="1:49">
      <c r="A26" s="2"/>
      <c r="B26" s="2"/>
      <c r="C26" s="2"/>
      <c r="D26" s="2"/>
      <c r="E26" s="20"/>
      <c r="F26" s="2"/>
      <c r="G26" s="85"/>
      <c r="H26" s="20"/>
      <c r="I26" s="2"/>
      <c r="J26" s="85"/>
      <c r="K26" s="20"/>
      <c r="L26" s="2"/>
      <c r="M26" s="85"/>
      <c r="N26" s="20"/>
      <c r="O26" s="2"/>
      <c r="P26" s="85"/>
      <c r="Q26" s="20"/>
      <c r="R26" s="2"/>
      <c r="S26" s="85"/>
      <c r="T26" s="20"/>
      <c r="U26" s="2"/>
      <c r="V26" s="85"/>
      <c r="W26" s="20"/>
      <c r="X26" s="2"/>
      <c r="Y26" s="85"/>
      <c r="Z26" s="20"/>
      <c r="AA26" s="2"/>
      <c r="AB26" s="85"/>
      <c r="AC26" s="20"/>
      <c r="AD26" s="2"/>
      <c r="AE26" s="85"/>
      <c r="AF26" s="20"/>
      <c r="AG26" s="2"/>
      <c r="AH26" s="85"/>
      <c r="AI26" s="20"/>
      <c r="AJ26" s="2"/>
      <c r="AK26" s="85"/>
      <c r="AL26" s="20"/>
      <c r="AM26" s="2"/>
      <c r="AN26" s="85"/>
      <c r="AO26" s="20"/>
      <c r="AP26" s="2"/>
      <c r="AQ26" s="85"/>
      <c r="AR26" s="20"/>
      <c r="AS26" s="2"/>
      <c r="AT26" s="85"/>
      <c r="AU26" s="20"/>
      <c r="AV26" s="2"/>
      <c r="AW26" s="85"/>
    </row>
    <row r="27" spans="1:49">
      <c r="A27" s="2">
        <v>10</v>
      </c>
      <c r="B27" s="2" t="s">
        <v>186</v>
      </c>
      <c r="C27" s="37" t="s">
        <v>187</v>
      </c>
      <c r="D27" s="41" t="s">
        <v>237</v>
      </c>
      <c r="E27" s="42">
        <v>6.35</v>
      </c>
      <c r="F27" s="20">
        <f>E6</f>
        <v>623</v>
      </c>
      <c r="G27" s="96">
        <f>(E27/F27)*100</f>
        <v>1.01926163723917</v>
      </c>
      <c r="H27" s="42">
        <v>5.26</v>
      </c>
      <c r="I27" s="20">
        <f>H6</f>
        <v>640</v>
      </c>
      <c r="J27" s="96">
        <f>(H27/I27)*100</f>
        <v>0.821875</v>
      </c>
      <c r="K27" s="42">
        <v>5.26</v>
      </c>
      <c r="L27" s="20">
        <f>K6</f>
        <v>632</v>
      </c>
      <c r="M27" s="38">
        <f>(K27/L27)*100</f>
        <v>0.832278481012658</v>
      </c>
      <c r="N27" s="42">
        <v>0</v>
      </c>
      <c r="O27" s="20">
        <f>N6</f>
        <v>741</v>
      </c>
      <c r="P27" s="38">
        <f>(N27/O27)*100</f>
        <v>0</v>
      </c>
      <c r="Q27" s="42">
        <v>0</v>
      </c>
      <c r="R27" s="20">
        <f>Q6</f>
        <v>504</v>
      </c>
      <c r="S27" s="38">
        <f>(Q27/R27)*100</f>
        <v>0</v>
      </c>
      <c r="T27" s="42">
        <v>1.96</v>
      </c>
      <c r="U27" s="20">
        <f>T6</f>
        <v>543</v>
      </c>
      <c r="V27" s="38">
        <f>(T27/U27)*100</f>
        <v>0.360957642725598</v>
      </c>
      <c r="W27" s="42">
        <v>1.96</v>
      </c>
      <c r="X27" s="20">
        <f>W6</f>
        <v>504</v>
      </c>
      <c r="Y27" s="38">
        <f>(W27/X27)*100</f>
        <v>0.388888888888889</v>
      </c>
      <c r="Z27" s="42">
        <v>1.96</v>
      </c>
      <c r="AA27" s="20">
        <f>Z6</f>
        <v>549.96</v>
      </c>
      <c r="AB27" s="38">
        <f>(Z27/AA27)*100</f>
        <v>0.356389555604044</v>
      </c>
      <c r="AC27" s="42">
        <v>1.96</v>
      </c>
      <c r="AD27" s="20">
        <f>AC6</f>
        <v>583</v>
      </c>
      <c r="AE27" s="38">
        <f>(AC27/AD27)*100</f>
        <v>0.336192109777015</v>
      </c>
      <c r="AF27" s="42">
        <v>1.96</v>
      </c>
      <c r="AG27" s="20">
        <f>AF6</f>
        <v>512</v>
      </c>
      <c r="AH27" s="38">
        <f>(AF27/AG27)*100</f>
        <v>0.3828125</v>
      </c>
      <c r="AI27" s="42">
        <v>1.96</v>
      </c>
      <c r="AJ27" s="20">
        <f>AI6</f>
        <v>431</v>
      </c>
      <c r="AK27" s="38">
        <f>(AI27/AJ27)*100</f>
        <v>0.454756380510441</v>
      </c>
      <c r="AL27" s="42">
        <v>0</v>
      </c>
      <c r="AM27" s="20">
        <f>AL6</f>
        <v>521.87</v>
      </c>
      <c r="AN27" s="38">
        <f>(AL27/AM27)*100</f>
        <v>0</v>
      </c>
      <c r="AO27" s="42">
        <v>0</v>
      </c>
      <c r="AP27" s="20">
        <f>AO6</f>
        <v>539.47</v>
      </c>
      <c r="AQ27" s="38">
        <f>(AO27/AP27)*100</f>
        <v>0</v>
      </c>
      <c r="AR27" s="42">
        <v>0</v>
      </c>
      <c r="AS27" s="20">
        <f>AR6</f>
        <v>642</v>
      </c>
      <c r="AT27" s="38">
        <f>(AR27/AS27)*100</f>
        <v>0</v>
      </c>
      <c r="AU27" s="42">
        <v>0</v>
      </c>
      <c r="AV27" s="20">
        <f>AU6</f>
        <v>503</v>
      </c>
      <c r="AW27" s="38">
        <f>(AU27/AV27)*100</f>
        <v>0</v>
      </c>
    </row>
    <row r="28" hidden="1" spans="1:49">
      <c r="A28" s="2"/>
      <c r="B28" s="2"/>
      <c r="C28" s="2" t="s">
        <v>189</v>
      </c>
      <c r="D28" s="41"/>
      <c r="E28" s="42"/>
      <c r="F28" s="20"/>
      <c r="G28" s="96"/>
      <c r="H28" s="42"/>
      <c r="I28" s="20"/>
      <c r="J28" s="96"/>
      <c r="K28" s="42"/>
      <c r="L28" s="20"/>
      <c r="M28" s="38"/>
      <c r="N28" s="42"/>
      <c r="O28" s="20"/>
      <c r="P28" s="38"/>
      <c r="Q28" s="42"/>
      <c r="R28" s="20"/>
      <c r="S28" s="38"/>
      <c r="T28" s="42"/>
      <c r="U28" s="20"/>
      <c r="V28" s="38"/>
      <c r="W28" s="42"/>
      <c r="X28" s="20"/>
      <c r="Y28" s="38"/>
      <c r="Z28" s="42"/>
      <c r="AA28" s="20"/>
      <c r="AB28" s="38"/>
      <c r="AC28" s="42"/>
      <c r="AD28" s="20"/>
      <c r="AE28" s="38"/>
      <c r="AF28" s="42"/>
      <c r="AG28" s="20"/>
      <c r="AH28" s="38"/>
      <c r="AI28" s="42"/>
      <c r="AJ28" s="20"/>
      <c r="AK28" s="38"/>
      <c r="AL28" s="42"/>
      <c r="AM28" s="20"/>
      <c r="AN28" s="38"/>
      <c r="AO28" s="42"/>
      <c r="AP28" s="20"/>
      <c r="AQ28" s="38"/>
      <c r="AR28" s="42"/>
      <c r="AS28" s="20"/>
      <c r="AT28" s="38"/>
      <c r="AU28" s="42"/>
      <c r="AV28" s="20"/>
      <c r="AW28" s="38"/>
    </row>
    <row r="29" hidden="1" spans="1:49">
      <c r="A29" s="2"/>
      <c r="B29" s="2"/>
      <c r="C29" s="2"/>
      <c r="D29" s="41"/>
      <c r="E29" s="86"/>
      <c r="F29" s="20"/>
      <c r="G29" s="38"/>
      <c r="H29" s="86"/>
      <c r="I29" s="20"/>
      <c r="J29" s="38"/>
      <c r="K29" s="86"/>
      <c r="L29" s="20"/>
      <c r="M29" s="38"/>
      <c r="N29" s="86"/>
      <c r="O29" s="20"/>
      <c r="P29" s="38"/>
      <c r="Q29" s="86"/>
      <c r="R29" s="20"/>
      <c r="S29" s="38"/>
      <c r="T29" s="86"/>
      <c r="U29" s="20"/>
      <c r="V29" s="38"/>
      <c r="W29" s="86"/>
      <c r="X29" s="20"/>
      <c r="Y29" s="38"/>
      <c r="Z29" s="86"/>
      <c r="AA29" s="20"/>
      <c r="AB29" s="38"/>
      <c r="AC29" s="86"/>
      <c r="AD29" s="20"/>
      <c r="AE29" s="38"/>
      <c r="AF29" s="86"/>
      <c r="AG29" s="20"/>
      <c r="AH29" s="38"/>
      <c r="AI29" s="86"/>
      <c r="AJ29" s="20"/>
      <c r="AK29" s="38"/>
      <c r="AL29" s="86"/>
      <c r="AM29" s="20"/>
      <c r="AN29" s="38"/>
      <c r="AO29" s="86"/>
      <c r="AP29" s="20"/>
      <c r="AQ29" s="38"/>
      <c r="AR29" s="86"/>
      <c r="AS29" s="20"/>
      <c r="AT29" s="38"/>
      <c r="AU29" s="86"/>
      <c r="AV29" s="20"/>
      <c r="AW29" s="38"/>
    </row>
    <row r="30" ht="15.5" hidden="1" customHeight="1" spans="1:49">
      <c r="A30" s="2">
        <v>11</v>
      </c>
      <c r="B30" s="2" t="s">
        <v>192</v>
      </c>
      <c r="C30" s="41" t="s">
        <v>193</v>
      </c>
      <c r="D30" s="2" t="s">
        <v>194</v>
      </c>
      <c r="E30" s="2">
        <v>13.98</v>
      </c>
      <c r="F30" s="42">
        <v>14.32</v>
      </c>
      <c r="G30" s="232">
        <f>E30</f>
        <v>13.98</v>
      </c>
      <c r="H30" s="2">
        <v>14.1</v>
      </c>
      <c r="I30" s="42">
        <v>12.84</v>
      </c>
      <c r="J30" s="232">
        <f>H30</f>
        <v>14.1</v>
      </c>
      <c r="K30" s="2">
        <v>14.1</v>
      </c>
      <c r="L30" s="42">
        <v>12.84</v>
      </c>
      <c r="M30" s="232">
        <f>K30</f>
        <v>14.1</v>
      </c>
      <c r="N30" s="2">
        <v>25.8</v>
      </c>
      <c r="O30" s="42">
        <v>29.41</v>
      </c>
      <c r="P30" s="232">
        <f>N30</f>
        <v>25.8</v>
      </c>
      <c r="Q30" s="2">
        <v>15.24</v>
      </c>
      <c r="R30" s="42">
        <v>13.4</v>
      </c>
      <c r="S30" s="232">
        <f>Q30</f>
        <v>15.24</v>
      </c>
      <c r="T30" s="2">
        <v>18.07</v>
      </c>
      <c r="U30" s="42">
        <v>19.53</v>
      </c>
      <c r="V30" s="232">
        <f>T30</f>
        <v>18.07</v>
      </c>
      <c r="W30" s="2">
        <v>18.07</v>
      </c>
      <c r="X30" s="42">
        <v>19.53</v>
      </c>
      <c r="Y30" s="232">
        <f>W30</f>
        <v>18.07</v>
      </c>
      <c r="Z30" s="2">
        <v>18.07</v>
      </c>
      <c r="AA30" s="42">
        <v>19.53</v>
      </c>
      <c r="AB30" s="232">
        <f>Z30</f>
        <v>18.07</v>
      </c>
      <c r="AC30" s="2">
        <v>18.07</v>
      </c>
      <c r="AD30" s="42">
        <v>19.53</v>
      </c>
      <c r="AE30" s="232">
        <f>AC30</f>
        <v>18.07</v>
      </c>
      <c r="AF30" s="2">
        <v>18.07</v>
      </c>
      <c r="AG30" s="42">
        <v>19.53</v>
      </c>
      <c r="AH30" s="232">
        <f>AF30</f>
        <v>18.07</v>
      </c>
      <c r="AI30" s="2">
        <v>18.07</v>
      </c>
      <c r="AJ30" s="42">
        <v>19.53</v>
      </c>
      <c r="AK30" s="232">
        <f>AI30</f>
        <v>18.07</v>
      </c>
      <c r="AL30" s="2">
        <v>12.92</v>
      </c>
      <c r="AM30" s="42">
        <v>10.48</v>
      </c>
      <c r="AN30" s="232">
        <f>AL30</f>
        <v>12.92</v>
      </c>
      <c r="AO30" s="2">
        <v>12.92</v>
      </c>
      <c r="AP30" s="42">
        <v>10.48</v>
      </c>
      <c r="AQ30" s="232">
        <f>AO30</f>
        <v>12.92</v>
      </c>
      <c r="AR30" s="2">
        <v>15.91</v>
      </c>
      <c r="AS30" s="42">
        <v>24.51</v>
      </c>
      <c r="AT30" s="232">
        <f>AR30</f>
        <v>15.91</v>
      </c>
      <c r="AU30" s="2">
        <v>15.91</v>
      </c>
      <c r="AV30" s="42">
        <v>24.51</v>
      </c>
      <c r="AW30" s="232">
        <f>AU30</f>
        <v>15.91</v>
      </c>
    </row>
    <row r="31" hidden="1" spans="1:49">
      <c r="A31" s="2"/>
      <c r="B31" s="2"/>
      <c r="D31" s="41"/>
      <c r="E31" s="42"/>
      <c r="F31" s="20"/>
      <c r="G31" s="38"/>
      <c r="H31" s="42"/>
      <c r="I31" s="20"/>
      <c r="J31" s="38"/>
      <c r="K31" s="42"/>
      <c r="L31" s="20"/>
      <c r="M31" s="38"/>
      <c r="N31" s="42"/>
      <c r="O31" s="20"/>
      <c r="P31" s="38"/>
      <c r="Q31" s="42"/>
      <c r="R31" s="20"/>
      <c r="S31" s="38"/>
      <c r="T31" s="42"/>
      <c r="U31" s="20"/>
      <c r="V31" s="38"/>
      <c r="W31" s="42"/>
      <c r="X31" s="20"/>
      <c r="Y31" s="38"/>
      <c r="Z31" s="42"/>
      <c r="AA31" s="20"/>
      <c r="AB31" s="38"/>
      <c r="AC31" s="42"/>
      <c r="AD31" s="20"/>
      <c r="AE31" s="38"/>
      <c r="AF31" s="42"/>
      <c r="AG31" s="20"/>
      <c r="AH31" s="38"/>
      <c r="AI31" s="42"/>
      <c r="AJ31" s="20"/>
      <c r="AK31" s="38"/>
      <c r="AL31" s="42"/>
      <c r="AM31" s="20"/>
      <c r="AN31" s="38"/>
      <c r="AO31" s="42"/>
      <c r="AP31" s="20"/>
      <c r="AQ31" s="38"/>
      <c r="AR31" s="42"/>
      <c r="AS31" s="20"/>
      <c r="AT31" s="38"/>
      <c r="AU31" s="42"/>
      <c r="AV31" s="20"/>
      <c r="AW31" s="38"/>
    </row>
    <row r="32" ht="18" customHeight="1" spans="1:49">
      <c r="A32" s="2">
        <v>12</v>
      </c>
      <c r="B32" s="23" t="s">
        <v>196</v>
      </c>
      <c r="C32" s="2" t="s">
        <v>197</v>
      </c>
      <c r="D32" s="2" t="s">
        <v>198</v>
      </c>
      <c r="E32" s="42">
        <v>3.11</v>
      </c>
      <c r="F32" s="42">
        <v>3.22</v>
      </c>
      <c r="G32" s="96">
        <f>E32</f>
        <v>3.11</v>
      </c>
      <c r="H32" s="42">
        <v>1.83</v>
      </c>
      <c r="I32" s="42">
        <v>3.68</v>
      </c>
      <c r="J32" s="96">
        <f>H32</f>
        <v>1.83</v>
      </c>
      <c r="K32" s="42">
        <v>1.83</v>
      </c>
      <c r="L32" s="42">
        <v>3.68</v>
      </c>
      <c r="M32" s="38">
        <f>K32</f>
        <v>1.83</v>
      </c>
      <c r="N32" s="42">
        <v>9.74</v>
      </c>
      <c r="O32" s="42">
        <v>13.42</v>
      </c>
      <c r="P32" s="38">
        <f>N32</f>
        <v>9.74</v>
      </c>
      <c r="Q32" s="42">
        <v>9</v>
      </c>
      <c r="R32" s="42">
        <v>6.47</v>
      </c>
      <c r="S32" s="38">
        <f>Q32</f>
        <v>9</v>
      </c>
      <c r="T32" s="42">
        <v>2.57</v>
      </c>
      <c r="U32" s="42">
        <v>2.86</v>
      </c>
      <c r="V32" s="96">
        <f>T32</f>
        <v>2.57</v>
      </c>
      <c r="W32" s="42">
        <v>2.57</v>
      </c>
      <c r="X32" s="42">
        <v>2.86</v>
      </c>
      <c r="Y32" s="38">
        <f>W32</f>
        <v>2.57</v>
      </c>
      <c r="Z32" s="42">
        <v>2.57</v>
      </c>
      <c r="AA32" s="42">
        <v>2.86</v>
      </c>
      <c r="AB32" s="38">
        <f>Z32</f>
        <v>2.57</v>
      </c>
      <c r="AC32" s="42">
        <v>2.57</v>
      </c>
      <c r="AD32" s="42">
        <v>2.86</v>
      </c>
      <c r="AE32" s="38">
        <f>AC32</f>
        <v>2.57</v>
      </c>
      <c r="AF32" s="42">
        <v>2.57</v>
      </c>
      <c r="AG32" s="42">
        <v>2.86</v>
      </c>
      <c r="AH32" s="38">
        <f>AF32</f>
        <v>2.57</v>
      </c>
      <c r="AI32" s="42">
        <v>2.57</v>
      </c>
      <c r="AJ32" s="42">
        <v>2.86</v>
      </c>
      <c r="AK32" s="38">
        <f>AI32</f>
        <v>2.57</v>
      </c>
      <c r="AL32" s="42">
        <v>4.44</v>
      </c>
      <c r="AM32" s="42">
        <v>8.92</v>
      </c>
      <c r="AN32" s="38">
        <f>AL32</f>
        <v>4.44</v>
      </c>
      <c r="AO32" s="42">
        <v>4.44</v>
      </c>
      <c r="AP32" s="42">
        <v>8.92</v>
      </c>
      <c r="AQ32" s="38">
        <f>AO32</f>
        <v>4.44</v>
      </c>
      <c r="AR32" s="42">
        <v>5.47</v>
      </c>
      <c r="AS32" s="42">
        <v>4.34</v>
      </c>
      <c r="AT32" s="38">
        <f>AR32</f>
        <v>5.47</v>
      </c>
      <c r="AU32" s="42">
        <v>5.47</v>
      </c>
      <c r="AV32" s="42">
        <v>4.34</v>
      </c>
      <c r="AW32" s="38">
        <f>AU32</f>
        <v>5.47</v>
      </c>
    </row>
    <row r="33" hidden="1" spans="1:49">
      <c r="A33" s="2"/>
      <c r="B33" s="23"/>
      <c r="C33" s="2"/>
      <c r="D33" s="2"/>
      <c r="E33" s="82"/>
      <c r="F33" s="82"/>
      <c r="G33" s="38"/>
      <c r="H33" s="82"/>
      <c r="I33" s="82"/>
      <c r="J33" s="38"/>
      <c r="K33" s="82"/>
      <c r="L33" s="82"/>
      <c r="M33" s="38"/>
      <c r="N33" s="82"/>
      <c r="O33" s="82"/>
      <c r="P33" s="38"/>
      <c r="Q33" s="82"/>
      <c r="R33" s="82"/>
      <c r="S33" s="38"/>
      <c r="T33" s="82"/>
      <c r="U33" s="82"/>
      <c r="V33" s="38"/>
      <c r="W33" s="82"/>
      <c r="X33" s="82"/>
      <c r="Y33" s="38"/>
      <c r="Z33" s="82"/>
      <c r="AA33" s="82"/>
      <c r="AB33" s="38"/>
      <c r="AC33" s="82"/>
      <c r="AD33" s="82"/>
      <c r="AE33" s="38"/>
      <c r="AF33" s="82"/>
      <c r="AG33" s="82"/>
      <c r="AH33" s="38"/>
      <c r="AI33" s="82"/>
      <c r="AJ33" s="82"/>
      <c r="AK33" s="38"/>
      <c r="AL33" s="82"/>
      <c r="AM33" s="82"/>
      <c r="AN33" s="38"/>
      <c r="AO33" s="82"/>
      <c r="AP33" s="82"/>
      <c r="AQ33" s="38"/>
      <c r="AR33" s="82"/>
      <c r="AS33" s="82"/>
      <c r="AT33" s="38"/>
      <c r="AU33" s="82"/>
      <c r="AV33" s="82"/>
      <c r="AW33" s="38"/>
    </row>
    <row r="34" ht="16.5" customHeight="1" spans="1:49">
      <c r="A34" s="2">
        <v>13</v>
      </c>
      <c r="B34" s="23" t="s">
        <v>199</v>
      </c>
      <c r="C34" s="41" t="s">
        <v>200</v>
      </c>
      <c r="D34" s="2" t="s">
        <v>560</v>
      </c>
      <c r="E34" s="42">
        <v>79.29</v>
      </c>
      <c r="F34" s="42">
        <v>85.08</v>
      </c>
      <c r="G34" s="38">
        <f>E34</f>
        <v>79.29</v>
      </c>
      <c r="H34" s="42">
        <v>85.17</v>
      </c>
      <c r="I34" s="42">
        <v>78.63</v>
      </c>
      <c r="J34" s="96">
        <f>H34</f>
        <v>85.17</v>
      </c>
      <c r="K34" s="42">
        <v>85.17</v>
      </c>
      <c r="L34" s="42">
        <v>78.63</v>
      </c>
      <c r="M34" s="38">
        <f>K34</f>
        <v>85.17</v>
      </c>
      <c r="N34" s="42">
        <v>68.84</v>
      </c>
      <c r="O34" s="42">
        <v>84.04</v>
      </c>
      <c r="P34" s="38">
        <f>N34</f>
        <v>68.84</v>
      </c>
      <c r="Q34" s="42">
        <v>82.12</v>
      </c>
      <c r="R34" s="42">
        <v>76.33</v>
      </c>
      <c r="S34" s="96">
        <f>Q34</f>
        <v>82.12</v>
      </c>
      <c r="T34" s="42">
        <v>78.31</v>
      </c>
      <c r="U34" s="42">
        <v>74.64</v>
      </c>
      <c r="V34" s="38">
        <f>T34</f>
        <v>78.31</v>
      </c>
      <c r="W34" s="42">
        <v>78.31</v>
      </c>
      <c r="X34" s="42">
        <v>74.64</v>
      </c>
      <c r="Y34" s="38">
        <f>W34</f>
        <v>78.31</v>
      </c>
      <c r="Z34" s="42">
        <v>78.31</v>
      </c>
      <c r="AA34" s="42">
        <v>74.64</v>
      </c>
      <c r="AB34" s="38">
        <f>Z34</f>
        <v>78.31</v>
      </c>
      <c r="AC34" s="42">
        <v>78.31</v>
      </c>
      <c r="AD34" s="42">
        <v>74.64</v>
      </c>
      <c r="AE34" s="38">
        <f>AC34</f>
        <v>78.31</v>
      </c>
      <c r="AF34" s="42">
        <v>78.31</v>
      </c>
      <c r="AG34" s="42">
        <v>74.64</v>
      </c>
      <c r="AH34" s="38">
        <f>AF34</f>
        <v>78.31</v>
      </c>
      <c r="AI34" s="42">
        <v>78.31</v>
      </c>
      <c r="AJ34" s="42">
        <v>74.64</v>
      </c>
      <c r="AK34" s="38">
        <f>AI34</f>
        <v>78.31</v>
      </c>
      <c r="AL34" s="42">
        <v>72.73</v>
      </c>
      <c r="AM34" s="42">
        <v>74.77</v>
      </c>
      <c r="AN34" s="38">
        <f>AL34</f>
        <v>72.73</v>
      </c>
      <c r="AO34" s="42">
        <v>72.73</v>
      </c>
      <c r="AP34" s="42">
        <v>74.77</v>
      </c>
      <c r="AQ34" s="38">
        <f>AO34</f>
        <v>72.73</v>
      </c>
      <c r="AR34" s="42">
        <v>59.51</v>
      </c>
      <c r="AS34" s="42">
        <v>77.21</v>
      </c>
      <c r="AT34" s="38">
        <f>AR34</f>
        <v>59.51</v>
      </c>
      <c r="AU34" s="42">
        <v>59.51</v>
      </c>
      <c r="AV34" s="42">
        <v>77.21</v>
      </c>
      <c r="AW34" s="38">
        <f>AU34</f>
        <v>59.51</v>
      </c>
    </row>
    <row r="35" hidden="1" spans="1:49">
      <c r="A35" s="2"/>
      <c r="B35" s="2"/>
      <c r="C35" s="2"/>
      <c r="D35" s="41"/>
      <c r="E35" s="42"/>
      <c r="F35" s="20"/>
      <c r="G35" s="38"/>
      <c r="H35" s="42"/>
      <c r="I35" s="20"/>
      <c r="J35" s="38"/>
      <c r="K35" s="42"/>
      <c r="L35" s="20"/>
      <c r="M35" s="38"/>
      <c r="N35" s="42"/>
      <c r="O35" s="20"/>
      <c r="P35" s="38"/>
      <c r="Q35" s="42"/>
      <c r="R35" s="20"/>
      <c r="S35" s="38"/>
      <c r="T35" s="42"/>
      <c r="U35" s="20"/>
      <c r="V35" s="38"/>
      <c r="W35" s="42"/>
      <c r="X35" s="20"/>
      <c r="Y35" s="38"/>
      <c r="Z35" s="42"/>
      <c r="AA35" s="20"/>
      <c r="AB35" s="38"/>
      <c r="AC35" s="42"/>
      <c r="AD35" s="20"/>
      <c r="AE35" s="38"/>
      <c r="AF35" s="42"/>
      <c r="AG35" s="20"/>
      <c r="AH35" s="38"/>
      <c r="AI35" s="42"/>
      <c r="AJ35" s="20"/>
      <c r="AK35" s="38"/>
      <c r="AL35" s="42"/>
      <c r="AM35" s="20"/>
      <c r="AN35" s="38"/>
      <c r="AO35" s="42"/>
      <c r="AP35" s="20"/>
      <c r="AQ35" s="38"/>
      <c r="AR35" s="42"/>
      <c r="AS35" s="20"/>
      <c r="AT35" s="38"/>
      <c r="AU35" s="42"/>
      <c r="AV35" s="20"/>
      <c r="AW35" s="38"/>
    </row>
    <row r="36" hidden="1" spans="1:49">
      <c r="A36" s="2">
        <v>14</v>
      </c>
      <c r="B36" s="2" t="s">
        <v>297</v>
      </c>
      <c r="C36" s="37" t="s">
        <v>298</v>
      </c>
      <c r="D36" s="2" t="s">
        <v>299</v>
      </c>
      <c r="E36" s="239"/>
      <c r="F36" s="239"/>
      <c r="G36" s="44">
        <v>0.2902</v>
      </c>
      <c r="H36" s="239"/>
      <c r="I36" s="239"/>
      <c r="J36" s="44">
        <v>0.2664</v>
      </c>
      <c r="K36" s="239"/>
      <c r="L36" s="239"/>
      <c r="M36" s="44">
        <v>0.2664</v>
      </c>
      <c r="N36" s="239"/>
      <c r="O36" s="239"/>
      <c r="P36" s="44">
        <v>0.5092</v>
      </c>
      <c r="Q36" s="239"/>
      <c r="R36" s="239"/>
      <c r="S36" s="44">
        <v>0.2409</v>
      </c>
      <c r="T36" s="239"/>
      <c r="U36" s="239"/>
      <c r="V36" s="44">
        <v>0.355</v>
      </c>
      <c r="W36" s="239"/>
      <c r="X36" s="239"/>
      <c r="Y36" s="44">
        <v>0.355</v>
      </c>
      <c r="Z36" s="239"/>
      <c r="AA36" s="239"/>
      <c r="AB36" s="44">
        <v>0.355</v>
      </c>
      <c r="AC36" s="239"/>
      <c r="AD36" s="239"/>
      <c r="AE36" s="44">
        <v>0.355</v>
      </c>
      <c r="AF36" s="239"/>
      <c r="AG36" s="239"/>
      <c r="AH36" s="44">
        <v>0.355</v>
      </c>
      <c r="AI36" s="239"/>
      <c r="AJ36" s="239"/>
      <c r="AK36" s="44">
        <v>0.355</v>
      </c>
      <c r="AL36" s="239"/>
      <c r="AM36" s="239"/>
      <c r="AN36" s="44">
        <v>0.2985</v>
      </c>
      <c r="AO36" s="239"/>
      <c r="AP36" s="239"/>
      <c r="AQ36" s="44">
        <v>0.2985</v>
      </c>
      <c r="AR36" s="239"/>
      <c r="AS36" s="239"/>
      <c r="AT36" s="44">
        <v>0.4476</v>
      </c>
      <c r="AU36" s="239"/>
      <c r="AV36" s="239"/>
      <c r="AW36" s="44">
        <v>0.4476</v>
      </c>
    </row>
    <row r="37" ht="5.5" hidden="1" customHeight="1" spans="1:49">
      <c r="A37" s="2"/>
      <c r="B37" s="2"/>
      <c r="C37" s="6" t="s">
        <v>300</v>
      </c>
      <c r="D37" s="2"/>
      <c r="E37" s="239"/>
      <c r="F37" s="240"/>
      <c r="G37" s="44"/>
      <c r="H37" s="239"/>
      <c r="I37" s="240"/>
      <c r="J37" s="44"/>
      <c r="K37" s="239"/>
      <c r="L37" s="240"/>
      <c r="M37" s="44"/>
      <c r="N37" s="239"/>
      <c r="O37" s="240"/>
      <c r="P37" s="44"/>
      <c r="Q37" s="239"/>
      <c r="R37" s="240"/>
      <c r="S37" s="44"/>
      <c r="T37" s="239"/>
      <c r="U37" s="240"/>
      <c r="V37" s="44"/>
      <c r="W37" s="239"/>
      <c r="X37" s="240"/>
      <c r="Y37" s="44"/>
      <c r="Z37" s="239"/>
      <c r="AA37" s="240"/>
      <c r="AB37" s="44"/>
      <c r="AC37" s="239"/>
      <c r="AD37" s="240"/>
      <c r="AE37" s="44"/>
      <c r="AF37" s="239"/>
      <c r="AG37" s="240"/>
      <c r="AH37" s="44"/>
      <c r="AI37" s="239"/>
      <c r="AJ37" s="240"/>
      <c r="AK37" s="44"/>
      <c r="AL37" s="239"/>
      <c r="AM37" s="240"/>
      <c r="AN37" s="44"/>
      <c r="AO37" s="239"/>
      <c r="AP37" s="240"/>
      <c r="AQ37" s="44"/>
      <c r="AR37" s="239"/>
      <c r="AS37" s="240"/>
      <c r="AT37" s="44"/>
      <c r="AU37" s="239"/>
      <c r="AV37" s="240"/>
      <c r="AW37" s="44"/>
    </row>
    <row r="38" hidden="1"/>
  </sheetData>
  <mergeCells count="401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3:A4"/>
    <mergeCell ref="A6:A7"/>
    <mergeCell ref="A11:A12"/>
    <mergeCell ref="A14:A15"/>
    <mergeCell ref="A21:A22"/>
    <mergeCell ref="A24:A25"/>
    <mergeCell ref="A27:A28"/>
    <mergeCell ref="A36:A37"/>
    <mergeCell ref="B3:B4"/>
    <mergeCell ref="B6:B7"/>
    <mergeCell ref="B11:B12"/>
    <mergeCell ref="B14:B15"/>
    <mergeCell ref="B21:B22"/>
    <mergeCell ref="B24:B25"/>
    <mergeCell ref="B27:B28"/>
    <mergeCell ref="B36:B37"/>
    <mergeCell ref="C11:C12"/>
    <mergeCell ref="D3:D4"/>
    <mergeCell ref="D6:D7"/>
    <mergeCell ref="D11:D12"/>
    <mergeCell ref="D14:D15"/>
    <mergeCell ref="D21:D22"/>
    <mergeCell ref="D24:D25"/>
    <mergeCell ref="D27:D28"/>
    <mergeCell ref="D36:D37"/>
    <mergeCell ref="E3:E4"/>
    <mergeCell ref="E6:E7"/>
    <mergeCell ref="E11:E12"/>
    <mergeCell ref="E14:E15"/>
    <mergeCell ref="E21:E22"/>
    <mergeCell ref="E24:E25"/>
    <mergeCell ref="E27:E28"/>
    <mergeCell ref="E36:E37"/>
    <mergeCell ref="F3:F4"/>
    <mergeCell ref="F6:F7"/>
    <mergeCell ref="F11:F12"/>
    <mergeCell ref="F14:F15"/>
    <mergeCell ref="F21:F22"/>
    <mergeCell ref="F24:F25"/>
    <mergeCell ref="F27:F28"/>
    <mergeCell ref="F36:F37"/>
    <mergeCell ref="G3:G4"/>
    <mergeCell ref="G6:G7"/>
    <mergeCell ref="G11:G12"/>
    <mergeCell ref="G14:G15"/>
    <mergeCell ref="G21:G22"/>
    <mergeCell ref="G24:G25"/>
    <mergeCell ref="G27:G28"/>
    <mergeCell ref="G36:G37"/>
    <mergeCell ref="H3:H4"/>
    <mergeCell ref="H6:H7"/>
    <mergeCell ref="H11:H12"/>
    <mergeCell ref="H14:H15"/>
    <mergeCell ref="H21:H22"/>
    <mergeCell ref="H24:H25"/>
    <mergeCell ref="H27:H28"/>
    <mergeCell ref="H36:H37"/>
    <mergeCell ref="I3:I4"/>
    <mergeCell ref="I6:I7"/>
    <mergeCell ref="I11:I12"/>
    <mergeCell ref="I14:I15"/>
    <mergeCell ref="I21:I22"/>
    <mergeCell ref="I24:I25"/>
    <mergeCell ref="I27:I28"/>
    <mergeCell ref="I36:I37"/>
    <mergeCell ref="J3:J4"/>
    <mergeCell ref="J6:J7"/>
    <mergeCell ref="J11:J12"/>
    <mergeCell ref="J14:J15"/>
    <mergeCell ref="J21:J22"/>
    <mergeCell ref="J24:J25"/>
    <mergeCell ref="J27:J28"/>
    <mergeCell ref="J36:J37"/>
    <mergeCell ref="K3:K4"/>
    <mergeCell ref="K6:K7"/>
    <mergeCell ref="K11:K12"/>
    <mergeCell ref="K14:K15"/>
    <mergeCell ref="K21:K22"/>
    <mergeCell ref="K24:K25"/>
    <mergeCell ref="K27:K28"/>
    <mergeCell ref="K36:K37"/>
    <mergeCell ref="L3:L4"/>
    <mergeCell ref="L6:L7"/>
    <mergeCell ref="L11:L12"/>
    <mergeCell ref="L14:L15"/>
    <mergeCell ref="L21:L22"/>
    <mergeCell ref="L24:L25"/>
    <mergeCell ref="L27:L28"/>
    <mergeCell ref="L36:L37"/>
    <mergeCell ref="M3:M4"/>
    <mergeCell ref="M6:M7"/>
    <mergeCell ref="M11:M12"/>
    <mergeCell ref="M14:M15"/>
    <mergeCell ref="M21:M22"/>
    <mergeCell ref="M24:M25"/>
    <mergeCell ref="M27:M28"/>
    <mergeCell ref="M36:M37"/>
    <mergeCell ref="N3:N4"/>
    <mergeCell ref="N6:N7"/>
    <mergeCell ref="N11:N12"/>
    <mergeCell ref="N14:N15"/>
    <mergeCell ref="N21:N22"/>
    <mergeCell ref="N24:N25"/>
    <mergeCell ref="N27:N28"/>
    <mergeCell ref="N36:N37"/>
    <mergeCell ref="O3:O4"/>
    <mergeCell ref="O6:O7"/>
    <mergeCell ref="O11:O12"/>
    <mergeCell ref="O14:O15"/>
    <mergeCell ref="O21:O22"/>
    <mergeCell ref="O24:O25"/>
    <mergeCell ref="O27:O28"/>
    <mergeCell ref="O36:O37"/>
    <mergeCell ref="P3:P4"/>
    <mergeCell ref="P6:P7"/>
    <mergeCell ref="P11:P12"/>
    <mergeCell ref="P14:P15"/>
    <mergeCell ref="P21:P22"/>
    <mergeCell ref="P24:P25"/>
    <mergeCell ref="P27:P28"/>
    <mergeCell ref="P36:P37"/>
    <mergeCell ref="Q3:Q4"/>
    <mergeCell ref="Q6:Q7"/>
    <mergeCell ref="Q11:Q12"/>
    <mergeCell ref="Q14:Q15"/>
    <mergeCell ref="Q21:Q22"/>
    <mergeCell ref="Q24:Q25"/>
    <mergeCell ref="Q27:Q28"/>
    <mergeCell ref="Q36:Q37"/>
    <mergeCell ref="R3:R4"/>
    <mergeCell ref="R6:R7"/>
    <mergeCell ref="R11:R12"/>
    <mergeCell ref="R14:R15"/>
    <mergeCell ref="R21:R22"/>
    <mergeCell ref="R24:R25"/>
    <mergeCell ref="R27:R28"/>
    <mergeCell ref="R36:R37"/>
    <mergeCell ref="S3:S4"/>
    <mergeCell ref="S6:S7"/>
    <mergeCell ref="S11:S12"/>
    <mergeCell ref="S14:S15"/>
    <mergeCell ref="S21:S22"/>
    <mergeCell ref="S24:S25"/>
    <mergeCell ref="S27:S28"/>
    <mergeCell ref="S36:S37"/>
    <mergeCell ref="T3:T4"/>
    <mergeCell ref="T6:T7"/>
    <mergeCell ref="T11:T12"/>
    <mergeCell ref="T14:T15"/>
    <mergeCell ref="T21:T22"/>
    <mergeCell ref="T24:T25"/>
    <mergeCell ref="T27:T28"/>
    <mergeCell ref="T36:T37"/>
    <mergeCell ref="U3:U4"/>
    <mergeCell ref="U6:U7"/>
    <mergeCell ref="U11:U12"/>
    <mergeCell ref="U14:U15"/>
    <mergeCell ref="U21:U22"/>
    <mergeCell ref="U24:U25"/>
    <mergeCell ref="U27:U28"/>
    <mergeCell ref="U36:U37"/>
    <mergeCell ref="V3:V4"/>
    <mergeCell ref="V6:V7"/>
    <mergeCell ref="V11:V12"/>
    <mergeCell ref="V14:V15"/>
    <mergeCell ref="V21:V22"/>
    <mergeCell ref="V24:V25"/>
    <mergeCell ref="V27:V28"/>
    <mergeCell ref="V36:V37"/>
    <mergeCell ref="W3:W4"/>
    <mergeCell ref="W6:W7"/>
    <mergeCell ref="W11:W12"/>
    <mergeCell ref="W14:W15"/>
    <mergeCell ref="W21:W22"/>
    <mergeCell ref="W24:W25"/>
    <mergeCell ref="W27:W28"/>
    <mergeCell ref="W36:W37"/>
    <mergeCell ref="X3:X4"/>
    <mergeCell ref="X6:X7"/>
    <mergeCell ref="X11:X12"/>
    <mergeCell ref="X14:X15"/>
    <mergeCell ref="X21:X22"/>
    <mergeCell ref="X24:X25"/>
    <mergeCell ref="X27:X28"/>
    <mergeCell ref="X36:X37"/>
    <mergeCell ref="Y3:Y4"/>
    <mergeCell ref="Y6:Y7"/>
    <mergeCell ref="Y11:Y12"/>
    <mergeCell ref="Y14:Y15"/>
    <mergeCell ref="Y21:Y22"/>
    <mergeCell ref="Y24:Y25"/>
    <mergeCell ref="Y27:Y28"/>
    <mergeCell ref="Y36:Y37"/>
    <mergeCell ref="Z3:Z4"/>
    <mergeCell ref="Z6:Z7"/>
    <mergeCell ref="Z11:Z12"/>
    <mergeCell ref="Z14:Z15"/>
    <mergeCell ref="Z21:Z22"/>
    <mergeCell ref="Z24:Z25"/>
    <mergeCell ref="Z27:Z28"/>
    <mergeCell ref="Z36:Z37"/>
    <mergeCell ref="AA3:AA4"/>
    <mergeCell ref="AA6:AA7"/>
    <mergeCell ref="AA11:AA12"/>
    <mergeCell ref="AA14:AA15"/>
    <mergeCell ref="AA21:AA22"/>
    <mergeCell ref="AA24:AA25"/>
    <mergeCell ref="AA27:AA28"/>
    <mergeCell ref="AA36:AA37"/>
    <mergeCell ref="AB3:AB4"/>
    <mergeCell ref="AB6:AB7"/>
    <mergeCell ref="AB11:AB12"/>
    <mergeCell ref="AB14:AB15"/>
    <mergeCell ref="AB21:AB22"/>
    <mergeCell ref="AB24:AB25"/>
    <mergeCell ref="AB27:AB28"/>
    <mergeCell ref="AB36:AB37"/>
    <mergeCell ref="AC3:AC4"/>
    <mergeCell ref="AC6:AC7"/>
    <mergeCell ref="AC11:AC12"/>
    <mergeCell ref="AC14:AC15"/>
    <mergeCell ref="AC21:AC22"/>
    <mergeCell ref="AC24:AC25"/>
    <mergeCell ref="AC27:AC28"/>
    <mergeCell ref="AC36:AC37"/>
    <mergeCell ref="AD3:AD4"/>
    <mergeCell ref="AD6:AD7"/>
    <mergeCell ref="AD11:AD12"/>
    <mergeCell ref="AD14:AD15"/>
    <mergeCell ref="AD21:AD22"/>
    <mergeCell ref="AD24:AD25"/>
    <mergeCell ref="AD27:AD28"/>
    <mergeCell ref="AD36:AD37"/>
    <mergeCell ref="AE3:AE4"/>
    <mergeCell ref="AE6:AE7"/>
    <mergeCell ref="AE11:AE12"/>
    <mergeCell ref="AE14:AE15"/>
    <mergeCell ref="AE21:AE22"/>
    <mergeCell ref="AE24:AE25"/>
    <mergeCell ref="AE27:AE28"/>
    <mergeCell ref="AE36:AE37"/>
    <mergeCell ref="AF3:AF4"/>
    <mergeCell ref="AF6:AF7"/>
    <mergeCell ref="AF11:AF12"/>
    <mergeCell ref="AF14:AF15"/>
    <mergeCell ref="AF21:AF22"/>
    <mergeCell ref="AF24:AF25"/>
    <mergeCell ref="AF27:AF28"/>
    <mergeCell ref="AF36:AF37"/>
    <mergeCell ref="AG3:AG4"/>
    <mergeCell ref="AG6:AG7"/>
    <mergeCell ref="AG11:AG12"/>
    <mergeCell ref="AG14:AG15"/>
    <mergeCell ref="AG21:AG22"/>
    <mergeCell ref="AG24:AG25"/>
    <mergeCell ref="AG27:AG28"/>
    <mergeCell ref="AG36:AG37"/>
    <mergeCell ref="AH3:AH4"/>
    <mergeCell ref="AH6:AH7"/>
    <mergeCell ref="AH11:AH12"/>
    <mergeCell ref="AH14:AH15"/>
    <mergeCell ref="AH21:AH22"/>
    <mergeCell ref="AH24:AH25"/>
    <mergeCell ref="AH27:AH28"/>
    <mergeCell ref="AH36:AH37"/>
    <mergeCell ref="AI3:AI4"/>
    <mergeCell ref="AI6:AI7"/>
    <mergeCell ref="AI11:AI12"/>
    <mergeCell ref="AI14:AI15"/>
    <mergeCell ref="AI21:AI22"/>
    <mergeCell ref="AI24:AI25"/>
    <mergeCell ref="AI27:AI28"/>
    <mergeCell ref="AI36:AI37"/>
    <mergeCell ref="AJ3:AJ4"/>
    <mergeCell ref="AJ6:AJ7"/>
    <mergeCell ref="AJ11:AJ12"/>
    <mergeCell ref="AJ14:AJ15"/>
    <mergeCell ref="AJ21:AJ22"/>
    <mergeCell ref="AJ24:AJ25"/>
    <mergeCell ref="AJ27:AJ28"/>
    <mergeCell ref="AJ36:AJ37"/>
    <mergeCell ref="AK3:AK4"/>
    <mergeCell ref="AK6:AK7"/>
    <mergeCell ref="AK11:AK12"/>
    <mergeCell ref="AK14:AK15"/>
    <mergeCell ref="AK21:AK22"/>
    <mergeCell ref="AK24:AK25"/>
    <mergeCell ref="AK27:AK28"/>
    <mergeCell ref="AK36:AK37"/>
    <mergeCell ref="AL3:AL4"/>
    <mergeCell ref="AL6:AL7"/>
    <mergeCell ref="AL11:AL12"/>
    <mergeCell ref="AL14:AL15"/>
    <mergeCell ref="AL21:AL22"/>
    <mergeCell ref="AL24:AL25"/>
    <mergeCell ref="AL27:AL28"/>
    <mergeCell ref="AL36:AL37"/>
    <mergeCell ref="AM3:AM4"/>
    <mergeCell ref="AM6:AM7"/>
    <mergeCell ref="AM11:AM12"/>
    <mergeCell ref="AM14:AM15"/>
    <mergeCell ref="AM21:AM22"/>
    <mergeCell ref="AM24:AM25"/>
    <mergeCell ref="AM27:AM28"/>
    <mergeCell ref="AM36:AM37"/>
    <mergeCell ref="AN3:AN4"/>
    <mergeCell ref="AN6:AN7"/>
    <mergeCell ref="AN11:AN12"/>
    <mergeCell ref="AN14:AN15"/>
    <mergeCell ref="AN21:AN22"/>
    <mergeCell ref="AN24:AN25"/>
    <mergeCell ref="AN27:AN28"/>
    <mergeCell ref="AN36:AN37"/>
    <mergeCell ref="AO3:AO4"/>
    <mergeCell ref="AO6:AO7"/>
    <mergeCell ref="AO11:AO12"/>
    <mergeCell ref="AO14:AO15"/>
    <mergeCell ref="AO21:AO22"/>
    <mergeCell ref="AO24:AO25"/>
    <mergeCell ref="AO27:AO28"/>
    <mergeCell ref="AO36:AO37"/>
    <mergeCell ref="AP3:AP4"/>
    <mergeCell ref="AP6:AP7"/>
    <mergeCell ref="AP11:AP12"/>
    <mergeCell ref="AP14:AP15"/>
    <mergeCell ref="AP21:AP22"/>
    <mergeCell ref="AP24:AP25"/>
    <mergeCell ref="AP27:AP28"/>
    <mergeCell ref="AP36:AP37"/>
    <mergeCell ref="AQ3:AQ4"/>
    <mergeCell ref="AQ6:AQ7"/>
    <mergeCell ref="AQ11:AQ12"/>
    <mergeCell ref="AQ14:AQ15"/>
    <mergeCell ref="AQ21:AQ22"/>
    <mergeCell ref="AQ24:AQ25"/>
    <mergeCell ref="AQ27:AQ28"/>
    <mergeCell ref="AQ36:AQ37"/>
    <mergeCell ref="AR3:AR4"/>
    <mergeCell ref="AR6:AR7"/>
    <mergeCell ref="AR11:AR12"/>
    <mergeCell ref="AR14:AR15"/>
    <mergeCell ref="AR21:AR22"/>
    <mergeCell ref="AR24:AR25"/>
    <mergeCell ref="AR27:AR28"/>
    <mergeCell ref="AR36:AR37"/>
    <mergeCell ref="AS3:AS4"/>
    <mergeCell ref="AS6:AS7"/>
    <mergeCell ref="AS11:AS12"/>
    <mergeCell ref="AS14:AS15"/>
    <mergeCell ref="AS21:AS22"/>
    <mergeCell ref="AS24:AS25"/>
    <mergeCell ref="AS27:AS28"/>
    <mergeCell ref="AS36:AS37"/>
    <mergeCell ref="AT3:AT4"/>
    <mergeCell ref="AT6:AT7"/>
    <mergeCell ref="AT11:AT12"/>
    <mergeCell ref="AT14:AT15"/>
    <mergeCell ref="AT21:AT22"/>
    <mergeCell ref="AT24:AT25"/>
    <mergeCell ref="AT27:AT28"/>
    <mergeCell ref="AT36:AT37"/>
    <mergeCell ref="AU3:AU4"/>
    <mergeCell ref="AU6:AU7"/>
    <mergeCell ref="AU11:AU12"/>
    <mergeCell ref="AU14:AU15"/>
    <mergeCell ref="AU21:AU22"/>
    <mergeCell ref="AU24:AU25"/>
    <mergeCell ref="AU27:AU28"/>
    <mergeCell ref="AU36:AU37"/>
    <mergeCell ref="AV3:AV4"/>
    <mergeCell ref="AV6:AV7"/>
    <mergeCell ref="AV11:AV12"/>
    <mergeCell ref="AV14:AV15"/>
    <mergeCell ref="AV21:AV22"/>
    <mergeCell ref="AV24:AV25"/>
    <mergeCell ref="AV27:AV28"/>
    <mergeCell ref="AV36:AV37"/>
    <mergeCell ref="AW3:AW4"/>
    <mergeCell ref="AW6:AW7"/>
    <mergeCell ref="AW11:AW12"/>
    <mergeCell ref="AW14:AW15"/>
    <mergeCell ref="AW21:AW22"/>
    <mergeCell ref="AW24:AW25"/>
    <mergeCell ref="AW27:AW28"/>
    <mergeCell ref="AW36:AW37"/>
  </mergeCells>
  <pageMargins left="0.7" right="0.7" top="0.75" bottom="0.75" header="0.3" footer="0.3"/>
  <pageSetup paperSize="1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workbookViewId="0">
      <selection activeCell="A14" sqref="A14:I14"/>
    </sheetView>
  </sheetViews>
  <sheetFormatPr defaultColWidth="9" defaultRowHeight="15"/>
  <cols>
    <col min="1" max="1" width="4.81904761904762" customWidth="1"/>
    <col min="2" max="2" width="33.6285714285714" customWidth="1"/>
    <col min="3" max="3" width="48.1809523809524" customWidth="1"/>
    <col min="4" max="4" width="17.9047619047619" customWidth="1"/>
    <col min="5" max="5" width="15" customWidth="1"/>
    <col min="6" max="6" width="13.9047619047619" customWidth="1"/>
    <col min="7" max="7" width="15" customWidth="1"/>
    <col min="8" max="8" width="14.2666666666667" customWidth="1"/>
    <col min="9" max="9" width="15.2666666666667" customWidth="1"/>
    <col min="10" max="12" width="8.72380952380952" customWidth="1"/>
  </cols>
  <sheetData>
    <row r="1" s="15" customFormat="1" ht="18.75" spans="1:11">
      <c r="A1" s="16" t="s">
        <v>561</v>
      </c>
      <c r="B1" s="16"/>
      <c r="C1" s="16"/>
      <c r="D1" s="16"/>
      <c r="E1" s="16"/>
      <c r="F1" s="16"/>
      <c r="G1" s="16"/>
      <c r="H1" s="16"/>
      <c r="I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>
        <v>2082</v>
      </c>
      <c r="J2" s="2"/>
    </row>
    <row r="3" ht="15.75" spans="1:11">
      <c r="A3" s="2">
        <v>1</v>
      </c>
      <c r="B3" s="19" t="s">
        <v>303</v>
      </c>
      <c r="C3" s="19" t="s">
        <v>245</v>
      </c>
      <c r="D3" s="2" t="s">
        <v>246</v>
      </c>
      <c r="E3" s="20">
        <v>1658551247</v>
      </c>
      <c r="F3" s="20">
        <v>2023094775</v>
      </c>
      <c r="G3" s="20">
        <v>2728122844</v>
      </c>
      <c r="H3" s="20">
        <v>2465009823</v>
      </c>
      <c r="I3" s="69">
        <v>2158352578</v>
      </c>
      <c r="K3" s="2"/>
    </row>
    <row r="4" ht="15.75" spans="1:11">
      <c r="A4" s="2">
        <v>2</v>
      </c>
      <c r="B4" s="19" t="s">
        <v>304</v>
      </c>
      <c r="C4" s="19" t="s">
        <v>248</v>
      </c>
      <c r="D4" s="2" t="s">
        <v>246</v>
      </c>
      <c r="E4" s="22">
        <v>558943802</v>
      </c>
      <c r="F4" s="22">
        <v>592995548</v>
      </c>
      <c r="G4" s="22">
        <v>578962680</v>
      </c>
      <c r="H4" s="22">
        <v>491317403</v>
      </c>
      <c r="I4" s="22">
        <v>886726706</v>
      </c>
      <c r="J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>
        <v>196273751</v>
      </c>
      <c r="F5" s="20">
        <v>200600851</v>
      </c>
      <c r="G5" s="20">
        <v>165205369</v>
      </c>
      <c r="H5" s="20">
        <v>118648815</v>
      </c>
      <c r="I5" s="21">
        <v>344943829</v>
      </c>
    </row>
    <row r="6" ht="30" spans="1:11">
      <c r="A6" s="2">
        <v>4</v>
      </c>
      <c r="B6" s="19" t="s">
        <v>251</v>
      </c>
      <c r="C6" s="19" t="s">
        <v>252</v>
      </c>
      <c r="D6" s="23" t="s">
        <v>253</v>
      </c>
      <c r="E6" s="24">
        <f t="shared" ref="E6:I6" si="0">E5/E3</f>
        <v>0.118340480196208</v>
      </c>
      <c r="F6" s="24">
        <f t="shared" si="0"/>
        <v>0.0991554392205872</v>
      </c>
      <c r="G6" s="24">
        <f t="shared" si="0"/>
        <v>0.0605564259554289</v>
      </c>
      <c r="H6" s="24">
        <f t="shared" si="0"/>
        <v>0.0481332016988072</v>
      </c>
      <c r="I6" s="24">
        <f t="shared" si="0"/>
        <v>0.15981810966197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>
        <v>19.16</v>
      </c>
      <c r="F7" s="2">
        <v>17.8</v>
      </c>
      <c r="G7" s="2">
        <v>13.96</v>
      </c>
      <c r="H7" s="2">
        <v>10.03</v>
      </c>
      <c r="I7" s="2">
        <v>29.15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>
        <v>33.4</v>
      </c>
      <c r="F8" s="25">
        <v>25.28</v>
      </c>
      <c r="G8" s="25">
        <v>37.61</v>
      </c>
      <c r="H8" s="25">
        <v>61.71</v>
      </c>
      <c r="I8" s="25">
        <v>21.98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J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J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4" ht="18.75" spans="1:11">
      <c r="A14" s="88" t="s">
        <v>562</v>
      </c>
      <c r="B14" s="89"/>
      <c r="C14" s="89"/>
      <c r="D14" s="89"/>
      <c r="E14" s="89"/>
      <c r="F14" s="89"/>
      <c r="G14" s="89"/>
      <c r="H14" s="89"/>
      <c r="I14" s="90"/>
    </row>
    <row r="15" ht="37.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2078</v>
      </c>
      <c r="F15" s="18">
        <v>2079</v>
      </c>
      <c r="G15" s="18">
        <v>2080</v>
      </c>
      <c r="H15" s="18">
        <v>2081</v>
      </c>
      <c r="I15" s="18">
        <v>2082</v>
      </c>
    </row>
    <row r="16" ht="15.75" spans="1:11">
      <c r="A16" s="2">
        <v>1</v>
      </c>
      <c r="B16" s="19" t="s">
        <v>303</v>
      </c>
      <c r="C16" s="19" t="s">
        <v>245</v>
      </c>
      <c r="D16" s="2" t="s">
        <v>246</v>
      </c>
      <c r="E16" s="20">
        <v>1757842000</v>
      </c>
      <c r="F16" s="20">
        <v>1525926000</v>
      </c>
      <c r="G16" s="20">
        <v>2175471000</v>
      </c>
      <c r="H16" s="20">
        <v>2369809373</v>
      </c>
      <c r="I16" s="20">
        <v>2429976576</v>
      </c>
    </row>
    <row r="17" ht="15.75" spans="1:9">
      <c r="A17" s="2">
        <v>2</v>
      </c>
      <c r="B17" s="19" t="s">
        <v>304</v>
      </c>
      <c r="C17" s="19" t="s">
        <v>248</v>
      </c>
      <c r="D17" s="2" t="s">
        <v>246</v>
      </c>
      <c r="E17" s="22">
        <v>1070986000</v>
      </c>
      <c r="F17" s="92">
        <v>431054000</v>
      </c>
      <c r="G17" s="22">
        <v>733907000</v>
      </c>
      <c r="H17" s="22">
        <v>760853391</v>
      </c>
      <c r="I17" s="22">
        <v>918420221</v>
      </c>
    </row>
    <row r="18" ht="15.75" spans="1:9">
      <c r="A18" s="2">
        <v>3</v>
      </c>
      <c r="B18" s="19" t="s">
        <v>249</v>
      </c>
      <c r="C18" s="19" t="s">
        <v>250</v>
      </c>
      <c r="D18" s="2" t="s">
        <v>246</v>
      </c>
      <c r="E18" s="20">
        <v>568118000</v>
      </c>
      <c r="F18" s="20">
        <v>108437000</v>
      </c>
      <c r="G18" s="20">
        <v>291547000</v>
      </c>
      <c r="H18" s="20">
        <v>265820166</v>
      </c>
      <c r="I18" s="20">
        <v>314382968</v>
      </c>
    </row>
    <row r="19" ht="30" spans="1:9">
      <c r="A19" s="2">
        <v>4</v>
      </c>
      <c r="B19" s="19" t="s">
        <v>251</v>
      </c>
      <c r="C19" s="19" t="s">
        <v>252</v>
      </c>
      <c r="D19" s="23" t="s">
        <v>253</v>
      </c>
      <c r="E19" s="24">
        <f t="shared" ref="E19:I19" si="1">E18/E16</f>
        <v>0.32319059392141</v>
      </c>
      <c r="F19" s="24">
        <f t="shared" si="1"/>
        <v>0.0710630790746078</v>
      </c>
      <c r="G19" s="24">
        <f t="shared" si="1"/>
        <v>0.134015576397019</v>
      </c>
      <c r="H19" s="24">
        <f t="shared" si="1"/>
        <v>0.11216942975607</v>
      </c>
      <c r="I19" s="24">
        <f t="shared" si="1"/>
        <v>0.129376954125833</v>
      </c>
    </row>
    <row r="20" ht="15.75" spans="1:9">
      <c r="A20" s="2">
        <v>5</v>
      </c>
      <c r="B20" s="19" t="s">
        <v>254</v>
      </c>
      <c r="C20" s="19" t="s">
        <v>255</v>
      </c>
      <c r="D20" s="2" t="s">
        <v>246</v>
      </c>
      <c r="E20" s="2">
        <v>58.85</v>
      </c>
      <c r="F20" s="2">
        <v>8.02</v>
      </c>
      <c r="G20" s="2">
        <v>21.57</v>
      </c>
      <c r="H20" s="2">
        <v>19.67</v>
      </c>
      <c r="I20" s="2">
        <v>23.26</v>
      </c>
    </row>
    <row r="21" ht="31.5" spans="1:9">
      <c r="A21" s="2">
        <v>6</v>
      </c>
      <c r="B21" s="19" t="s">
        <v>256</v>
      </c>
      <c r="C21" s="19" t="s">
        <v>257</v>
      </c>
      <c r="D21" s="2" t="s">
        <v>246</v>
      </c>
      <c r="E21" s="25">
        <v>21.75</v>
      </c>
      <c r="F21" s="25">
        <v>55.74</v>
      </c>
      <c r="G21" s="25">
        <v>25.5</v>
      </c>
      <c r="H21" s="25">
        <v>30.51</v>
      </c>
      <c r="I21" s="93">
        <v>26.79</v>
      </c>
    </row>
    <row r="22" ht="31.5" spans="1:9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9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9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9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  <row r="26" ht="15.75" spans="1:9">
      <c r="B26" s="19"/>
    </row>
  </sheetData>
  <mergeCells count="3">
    <mergeCell ref="A1:I1"/>
    <mergeCell ref="A14:I14"/>
    <mergeCell ref="J9:J10"/>
  </mergeCells>
  <pageMargins left="0.7" right="0.7" top="0.75" bottom="0.75" header="0.3" footer="0.3"/>
  <pageSetup paperSize="1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37"/>
  <sheetViews>
    <sheetView zoomScale="110" zoomScaleNormal="110" topLeftCell="DF1" workbookViewId="0">
      <selection activeCell="AK9" sqref="AK9"/>
    </sheetView>
  </sheetViews>
  <sheetFormatPr defaultColWidth="9" defaultRowHeight="15"/>
  <cols>
    <col min="1" max="1" width="4.26666666666667" customWidth="1"/>
    <col min="2" max="2" width="22.9047619047619" customWidth="1"/>
    <col min="3" max="3" width="21" customWidth="1"/>
    <col min="4" max="4" width="9.72380952380952" customWidth="1"/>
    <col min="5" max="5" width="14.2666666666667" customWidth="1"/>
    <col min="6" max="6" width="14.1809523809524" customWidth="1"/>
    <col min="7" max="7" width="9.90476190476191" style="6" customWidth="1"/>
    <col min="8" max="8" width="14.2666666666667" customWidth="1"/>
    <col min="9" max="9" width="14.1809523809524" customWidth="1"/>
    <col min="10" max="10" width="9.90476190476191" style="6" customWidth="1"/>
    <col min="11" max="11" width="14.2666666666667" customWidth="1"/>
    <col min="12" max="12" width="14.1809523809524" customWidth="1"/>
    <col min="13" max="13" width="9.90476190476191" style="6" customWidth="1"/>
    <col min="14" max="14" width="14.2666666666667" customWidth="1"/>
    <col min="15" max="15" width="14.1809523809524" customWidth="1"/>
    <col min="16" max="16" width="9.90476190476191" style="6" customWidth="1"/>
    <col min="17" max="17" width="14.2666666666667" customWidth="1"/>
    <col min="18" max="18" width="14.1809523809524" customWidth="1"/>
    <col min="19" max="19" width="9.90476190476191" style="6" customWidth="1"/>
    <col min="20" max="20" width="14.2666666666667" customWidth="1"/>
    <col min="21" max="21" width="14.1809523809524" customWidth="1"/>
    <col min="22" max="22" width="9.90476190476191" style="6" customWidth="1"/>
    <col min="23" max="23" width="14.2666666666667" customWidth="1"/>
    <col min="24" max="24" width="14.1809523809524" customWidth="1"/>
    <col min="25" max="25" width="9.90476190476191" style="6" customWidth="1"/>
    <col min="26" max="26" width="14.2666666666667" customWidth="1"/>
    <col min="27" max="27" width="14.1809523809524" customWidth="1"/>
    <col min="28" max="28" width="9.90476190476191" style="6" customWidth="1"/>
    <col min="29" max="29" width="14.2666666666667" customWidth="1"/>
    <col min="30" max="30" width="14.1809523809524" customWidth="1"/>
    <col min="31" max="31" width="9.90476190476191" style="6" customWidth="1"/>
    <col min="32" max="32" width="14.2666666666667" customWidth="1"/>
    <col min="33" max="33" width="14.1809523809524" customWidth="1"/>
    <col min="34" max="34" width="9.90476190476191" style="6" customWidth="1"/>
    <col min="35" max="35" width="14.2666666666667" customWidth="1"/>
    <col min="36" max="36" width="14.1809523809524" customWidth="1"/>
    <col min="37" max="37" width="9.90476190476191" style="6" customWidth="1"/>
    <col min="38" max="38" width="14.2666666666667" customWidth="1"/>
    <col min="39" max="39" width="14.1809523809524" customWidth="1"/>
    <col min="40" max="40" width="9.90476190476191" style="6" customWidth="1"/>
    <col min="41" max="41" width="14.2666666666667" customWidth="1"/>
    <col min="42" max="42" width="14.1809523809524" customWidth="1"/>
    <col min="43" max="43" width="9.90476190476191" style="6" customWidth="1"/>
    <col min="44" max="44" width="14.2666666666667" customWidth="1"/>
    <col min="45" max="45" width="14.1809523809524" customWidth="1"/>
    <col min="46" max="46" width="9.90476190476191" style="6" customWidth="1"/>
    <col min="47" max="47" width="14.2666666666667" customWidth="1"/>
    <col min="48" max="48" width="14.1809523809524" customWidth="1"/>
    <col min="49" max="49" width="9.90476190476191" style="6" customWidth="1"/>
    <col min="50" max="50" width="14.2666666666667" customWidth="1"/>
    <col min="51" max="51" width="14.1809523809524" customWidth="1"/>
    <col min="52" max="52" width="9.90476190476191" style="6" customWidth="1"/>
    <col min="53" max="53" width="14.2666666666667" customWidth="1"/>
    <col min="54" max="54" width="14.1809523809524" customWidth="1"/>
    <col min="55" max="55" width="9.90476190476191" style="6" customWidth="1"/>
    <col min="56" max="56" width="14.2666666666667" customWidth="1"/>
    <col min="57" max="57" width="14.1809523809524" customWidth="1"/>
    <col min="58" max="58" width="9.90476190476191" style="6" customWidth="1"/>
    <col min="59" max="59" width="14.2666666666667" customWidth="1"/>
    <col min="60" max="60" width="14.1809523809524" customWidth="1"/>
    <col min="61" max="61" width="9.90476190476191" style="6" customWidth="1"/>
    <col min="62" max="62" width="14.2666666666667" customWidth="1"/>
    <col min="63" max="63" width="14.1809523809524" customWidth="1"/>
    <col min="64" max="64" width="9.90476190476191" style="6" customWidth="1"/>
    <col min="65" max="65" width="14.2666666666667" customWidth="1"/>
    <col min="66" max="66" width="14.1809523809524" customWidth="1"/>
    <col min="67" max="67" width="9.90476190476191" style="6" customWidth="1"/>
    <col min="68" max="68" width="14.2666666666667" customWidth="1"/>
    <col min="69" max="69" width="14.1809523809524" customWidth="1"/>
    <col min="70" max="70" width="9.90476190476191" style="6" customWidth="1"/>
    <col min="71" max="71" width="14.2666666666667" customWidth="1"/>
    <col min="72" max="72" width="14.1809523809524" customWidth="1"/>
    <col min="73" max="73" width="9.90476190476191" style="6" customWidth="1"/>
    <col min="74" max="74" width="14.2666666666667" customWidth="1"/>
    <col min="75" max="75" width="14.1809523809524" customWidth="1"/>
    <col min="76" max="76" width="9.90476190476191" style="6" customWidth="1"/>
    <col min="77" max="77" width="14.2666666666667" customWidth="1"/>
    <col min="78" max="78" width="14.1809523809524" customWidth="1"/>
    <col min="79" max="79" width="9.90476190476191" style="6" customWidth="1"/>
    <col min="80" max="80" width="14.2666666666667" customWidth="1"/>
    <col min="81" max="81" width="14.1809523809524" customWidth="1"/>
    <col min="82" max="82" width="9.90476190476191" style="6" customWidth="1"/>
    <col min="83" max="83" width="14.2666666666667" customWidth="1"/>
    <col min="84" max="84" width="14.1809523809524" customWidth="1"/>
    <col min="85" max="85" width="9.90476190476191" style="6" customWidth="1"/>
    <col min="86" max="86" width="14.2666666666667" customWidth="1"/>
    <col min="87" max="87" width="14.1809523809524" customWidth="1"/>
    <col min="88" max="88" width="9.90476190476191" style="6" customWidth="1"/>
    <col min="89" max="89" width="14.2666666666667" customWidth="1"/>
    <col min="90" max="90" width="14.1809523809524" customWidth="1"/>
    <col min="91" max="91" width="9.90476190476191" style="6" customWidth="1"/>
    <col min="92" max="92" width="14.2666666666667" customWidth="1"/>
    <col min="93" max="93" width="14.1809523809524" customWidth="1"/>
    <col min="94" max="94" width="9.90476190476191" style="6" customWidth="1"/>
    <col min="95" max="95" width="14.2666666666667" customWidth="1"/>
    <col min="96" max="96" width="14.1809523809524" customWidth="1"/>
    <col min="97" max="97" width="9.90476190476191" style="6" customWidth="1"/>
    <col min="98" max="98" width="14.2666666666667" customWidth="1"/>
    <col min="99" max="99" width="14.1809523809524" customWidth="1"/>
    <col min="100" max="100" width="9.90476190476191" style="6" customWidth="1"/>
    <col min="101" max="101" width="14.2666666666667" customWidth="1"/>
    <col min="102" max="102" width="14.1809523809524" customWidth="1"/>
    <col min="103" max="103" width="9.90476190476191" style="6" customWidth="1"/>
    <col min="104" max="104" width="14.2666666666667" customWidth="1"/>
    <col min="105" max="105" width="14.1809523809524" customWidth="1"/>
    <col min="106" max="106" width="9.90476190476191" style="6" customWidth="1"/>
    <col min="107" max="107" width="14.2666666666667" customWidth="1"/>
    <col min="108" max="108" width="14.1809523809524" customWidth="1"/>
    <col min="109" max="109" width="9.90476190476191" style="6" customWidth="1"/>
    <col min="110" max="110" width="14.2666666666667" customWidth="1"/>
    <col min="111" max="111" width="14.1809523809524" customWidth="1"/>
    <col min="112" max="112" width="9.90476190476191" style="6" customWidth="1"/>
    <col min="113" max="113" width="14.2666666666667" customWidth="1"/>
    <col min="114" max="114" width="14.1809523809524" customWidth="1"/>
    <col min="115" max="115" width="9.90476190476191" style="6" customWidth="1"/>
    <col min="116" max="116" width="14.2666666666667" customWidth="1"/>
    <col min="117" max="117" width="14.1809523809524" customWidth="1"/>
    <col min="118" max="118" width="9.90476190476191" style="6" customWidth="1"/>
    <col min="119" max="119" width="14.2666666666667" customWidth="1"/>
    <col min="120" max="120" width="14.1809523809524" customWidth="1"/>
    <col min="121" max="121" width="9.90476190476191" style="6" customWidth="1"/>
    <col min="122" max="122" width="14.2666666666667" customWidth="1"/>
    <col min="123" max="123" width="14.1809523809524" customWidth="1"/>
    <col min="124" max="124" width="9.90476190476191" style="6" customWidth="1"/>
    <col min="125" max="125" width="14.2666666666667" customWidth="1"/>
    <col min="126" max="126" width="14.1809523809524" customWidth="1"/>
    <col min="127" max="127" width="9.90476190476191" style="6" customWidth="1"/>
    <col min="128" max="128" width="14.2666666666667" customWidth="1"/>
    <col min="129" max="129" width="14.1809523809524" customWidth="1"/>
    <col min="130" max="130" width="9.90476190476191" style="6" customWidth="1"/>
    <col min="131" max="131" width="14.2666666666667" customWidth="1"/>
    <col min="132" max="132" width="14.1809523809524" customWidth="1"/>
    <col min="133" max="133" width="9.90476190476191" style="6" customWidth="1"/>
    <col min="134" max="134" width="14.2666666666667" customWidth="1"/>
    <col min="135" max="135" width="14.1809523809524" customWidth="1"/>
    <col min="136" max="136" width="9.90476190476191" style="6" customWidth="1"/>
    <col min="137" max="137" width="14.2666666666667" customWidth="1"/>
    <col min="138" max="138" width="14.1809523809524" customWidth="1"/>
    <col min="139" max="139" width="9.90476190476191" style="6" customWidth="1"/>
    <col min="140" max="140" width="14.2666666666667" customWidth="1"/>
    <col min="141" max="141" width="14.1809523809524" customWidth="1"/>
    <col min="142" max="142" width="9.90476190476191" style="6" customWidth="1"/>
    <col min="143" max="143" width="14.2666666666667" customWidth="1"/>
    <col min="144" max="144" width="14.1809523809524" customWidth="1"/>
    <col min="145" max="145" width="9.90476190476191" style="6" customWidth="1"/>
    <col min="146" max="146" width="14.2666666666667" customWidth="1"/>
    <col min="147" max="147" width="14.1809523809524" customWidth="1"/>
    <col min="148" max="148" width="9.90476190476191" style="6" customWidth="1"/>
    <col min="149" max="149" width="14.2666666666667" customWidth="1"/>
    <col min="150" max="150" width="14.1809523809524" customWidth="1"/>
    <col min="151" max="151" width="9.90476190476191" style="6" customWidth="1"/>
    <col min="152" max="152" width="14.2666666666667" customWidth="1"/>
    <col min="153" max="153" width="14.1809523809524" customWidth="1"/>
    <col min="154" max="154" width="9.90476190476191" style="6" customWidth="1"/>
  </cols>
  <sheetData>
    <row r="1" ht="18.75" spans="1:154">
      <c r="A1" s="58" t="s">
        <v>563</v>
      </c>
      <c r="B1" s="59"/>
      <c r="C1" s="59"/>
      <c r="D1" s="60"/>
      <c r="E1" s="61" t="s">
        <v>564</v>
      </c>
      <c r="F1" s="62"/>
      <c r="G1" s="63"/>
      <c r="H1" s="61" t="s">
        <v>565</v>
      </c>
      <c r="I1" s="62"/>
      <c r="J1" s="63"/>
      <c r="K1" s="61" t="s">
        <v>566</v>
      </c>
      <c r="L1" s="62"/>
      <c r="M1" s="63"/>
      <c r="N1" s="61" t="s">
        <v>567</v>
      </c>
      <c r="O1" s="62"/>
      <c r="P1" s="63"/>
      <c r="Q1" s="61" t="s">
        <v>568</v>
      </c>
      <c r="R1" s="62"/>
      <c r="S1" s="63"/>
      <c r="T1" s="61" t="s">
        <v>569</v>
      </c>
      <c r="U1" s="62"/>
      <c r="V1" s="63"/>
      <c r="W1" s="61" t="s">
        <v>570</v>
      </c>
      <c r="X1" s="62"/>
      <c r="Y1" s="63"/>
      <c r="Z1" s="241" t="s">
        <v>571</v>
      </c>
      <c r="AA1" s="242"/>
      <c r="AB1" s="243"/>
      <c r="AC1" s="244" t="s">
        <v>572</v>
      </c>
      <c r="AD1" s="245"/>
      <c r="AE1" s="246"/>
      <c r="AF1" s="244" t="s">
        <v>573</v>
      </c>
      <c r="AG1" s="245"/>
      <c r="AH1" s="246"/>
      <c r="AI1" s="244" t="s">
        <v>574</v>
      </c>
      <c r="AJ1" s="245"/>
      <c r="AK1" s="246"/>
      <c r="AL1" s="244" t="s">
        <v>575</v>
      </c>
      <c r="AM1" s="245"/>
      <c r="AN1" s="246"/>
      <c r="AO1" s="244" t="s">
        <v>576</v>
      </c>
      <c r="AP1" s="245"/>
      <c r="AQ1" s="246"/>
      <c r="AR1" s="244" t="s">
        <v>577</v>
      </c>
      <c r="AS1" s="245"/>
      <c r="AT1" s="246"/>
      <c r="AU1" s="244" t="s">
        <v>578</v>
      </c>
      <c r="AV1" s="245"/>
      <c r="AW1" s="246"/>
      <c r="AX1" s="244" t="s">
        <v>579</v>
      </c>
      <c r="AY1" s="245"/>
      <c r="AZ1" s="246"/>
      <c r="BA1" s="244" t="s">
        <v>580</v>
      </c>
      <c r="BB1" s="245"/>
      <c r="BC1" s="246"/>
      <c r="BD1" s="244" t="s">
        <v>581</v>
      </c>
      <c r="BE1" s="245"/>
      <c r="BF1" s="246"/>
      <c r="BG1" s="244" t="s">
        <v>582</v>
      </c>
      <c r="BH1" s="245"/>
      <c r="BI1" s="246"/>
      <c r="BJ1" s="244" t="s">
        <v>583</v>
      </c>
      <c r="BK1" s="245"/>
      <c r="BL1" s="246"/>
      <c r="BM1" s="244" t="s">
        <v>584</v>
      </c>
      <c r="BN1" s="245"/>
      <c r="BO1" s="246"/>
      <c r="BP1" s="244" t="s">
        <v>585</v>
      </c>
      <c r="BQ1" s="245"/>
      <c r="BR1" s="246"/>
      <c r="BS1" s="244" t="s">
        <v>586</v>
      </c>
      <c r="BT1" s="245"/>
      <c r="BU1" s="246"/>
      <c r="BV1" s="244" t="s">
        <v>587</v>
      </c>
      <c r="BW1" s="245"/>
      <c r="BX1" s="246"/>
      <c r="BY1" s="244" t="s">
        <v>588</v>
      </c>
      <c r="BZ1" s="245"/>
      <c r="CA1" s="246"/>
      <c r="CB1" s="244" t="s">
        <v>589</v>
      </c>
      <c r="CC1" s="245"/>
      <c r="CD1" s="246"/>
      <c r="CE1" s="244" t="s">
        <v>590</v>
      </c>
      <c r="CF1" s="245"/>
      <c r="CG1" s="246"/>
      <c r="CH1" s="244" t="s">
        <v>591</v>
      </c>
      <c r="CI1" s="245"/>
      <c r="CJ1" s="246"/>
      <c r="CK1" s="244" t="s">
        <v>592</v>
      </c>
      <c r="CL1" s="245"/>
      <c r="CM1" s="246"/>
      <c r="CN1" s="244" t="s">
        <v>593</v>
      </c>
      <c r="CO1" s="245"/>
      <c r="CP1" s="246"/>
      <c r="CQ1" s="244" t="s">
        <v>594</v>
      </c>
      <c r="CR1" s="245"/>
      <c r="CS1" s="246"/>
      <c r="CT1" s="244" t="s">
        <v>595</v>
      </c>
      <c r="CU1" s="245"/>
      <c r="CV1" s="246"/>
      <c r="CW1" s="244" t="s">
        <v>596</v>
      </c>
      <c r="CX1" s="245"/>
      <c r="CY1" s="246"/>
      <c r="CZ1" s="244" t="s">
        <v>597</v>
      </c>
      <c r="DA1" s="245"/>
      <c r="DB1" s="246"/>
      <c r="DC1" s="244" t="s">
        <v>598</v>
      </c>
      <c r="DD1" s="245"/>
      <c r="DE1" s="246"/>
      <c r="DF1" s="244" t="s">
        <v>599</v>
      </c>
      <c r="DG1" s="245"/>
      <c r="DH1" s="246"/>
      <c r="DI1" s="244" t="s">
        <v>600</v>
      </c>
      <c r="DJ1" s="245"/>
      <c r="DK1" s="246"/>
      <c r="DL1" s="241" t="s">
        <v>601</v>
      </c>
      <c r="DM1" s="242"/>
      <c r="DN1" s="243"/>
      <c r="DO1" s="61" t="s">
        <v>602</v>
      </c>
      <c r="DP1" s="62"/>
      <c r="DQ1" s="63"/>
      <c r="DR1" s="61" t="s">
        <v>603</v>
      </c>
      <c r="DS1" s="62"/>
      <c r="DT1" s="63"/>
      <c r="DU1" s="61" t="s">
        <v>604</v>
      </c>
      <c r="DV1" s="62"/>
      <c r="DW1" s="63"/>
      <c r="DX1" s="61" t="s">
        <v>605</v>
      </c>
      <c r="DY1" s="62"/>
      <c r="DZ1" s="63"/>
      <c r="EA1" s="61" t="s">
        <v>606</v>
      </c>
      <c r="EB1" s="62"/>
      <c r="EC1" s="63"/>
      <c r="ED1" s="61" t="s">
        <v>607</v>
      </c>
      <c r="EE1" s="62"/>
      <c r="EF1" s="63"/>
      <c r="EG1" s="244" t="s">
        <v>608</v>
      </c>
      <c r="EH1" s="245"/>
      <c r="EI1" s="246"/>
      <c r="EJ1" s="244" t="s">
        <v>609</v>
      </c>
      <c r="EK1" s="245"/>
      <c r="EL1" s="246"/>
      <c r="EM1" s="244" t="s">
        <v>610</v>
      </c>
      <c r="EN1" s="245"/>
      <c r="EO1" s="246"/>
      <c r="EP1" s="244" t="s">
        <v>611</v>
      </c>
      <c r="EQ1" s="245"/>
      <c r="ER1" s="246"/>
      <c r="ES1" s="244" t="s">
        <v>612</v>
      </c>
      <c r="ET1" s="245"/>
      <c r="EU1" s="246"/>
      <c r="EV1" s="244" t="s">
        <v>613</v>
      </c>
      <c r="EW1" s="245"/>
      <c r="EX1" s="246"/>
    </row>
    <row r="2" ht="15.75" spans="1:154">
      <c r="A2" s="77" t="s">
        <v>0</v>
      </c>
      <c r="B2" s="77" t="s">
        <v>155</v>
      </c>
      <c r="C2" s="77" t="s">
        <v>156</v>
      </c>
      <c r="D2" s="77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  <c r="AI2" s="35" t="s">
        <v>158</v>
      </c>
      <c r="AJ2" s="35" t="s">
        <v>159</v>
      </c>
      <c r="AK2" s="35" t="s">
        <v>160</v>
      </c>
      <c r="AL2" s="35" t="s">
        <v>158</v>
      </c>
      <c r="AM2" s="35" t="s">
        <v>159</v>
      </c>
      <c r="AN2" s="35" t="s">
        <v>160</v>
      </c>
      <c r="AO2" s="35" t="s">
        <v>158</v>
      </c>
      <c r="AP2" s="35" t="s">
        <v>159</v>
      </c>
      <c r="AQ2" s="35" t="s">
        <v>160</v>
      </c>
      <c r="AR2" s="35" t="s">
        <v>158</v>
      </c>
      <c r="AS2" s="35" t="s">
        <v>159</v>
      </c>
      <c r="AT2" s="35" t="s">
        <v>160</v>
      </c>
      <c r="AU2" s="35" t="s">
        <v>158</v>
      </c>
      <c r="AV2" s="35" t="s">
        <v>159</v>
      </c>
      <c r="AW2" s="247" t="s">
        <v>160</v>
      </c>
      <c r="AX2" s="35" t="s">
        <v>158</v>
      </c>
      <c r="AY2" s="35" t="s">
        <v>159</v>
      </c>
      <c r="AZ2" s="35" t="s">
        <v>160</v>
      </c>
      <c r="BA2" s="35" t="s">
        <v>158</v>
      </c>
      <c r="BB2" s="35" t="s">
        <v>159</v>
      </c>
      <c r="BC2" s="35" t="s">
        <v>160</v>
      </c>
      <c r="BD2" s="35" t="s">
        <v>158</v>
      </c>
      <c r="BE2" s="35" t="s">
        <v>159</v>
      </c>
      <c r="BF2" s="35" t="s">
        <v>160</v>
      </c>
      <c r="BG2" s="35" t="s">
        <v>158</v>
      </c>
      <c r="BH2" s="35" t="s">
        <v>159</v>
      </c>
      <c r="BI2" s="35" t="s">
        <v>160</v>
      </c>
      <c r="BJ2" s="35" t="s">
        <v>158</v>
      </c>
      <c r="BK2" s="35" t="s">
        <v>159</v>
      </c>
      <c r="BL2" s="35" t="s">
        <v>160</v>
      </c>
      <c r="BM2" s="35" t="s">
        <v>158</v>
      </c>
      <c r="BN2" s="35" t="s">
        <v>159</v>
      </c>
      <c r="BO2" s="35" t="s">
        <v>160</v>
      </c>
      <c r="BP2" s="35" t="s">
        <v>158</v>
      </c>
      <c r="BQ2" s="35" t="s">
        <v>159</v>
      </c>
      <c r="BR2" s="35" t="s">
        <v>160</v>
      </c>
      <c r="BS2" s="35" t="s">
        <v>158</v>
      </c>
      <c r="BT2" s="35" t="s">
        <v>159</v>
      </c>
      <c r="BU2" s="35" t="s">
        <v>160</v>
      </c>
      <c r="BV2" s="35" t="s">
        <v>158</v>
      </c>
      <c r="BW2" s="35" t="s">
        <v>159</v>
      </c>
      <c r="BX2" s="35" t="s">
        <v>160</v>
      </c>
      <c r="BY2" s="35" t="s">
        <v>158</v>
      </c>
      <c r="BZ2" s="35" t="s">
        <v>159</v>
      </c>
      <c r="CA2" s="35" t="s">
        <v>160</v>
      </c>
      <c r="CB2" s="35" t="s">
        <v>158</v>
      </c>
      <c r="CC2" s="35" t="s">
        <v>159</v>
      </c>
      <c r="CD2" s="35" t="s">
        <v>160</v>
      </c>
      <c r="CE2" s="35" t="s">
        <v>158</v>
      </c>
      <c r="CF2" s="35" t="s">
        <v>159</v>
      </c>
      <c r="CG2" s="35" t="s">
        <v>160</v>
      </c>
      <c r="CH2" s="35" t="s">
        <v>158</v>
      </c>
      <c r="CI2" s="35" t="s">
        <v>159</v>
      </c>
      <c r="CJ2" s="35" t="s">
        <v>160</v>
      </c>
      <c r="CK2" s="35" t="s">
        <v>158</v>
      </c>
      <c r="CL2" s="35" t="s">
        <v>159</v>
      </c>
      <c r="CM2" s="35" t="s">
        <v>160</v>
      </c>
      <c r="CN2" s="35" t="s">
        <v>158</v>
      </c>
      <c r="CO2" s="35" t="s">
        <v>159</v>
      </c>
      <c r="CP2" s="35" t="s">
        <v>160</v>
      </c>
      <c r="CQ2" s="35" t="s">
        <v>158</v>
      </c>
      <c r="CR2" s="35" t="s">
        <v>159</v>
      </c>
      <c r="CS2" s="35" t="s">
        <v>160</v>
      </c>
      <c r="CT2" s="35" t="s">
        <v>158</v>
      </c>
      <c r="CU2" s="35" t="s">
        <v>159</v>
      </c>
      <c r="CV2" s="35" t="s">
        <v>160</v>
      </c>
      <c r="CW2" s="35" t="s">
        <v>158</v>
      </c>
      <c r="CX2" s="35" t="s">
        <v>159</v>
      </c>
      <c r="CY2" s="35" t="s">
        <v>160</v>
      </c>
      <c r="CZ2" s="35" t="s">
        <v>158</v>
      </c>
      <c r="DA2" s="35" t="s">
        <v>159</v>
      </c>
      <c r="DB2" s="35" t="s">
        <v>160</v>
      </c>
      <c r="DC2" s="35" t="s">
        <v>158</v>
      </c>
      <c r="DD2" s="35" t="s">
        <v>159</v>
      </c>
      <c r="DE2" s="35" t="s">
        <v>160</v>
      </c>
      <c r="DF2" s="35" t="s">
        <v>158</v>
      </c>
      <c r="DG2" s="35" t="s">
        <v>159</v>
      </c>
      <c r="DH2" s="35" t="s">
        <v>160</v>
      </c>
      <c r="DI2" s="35" t="s">
        <v>158</v>
      </c>
      <c r="DJ2" s="35" t="s">
        <v>159</v>
      </c>
      <c r="DK2" s="35" t="s">
        <v>160</v>
      </c>
      <c r="DL2" s="35" t="s">
        <v>158</v>
      </c>
      <c r="DM2" s="35" t="s">
        <v>159</v>
      </c>
      <c r="DN2" s="35" t="s">
        <v>160</v>
      </c>
      <c r="DO2" s="35" t="s">
        <v>158</v>
      </c>
      <c r="DP2" s="35" t="s">
        <v>159</v>
      </c>
      <c r="DQ2" s="35" t="s">
        <v>160</v>
      </c>
      <c r="DR2" s="35" t="s">
        <v>158</v>
      </c>
      <c r="DS2" s="35" t="s">
        <v>159</v>
      </c>
      <c r="DT2" s="35" t="s">
        <v>160</v>
      </c>
      <c r="DU2" s="35" t="s">
        <v>158</v>
      </c>
      <c r="DV2" s="35" t="s">
        <v>159</v>
      </c>
      <c r="DW2" s="35" t="s">
        <v>160</v>
      </c>
      <c r="DX2" s="35" t="s">
        <v>158</v>
      </c>
      <c r="DY2" s="35" t="s">
        <v>159</v>
      </c>
      <c r="DZ2" s="35" t="s">
        <v>160</v>
      </c>
      <c r="EA2" s="35" t="s">
        <v>158</v>
      </c>
      <c r="EB2" s="35" t="s">
        <v>159</v>
      </c>
      <c r="EC2" s="35" t="s">
        <v>160</v>
      </c>
      <c r="ED2" s="35" t="s">
        <v>158</v>
      </c>
      <c r="EE2" s="35" t="s">
        <v>159</v>
      </c>
      <c r="EF2" s="35" t="s">
        <v>160</v>
      </c>
      <c r="EG2" s="35" t="s">
        <v>158</v>
      </c>
      <c r="EH2" s="35" t="s">
        <v>159</v>
      </c>
      <c r="EI2" s="35" t="s">
        <v>160</v>
      </c>
      <c r="EJ2" s="35" t="s">
        <v>158</v>
      </c>
      <c r="EK2" s="35" t="s">
        <v>159</v>
      </c>
      <c r="EL2" s="35" t="s">
        <v>160</v>
      </c>
      <c r="EM2" s="35" t="s">
        <v>158</v>
      </c>
      <c r="EN2" s="35" t="s">
        <v>159</v>
      </c>
      <c r="EO2" s="35" t="s">
        <v>160</v>
      </c>
      <c r="EP2" s="35" t="s">
        <v>158</v>
      </c>
      <c r="EQ2" s="35" t="s">
        <v>159</v>
      </c>
      <c r="ER2" s="35" t="s">
        <v>160</v>
      </c>
      <c r="ES2" s="35" t="s">
        <v>158</v>
      </c>
      <c r="ET2" s="35" t="s">
        <v>159</v>
      </c>
      <c r="EU2" s="35" t="s">
        <v>160</v>
      </c>
      <c r="EV2" s="35" t="s">
        <v>158</v>
      </c>
      <c r="EW2" s="35" t="s">
        <v>159</v>
      </c>
      <c r="EX2" s="35" t="s">
        <v>160</v>
      </c>
    </row>
    <row r="3" spans="1:154">
      <c r="A3" s="2">
        <v>1</v>
      </c>
      <c r="B3" s="2" t="s">
        <v>65</v>
      </c>
      <c r="C3" s="37" t="s">
        <v>161</v>
      </c>
      <c r="D3" s="2" t="s">
        <v>162</v>
      </c>
      <c r="E3" s="20">
        <v>878701123</v>
      </c>
      <c r="F3" s="20">
        <v>43126215</v>
      </c>
      <c r="G3" s="38">
        <f>E3/F3</f>
        <v>20.3751041680797</v>
      </c>
      <c r="H3" s="20">
        <v>1212874494</v>
      </c>
      <c r="I3" s="20">
        <v>32153458</v>
      </c>
      <c r="J3" s="38">
        <f>H3/I3</f>
        <v>37.7214324505937</v>
      </c>
      <c r="K3" s="20">
        <v>740363756</v>
      </c>
      <c r="L3" s="20">
        <v>15361715</v>
      </c>
      <c r="M3" s="38">
        <f>K3/L3</f>
        <v>48.1953841742279</v>
      </c>
      <c r="N3" s="20">
        <v>836078476</v>
      </c>
      <c r="O3" s="20">
        <v>26120797</v>
      </c>
      <c r="P3" s="38">
        <f>N3/O3</f>
        <v>32.0081533499916</v>
      </c>
      <c r="Q3" s="20">
        <v>474046000</v>
      </c>
      <c r="R3" s="20">
        <v>13316090</v>
      </c>
      <c r="S3" s="38">
        <f>Q3/R3</f>
        <v>35.5994890391999</v>
      </c>
      <c r="T3" s="20">
        <v>691154544</v>
      </c>
      <c r="U3" s="20">
        <v>18682856</v>
      </c>
      <c r="V3" s="38">
        <f>T3/U3</f>
        <v>36.9940518730113</v>
      </c>
      <c r="W3" s="20">
        <v>442674530</v>
      </c>
      <c r="X3" s="20">
        <v>16566250</v>
      </c>
      <c r="Y3" s="38">
        <f>W3/X3</f>
        <v>26.7214686486079</v>
      </c>
      <c r="Z3" s="20">
        <v>65310431</v>
      </c>
      <c r="AA3" s="20">
        <v>11959537</v>
      </c>
      <c r="AB3" s="38">
        <f>Z3/AA3</f>
        <v>5.46094978426004</v>
      </c>
      <c r="AC3" s="20">
        <v>131726807</v>
      </c>
      <c r="AD3" s="20">
        <v>13448713</v>
      </c>
      <c r="AE3" s="38">
        <f>AC3/AD3</f>
        <v>9.79475188443682</v>
      </c>
      <c r="AF3" s="20">
        <v>216090214</v>
      </c>
      <c r="AG3" s="20">
        <v>14190000</v>
      </c>
      <c r="AH3" s="38">
        <f>AF3/AG3</f>
        <v>15.2283448907681</v>
      </c>
      <c r="AI3" s="20">
        <v>-448665262</v>
      </c>
      <c r="AJ3" s="20">
        <v>17394400</v>
      </c>
      <c r="AK3" s="39">
        <f>AI3/AJ3</f>
        <v>-25.7936612932898</v>
      </c>
      <c r="AL3" s="20">
        <v>254017209</v>
      </c>
      <c r="AM3" s="20">
        <v>13977642</v>
      </c>
      <c r="AN3" s="38">
        <f>AL3/AM3</f>
        <v>18.1731088119155</v>
      </c>
      <c r="AO3" s="20">
        <v>138224145</v>
      </c>
      <c r="AP3" s="20">
        <v>11062862</v>
      </c>
      <c r="AQ3" s="38">
        <f>AO3/AP3</f>
        <v>12.4944291088509</v>
      </c>
      <c r="AR3" s="20">
        <v>235872006</v>
      </c>
      <c r="AS3" s="20">
        <v>6189000</v>
      </c>
      <c r="AT3" s="38">
        <f>AR3/AS3</f>
        <v>38.1114890935531</v>
      </c>
      <c r="AU3" s="20">
        <v>314473722</v>
      </c>
      <c r="AV3" s="20">
        <v>9825000</v>
      </c>
      <c r="AW3" s="38">
        <f>AU3/AV3</f>
        <v>32.0075035114504</v>
      </c>
      <c r="AX3" s="20">
        <v>239705800</v>
      </c>
      <c r="AY3" s="20">
        <v>7839244</v>
      </c>
      <c r="AZ3" s="38">
        <f>AX3/AY3</f>
        <v>30.577667948593</v>
      </c>
      <c r="BA3" s="20">
        <v>209277983</v>
      </c>
      <c r="BB3" s="20">
        <v>7330462</v>
      </c>
      <c r="BC3" s="38">
        <f>BA3/BB3</f>
        <v>28.549085037205</v>
      </c>
      <c r="BD3" s="20">
        <v>103196039</v>
      </c>
      <c r="BE3" s="20">
        <v>10340644</v>
      </c>
      <c r="BF3" s="38">
        <f>BD3/BE3</f>
        <v>9.97965300807184</v>
      </c>
      <c r="BG3" s="20">
        <v>-57948682</v>
      </c>
      <c r="BH3" s="20">
        <v>6283573</v>
      </c>
      <c r="BI3" s="219">
        <f>BG3/BH3</f>
        <v>-9.22225014334997</v>
      </c>
      <c r="BJ3" s="20">
        <v>80331085</v>
      </c>
      <c r="BK3" s="20">
        <v>7008583</v>
      </c>
      <c r="BL3" s="38">
        <f>BJ3/BK3</f>
        <v>11.461815462555</v>
      </c>
      <c r="BM3" s="20">
        <v>96778145</v>
      </c>
      <c r="BN3" s="20">
        <v>7450403</v>
      </c>
      <c r="BO3" s="38">
        <f>BM3/BN3</f>
        <v>12.9896523718247</v>
      </c>
      <c r="BP3" s="20">
        <v>93755043</v>
      </c>
      <c r="BQ3" s="20">
        <v>4974159</v>
      </c>
      <c r="BR3" s="38">
        <f>BP3/BQ3</f>
        <v>18.8484210094611</v>
      </c>
      <c r="BS3" s="20">
        <v>84998000</v>
      </c>
      <c r="BT3" s="20">
        <v>6290515</v>
      </c>
      <c r="BU3" s="38">
        <f>BS3/BT3</f>
        <v>13.5120892327576</v>
      </c>
      <c r="BV3" s="20">
        <v>63841571</v>
      </c>
      <c r="BW3" s="20">
        <v>7214491</v>
      </c>
      <c r="BX3" s="38">
        <f>BV3/BW3</f>
        <v>8.84907486889928</v>
      </c>
      <c r="BY3" s="20">
        <v>52431294</v>
      </c>
      <c r="BZ3" s="20">
        <v>2468657</v>
      </c>
      <c r="CA3" s="38">
        <f>BY3/BZ3</f>
        <v>21.2387925904652</v>
      </c>
      <c r="CB3" s="20">
        <v>114529910</v>
      </c>
      <c r="CC3" s="20">
        <v>3699235</v>
      </c>
      <c r="CD3" s="38">
        <f>CB3/CC3</f>
        <v>30.9604310080327</v>
      </c>
      <c r="CE3" s="20">
        <v>84147308</v>
      </c>
      <c r="CF3" s="20">
        <v>2175625</v>
      </c>
      <c r="CG3" s="38">
        <f>CE3/CF3</f>
        <v>38.6773033036484</v>
      </c>
      <c r="CH3" s="20">
        <v>-10099622</v>
      </c>
      <c r="CI3" s="20">
        <v>2913375</v>
      </c>
      <c r="CJ3" s="49">
        <f>CH3/CI3</f>
        <v>-3.4666398935942</v>
      </c>
      <c r="CK3" s="20">
        <v>117478000</v>
      </c>
      <c r="CL3" s="20">
        <v>2664240</v>
      </c>
      <c r="CM3" s="38">
        <f>CK3/CL3</f>
        <v>44.0943758820527</v>
      </c>
      <c r="CN3" s="20">
        <v>19600136</v>
      </c>
      <c r="CO3" s="20">
        <v>4416621</v>
      </c>
      <c r="CP3" s="49">
        <f>CN3/CO3</f>
        <v>4.43781252681632</v>
      </c>
      <c r="CQ3" s="20">
        <v>44711000</v>
      </c>
      <c r="CR3" s="20">
        <v>783432</v>
      </c>
      <c r="CS3" s="38">
        <f>CQ3/CR3</f>
        <v>57.0706838627986</v>
      </c>
      <c r="CT3" s="20">
        <v>108315081</v>
      </c>
      <c r="CU3" s="20">
        <v>4076923</v>
      </c>
      <c r="CV3" s="38">
        <f>CT3/CU3</f>
        <v>26.567850557884</v>
      </c>
      <c r="CW3" s="20">
        <v>53727146</v>
      </c>
      <c r="CX3" s="20">
        <v>4857600</v>
      </c>
      <c r="CY3" s="38">
        <f>CW3/CX3</f>
        <v>11.0604302536232</v>
      </c>
      <c r="CZ3" s="20">
        <v>94418607</v>
      </c>
      <c r="DA3" s="20">
        <v>3671434</v>
      </c>
      <c r="DB3" s="38">
        <f>CZ3/DA3</f>
        <v>25.7170922860114</v>
      </c>
      <c r="DC3" s="20">
        <v>34245000</v>
      </c>
      <c r="DD3" s="20">
        <v>1061480</v>
      </c>
      <c r="DE3" s="38">
        <f>DC3/DD3</f>
        <v>32.2615593322531</v>
      </c>
      <c r="DF3" s="20">
        <v>84153010</v>
      </c>
      <c r="DG3" s="20">
        <v>2239331</v>
      </c>
      <c r="DH3" s="38">
        <f>DF3/DG3</f>
        <v>37.5795315654541</v>
      </c>
      <c r="DI3" s="20">
        <v>40528411</v>
      </c>
      <c r="DJ3" s="20">
        <v>1485750</v>
      </c>
      <c r="DK3" s="38">
        <f>DI3/DJ3</f>
        <v>27.2780824499411</v>
      </c>
      <c r="DL3" s="20">
        <v>91773292</v>
      </c>
      <c r="DM3" s="20">
        <v>3198182</v>
      </c>
      <c r="DN3" s="38">
        <f>DL3/DM3</f>
        <v>28.6954563561423</v>
      </c>
      <c r="DO3" s="20">
        <v>51198600</v>
      </c>
      <c r="DP3" s="20">
        <v>1224434</v>
      </c>
      <c r="DQ3" s="38">
        <f>DO3/DP3</f>
        <v>41.8140953289438</v>
      </c>
      <c r="DR3" s="20">
        <v>72350985</v>
      </c>
      <c r="DS3" s="20">
        <v>1534455</v>
      </c>
      <c r="DT3" s="38">
        <f>DR3/DS3</f>
        <v>47.1509330674409</v>
      </c>
      <c r="DU3" s="20">
        <v>39583450</v>
      </c>
      <c r="DV3" s="20">
        <v>1158495</v>
      </c>
      <c r="DW3" s="38">
        <f>DU3/DV3</f>
        <v>34.1679938195676</v>
      </c>
      <c r="DX3" s="20">
        <v>66050203</v>
      </c>
      <c r="DY3" s="20">
        <v>2500000</v>
      </c>
      <c r="DZ3" s="38">
        <f>DX3/DY3</f>
        <v>26.4200812</v>
      </c>
      <c r="EA3" s="20">
        <v>3988214</v>
      </c>
      <c r="EB3" s="20">
        <v>1708050</v>
      </c>
      <c r="EC3" s="38">
        <f>EA3/EB3</f>
        <v>2.33495155294049</v>
      </c>
      <c r="ED3" s="20">
        <v>42503094</v>
      </c>
      <c r="EE3" s="20">
        <v>1515545</v>
      </c>
      <c r="EF3" s="38">
        <f>ED3/EE3</f>
        <v>28.0447588161354</v>
      </c>
      <c r="EG3" s="20">
        <v>14650470</v>
      </c>
      <c r="EH3" s="20">
        <v>1700919</v>
      </c>
      <c r="EI3" s="38">
        <f>EG3/EH3</f>
        <v>8.61326729844278</v>
      </c>
      <c r="EJ3" s="20">
        <v>45085740</v>
      </c>
      <c r="EK3" s="20">
        <v>1093750</v>
      </c>
      <c r="EL3" s="38">
        <f>EJ3/EK3</f>
        <v>41.221248</v>
      </c>
      <c r="EM3" s="20">
        <v>9697737</v>
      </c>
      <c r="EN3" s="20">
        <v>843405</v>
      </c>
      <c r="EO3" s="38">
        <f>EM3/EN3</f>
        <v>11.4983157557757</v>
      </c>
      <c r="EP3" s="20">
        <v>13034566</v>
      </c>
      <c r="EQ3" s="20">
        <v>1093750</v>
      </c>
      <c r="ER3" s="38">
        <f>EP3/EQ3</f>
        <v>11.9173174857143</v>
      </c>
      <c r="ES3" s="20">
        <v>15208423</v>
      </c>
      <c r="ET3" s="20">
        <v>1331000</v>
      </c>
      <c r="EU3" s="38">
        <f>ES3/ET3</f>
        <v>11.426313298272</v>
      </c>
      <c r="EV3" s="20">
        <v>14190940</v>
      </c>
      <c r="EW3" s="20">
        <v>228500</v>
      </c>
      <c r="EX3" s="38">
        <f>EV3/EW3</f>
        <v>62.1047702407002</v>
      </c>
    </row>
    <row r="4" spans="1:154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38"/>
      <c r="T4" s="20"/>
      <c r="U4" s="20"/>
      <c r="V4" s="38"/>
      <c r="W4" s="20"/>
      <c r="X4" s="20"/>
      <c r="Y4" s="38"/>
      <c r="Z4" s="20"/>
      <c r="AA4" s="20"/>
      <c r="AB4" s="38"/>
      <c r="AC4" s="20"/>
      <c r="AD4" s="20"/>
      <c r="AE4" s="38"/>
      <c r="AF4" s="20"/>
      <c r="AG4" s="20"/>
      <c r="AH4" s="38"/>
      <c r="AI4" s="20"/>
      <c r="AJ4" s="20"/>
      <c r="AK4" s="39"/>
      <c r="AL4" s="20"/>
      <c r="AM4" s="20"/>
      <c r="AN4" s="38"/>
      <c r="AO4" s="20"/>
      <c r="AP4" s="20"/>
      <c r="AQ4" s="38"/>
      <c r="AR4" s="20"/>
      <c r="AS4" s="20"/>
      <c r="AT4" s="38"/>
      <c r="AU4" s="20"/>
      <c r="AV4" s="20"/>
      <c r="AW4" s="38"/>
      <c r="AX4" s="20"/>
      <c r="AY4" s="20"/>
      <c r="AZ4" s="38"/>
      <c r="BA4" s="20"/>
      <c r="BB4" s="20"/>
      <c r="BC4" s="38"/>
      <c r="BD4" s="20"/>
      <c r="BE4" s="20"/>
      <c r="BF4" s="38"/>
      <c r="BG4" s="20"/>
      <c r="BH4" s="20"/>
      <c r="BI4" s="219"/>
      <c r="BJ4" s="20"/>
      <c r="BK4" s="20"/>
      <c r="BL4" s="38"/>
      <c r="BM4" s="20"/>
      <c r="BN4" s="20"/>
      <c r="BO4" s="38"/>
      <c r="BP4" s="20"/>
      <c r="BQ4" s="20"/>
      <c r="BR4" s="38"/>
      <c r="BS4" s="20"/>
      <c r="BT4" s="20"/>
      <c r="BU4" s="38"/>
      <c r="BV4" s="20"/>
      <c r="BW4" s="20"/>
      <c r="BX4" s="38"/>
      <c r="BY4" s="20"/>
      <c r="BZ4" s="20"/>
      <c r="CA4" s="38"/>
      <c r="CB4" s="20"/>
      <c r="CC4" s="20"/>
      <c r="CD4" s="38"/>
      <c r="CE4" s="20"/>
      <c r="CF4" s="20"/>
      <c r="CG4" s="38"/>
      <c r="CH4" s="20"/>
      <c r="CI4" s="20"/>
      <c r="CJ4" s="49"/>
      <c r="CK4" s="20"/>
      <c r="CL4" s="20"/>
      <c r="CM4" s="38"/>
      <c r="CN4" s="20"/>
      <c r="CO4" s="20"/>
      <c r="CP4" s="49"/>
      <c r="CQ4" s="20"/>
      <c r="CR4" s="20"/>
      <c r="CS4" s="38"/>
      <c r="CT4" s="20"/>
      <c r="CU4" s="20"/>
      <c r="CV4" s="38"/>
      <c r="CW4" s="20"/>
      <c r="CX4" s="20"/>
      <c r="CY4" s="38"/>
      <c r="CZ4" s="20"/>
      <c r="DA4" s="20"/>
      <c r="DB4" s="38"/>
      <c r="DC4" s="20"/>
      <c r="DD4" s="20"/>
      <c r="DE4" s="38"/>
      <c r="DF4" s="20"/>
      <c r="DG4" s="20"/>
      <c r="DH4" s="38"/>
      <c r="DI4" s="20"/>
      <c r="DJ4" s="20"/>
      <c r="DK4" s="38"/>
      <c r="DL4" s="20"/>
      <c r="DM4" s="20"/>
      <c r="DN4" s="38"/>
      <c r="DO4" s="20"/>
      <c r="DP4" s="20"/>
      <c r="DQ4" s="38"/>
      <c r="DR4" s="20"/>
      <c r="DS4" s="20"/>
      <c r="DT4" s="38"/>
      <c r="DU4" s="20"/>
      <c r="DV4" s="20"/>
      <c r="DW4" s="38"/>
      <c r="DX4" s="20"/>
      <c r="DY4" s="20"/>
      <c r="DZ4" s="38"/>
      <c r="EA4" s="20"/>
      <c r="EB4" s="20"/>
      <c r="EC4" s="38"/>
      <c r="ED4" s="20"/>
      <c r="EE4" s="20"/>
      <c r="EF4" s="38"/>
      <c r="EG4" s="20"/>
      <c r="EH4" s="20"/>
      <c r="EI4" s="38"/>
      <c r="EJ4" s="20"/>
      <c r="EK4" s="20"/>
      <c r="EL4" s="38"/>
      <c r="EM4" s="20"/>
      <c r="EN4" s="20"/>
      <c r="EO4" s="38"/>
      <c r="EP4" s="20"/>
      <c r="EQ4" s="20"/>
      <c r="ER4" s="38"/>
      <c r="ES4" s="20"/>
      <c r="ET4" s="20"/>
      <c r="EU4" s="38"/>
      <c r="EV4" s="20"/>
      <c r="EW4" s="20"/>
      <c r="EX4" s="38"/>
    </row>
    <row r="5" spans="1:154">
      <c r="A5" s="2"/>
      <c r="D5" s="2"/>
      <c r="E5" s="78"/>
      <c r="F5" s="20"/>
      <c r="G5" s="38"/>
      <c r="H5" s="78"/>
      <c r="I5" s="20"/>
      <c r="J5" s="38"/>
      <c r="K5" s="78" t="s">
        <v>614</v>
      </c>
      <c r="L5" s="20"/>
      <c r="M5" s="38"/>
      <c r="N5" s="78"/>
      <c r="O5" s="20"/>
      <c r="P5" s="38"/>
      <c r="Q5" s="78"/>
      <c r="R5" s="20"/>
      <c r="S5" s="38"/>
      <c r="T5" s="78"/>
      <c r="U5" s="20"/>
      <c r="V5" s="38"/>
      <c r="W5" s="78"/>
      <c r="X5" s="20"/>
      <c r="Y5" s="38"/>
      <c r="Z5" s="78"/>
      <c r="AA5" s="20"/>
      <c r="AB5" s="38"/>
      <c r="AC5" s="78"/>
      <c r="AD5" s="20"/>
      <c r="AE5" s="38"/>
      <c r="AF5" s="78"/>
      <c r="AG5" s="20"/>
      <c r="AH5" s="38"/>
      <c r="AI5" s="78"/>
      <c r="AJ5" s="20"/>
      <c r="AK5" s="38"/>
      <c r="AL5" s="78"/>
      <c r="AM5" s="20"/>
      <c r="AN5" s="38"/>
      <c r="AO5" s="78"/>
      <c r="AP5" s="20"/>
      <c r="AQ5" s="38"/>
      <c r="AR5" s="78"/>
      <c r="AS5" s="20"/>
      <c r="AT5" s="38"/>
      <c r="AU5" s="78"/>
      <c r="AV5" s="20"/>
      <c r="AW5" s="38"/>
      <c r="AX5" s="78"/>
      <c r="AY5" s="20"/>
      <c r="AZ5" s="38"/>
      <c r="BA5" s="78"/>
      <c r="BB5" s="20"/>
      <c r="BC5" s="38"/>
      <c r="BD5" s="78"/>
      <c r="BE5" s="20"/>
      <c r="BF5" s="38"/>
      <c r="BG5" s="78" t="s">
        <v>402</v>
      </c>
      <c r="BH5" s="20"/>
      <c r="BI5" s="38"/>
      <c r="BJ5" s="78" t="s">
        <v>615</v>
      </c>
      <c r="BK5" s="20"/>
      <c r="BL5" s="38"/>
      <c r="BM5" s="78"/>
      <c r="BN5" s="20"/>
      <c r="BO5" s="38"/>
      <c r="BP5" s="78"/>
      <c r="BQ5" s="20"/>
      <c r="BR5" s="38"/>
      <c r="BS5" s="78"/>
      <c r="BT5" s="20"/>
      <c r="BU5" s="38"/>
      <c r="BV5" s="78"/>
      <c r="BW5" s="20"/>
      <c r="BX5" s="38"/>
      <c r="BY5" s="78" t="s">
        <v>544</v>
      </c>
      <c r="BZ5" s="20"/>
      <c r="CA5" s="38"/>
      <c r="CB5" s="78"/>
      <c r="CC5" s="20"/>
      <c r="CD5" s="38"/>
      <c r="CE5" s="78"/>
      <c r="CF5" s="20"/>
      <c r="CG5" s="38"/>
      <c r="CH5" s="78"/>
      <c r="CI5" s="20"/>
      <c r="CJ5" s="38"/>
      <c r="CK5" s="78"/>
      <c r="CL5" s="20"/>
      <c r="CM5" s="38"/>
      <c r="CN5" s="78" t="s">
        <v>616</v>
      </c>
      <c r="CO5" s="20"/>
      <c r="CP5" s="38"/>
      <c r="CQ5" s="78"/>
      <c r="CR5" s="20"/>
      <c r="CS5" s="38"/>
      <c r="CT5" s="78"/>
      <c r="CU5" s="20"/>
      <c r="CV5" s="38"/>
      <c r="CW5" s="220" t="s">
        <v>544</v>
      </c>
      <c r="CX5" s="20"/>
      <c r="CY5" s="38"/>
      <c r="CZ5" s="20"/>
      <c r="DA5" s="20"/>
      <c r="DB5" s="38"/>
      <c r="DC5" s="20"/>
      <c r="DD5" s="20"/>
      <c r="DE5" s="38"/>
      <c r="DF5" s="20"/>
      <c r="DG5" s="20"/>
      <c r="DH5" s="38"/>
      <c r="DI5" s="20"/>
      <c r="DJ5" s="20"/>
      <c r="DK5" s="38"/>
      <c r="DL5" s="20"/>
      <c r="DM5" s="20"/>
      <c r="DN5" s="38"/>
      <c r="DO5" s="20"/>
      <c r="DP5" s="20"/>
      <c r="DQ5" s="38"/>
      <c r="DR5" s="20"/>
      <c r="DS5" s="20"/>
      <c r="DT5" s="38"/>
      <c r="DU5" s="20"/>
      <c r="DV5" s="20"/>
      <c r="DW5" s="38"/>
      <c r="DX5" s="221" t="s">
        <v>545</v>
      </c>
      <c r="DY5" s="221" t="s">
        <v>617</v>
      </c>
      <c r="DZ5" s="38"/>
      <c r="EA5" s="221" t="s">
        <v>545</v>
      </c>
      <c r="EB5" s="20"/>
      <c r="EC5" s="38"/>
      <c r="ED5" s="52"/>
      <c r="EE5" s="20"/>
      <c r="EF5" s="38"/>
      <c r="EG5" s="52"/>
      <c r="EH5" s="20"/>
      <c r="EI5" s="38"/>
      <c r="EJ5" s="52"/>
      <c r="EK5" s="20"/>
      <c r="EL5" s="38"/>
      <c r="EM5" s="52"/>
      <c r="EN5" s="20"/>
      <c r="EO5" s="38"/>
      <c r="EP5" s="221" t="s">
        <v>545</v>
      </c>
      <c r="EQ5" s="20"/>
      <c r="ER5" s="38"/>
      <c r="ES5" s="221" t="s">
        <v>545</v>
      </c>
      <c r="ET5" s="20"/>
      <c r="EU5" s="38"/>
      <c r="EV5" s="20"/>
      <c r="EW5" s="20"/>
      <c r="EX5" s="38"/>
    </row>
    <row r="6" spans="1:154">
      <c r="A6" s="2">
        <v>2</v>
      </c>
      <c r="B6" s="41" t="s">
        <v>166</v>
      </c>
      <c r="C6" s="37" t="s">
        <v>167</v>
      </c>
      <c r="D6" s="2" t="s">
        <v>168</v>
      </c>
      <c r="E6" s="20">
        <v>878</v>
      </c>
      <c r="F6" s="42">
        <f>G3</f>
        <v>20.3751041680797</v>
      </c>
      <c r="G6" s="38">
        <f>E6/F6</f>
        <v>43.0918042311413</v>
      </c>
      <c r="H6" s="20">
        <v>1048</v>
      </c>
      <c r="I6" s="42">
        <f>J3</f>
        <v>37.7214324505937</v>
      </c>
      <c r="J6" s="38">
        <f>H6/I6</f>
        <v>27.7826140715265</v>
      </c>
      <c r="K6" s="20">
        <v>1465</v>
      </c>
      <c r="L6" s="42">
        <f>M3</f>
        <v>48.1953841742279</v>
      </c>
      <c r="M6" s="38">
        <f>K6/L6</f>
        <v>30.397101820041</v>
      </c>
      <c r="N6" s="20">
        <v>790</v>
      </c>
      <c r="O6" s="42">
        <f>P3</f>
        <v>32.0081533499916</v>
      </c>
      <c r="P6" s="38">
        <f>N6/O6</f>
        <v>24.6812114201586</v>
      </c>
      <c r="Q6" s="20">
        <v>1305</v>
      </c>
      <c r="R6" s="42">
        <f>S3</f>
        <v>35.5994890391999</v>
      </c>
      <c r="S6" s="38">
        <f>Q6/R6</f>
        <v>36.6578295144353</v>
      </c>
      <c r="T6" s="20">
        <v>894</v>
      </c>
      <c r="U6" s="42">
        <f>V3</f>
        <v>36.9940518730113</v>
      </c>
      <c r="V6" s="38">
        <f>T6/U6</f>
        <v>24.1660471004586</v>
      </c>
      <c r="W6" s="20">
        <v>894</v>
      </c>
      <c r="X6" s="42">
        <f>Y3</f>
        <v>26.7214686486079</v>
      </c>
      <c r="Y6" s="38">
        <f>W6/X6</f>
        <v>33.456244930107</v>
      </c>
      <c r="Z6" s="20">
        <v>1136</v>
      </c>
      <c r="AA6" s="42">
        <f>AB3</f>
        <v>5.46094978426004</v>
      </c>
      <c r="AB6" s="49">
        <f>Z6/AA6</f>
        <v>208.022421900722</v>
      </c>
      <c r="AC6" s="20">
        <v>870</v>
      </c>
      <c r="AD6" s="42">
        <f>AE3</f>
        <v>9.79475188443682</v>
      </c>
      <c r="AE6" s="38">
        <f>AC6/AD6</f>
        <v>88.8230769155439</v>
      </c>
      <c r="AF6" s="20">
        <v>846</v>
      </c>
      <c r="AG6" s="42">
        <f>AH3</f>
        <v>15.2283448907681</v>
      </c>
      <c r="AH6" s="38">
        <f>AF6/AG6</f>
        <v>55.5542973362042</v>
      </c>
      <c r="AI6" s="20">
        <v>617</v>
      </c>
      <c r="AJ6" s="42">
        <f>AK3</f>
        <v>-25.7936612932898</v>
      </c>
      <c r="AK6" s="39">
        <f>AI6/AJ6</f>
        <v>-23.9206056474236</v>
      </c>
      <c r="AL6" s="20">
        <v>684</v>
      </c>
      <c r="AM6" s="42">
        <f>AN3</f>
        <v>18.1731088119155</v>
      </c>
      <c r="AN6" s="38">
        <f>AL6/AM6</f>
        <v>37.638029193526</v>
      </c>
      <c r="AO6" s="20">
        <v>741</v>
      </c>
      <c r="AP6" s="42">
        <f>AQ3</f>
        <v>12.4944291088509</v>
      </c>
      <c r="AQ6" s="38">
        <f>AO6/AP6</f>
        <v>59.3064311738011</v>
      </c>
      <c r="AR6" s="20">
        <v>1301</v>
      </c>
      <c r="AS6" s="42">
        <f>AT3</f>
        <v>38.1114890935531</v>
      </c>
      <c r="AT6" s="38">
        <f>AR6/AS6</f>
        <v>34.1366876745857</v>
      </c>
      <c r="AU6" s="20">
        <v>786</v>
      </c>
      <c r="AV6" s="42">
        <f>AW3</f>
        <v>32.0075035114504</v>
      </c>
      <c r="AW6" s="38">
        <f>AU6/AV6</f>
        <v>24.5567418189555</v>
      </c>
      <c r="AX6" s="20">
        <v>952</v>
      </c>
      <c r="AY6" s="42">
        <f>AZ3</f>
        <v>30.577667948593</v>
      </c>
      <c r="AZ6" s="38">
        <f>AX6/AY6</f>
        <v>31.1338327566542</v>
      </c>
      <c r="BA6" s="20">
        <v>983</v>
      </c>
      <c r="BB6" s="42">
        <f>BC3</f>
        <v>28.549085037205</v>
      </c>
      <c r="BC6" s="38">
        <f>BA6/BB6</f>
        <v>34.4319265825493</v>
      </c>
      <c r="BD6" s="20">
        <v>686</v>
      </c>
      <c r="BE6" s="42">
        <f>BF3</f>
        <v>9.97965300807184</v>
      </c>
      <c r="BF6" s="38">
        <f>BD6/BE6</f>
        <v>68.7398649477234</v>
      </c>
      <c r="BG6" s="20">
        <v>1138</v>
      </c>
      <c r="BH6" s="42">
        <f>BI3</f>
        <v>-9.22225014334997</v>
      </c>
      <c r="BI6" s="219">
        <f>BG6/BH6</f>
        <v>-123.397216764999</v>
      </c>
      <c r="BJ6" s="20">
        <v>918</v>
      </c>
      <c r="BK6" s="42">
        <f>BL3</f>
        <v>11.461815462555</v>
      </c>
      <c r="BL6" s="38">
        <f>BJ6/BK6</f>
        <v>80.0920240776033</v>
      </c>
      <c r="BM6" s="20">
        <v>826</v>
      </c>
      <c r="BN6" s="42">
        <f>BO3</f>
        <v>12.9896523718247</v>
      </c>
      <c r="BO6" s="38">
        <f>BM6/BN6</f>
        <v>63.5890766246863</v>
      </c>
      <c r="BP6" s="20">
        <v>1219</v>
      </c>
      <c r="BQ6" s="42">
        <f>BR3</f>
        <v>18.8484210094611</v>
      </c>
      <c r="BR6" s="38">
        <f>BP6/BQ6</f>
        <v>64.673852488127</v>
      </c>
      <c r="BS6" s="20">
        <v>923</v>
      </c>
      <c r="BT6" s="42">
        <f>BU3</f>
        <v>13.5120892327576</v>
      </c>
      <c r="BU6" s="38">
        <f>BS6/BT6</f>
        <v>68.3091995694016</v>
      </c>
      <c r="BV6" s="20">
        <v>712</v>
      </c>
      <c r="BW6" s="42">
        <f>BX3</f>
        <v>8.84907486889928</v>
      </c>
      <c r="BX6" s="38">
        <f>BV6/BW6</f>
        <v>80.4603882946427</v>
      </c>
      <c r="BY6" s="20">
        <v>2165</v>
      </c>
      <c r="BZ6" s="42">
        <f>CA3</f>
        <v>21.2387925904652</v>
      </c>
      <c r="CA6" s="38">
        <f>BY6/BZ6</f>
        <v>101.936114813417</v>
      </c>
      <c r="CB6" s="20">
        <v>1527</v>
      </c>
      <c r="CC6" s="42">
        <f>CD3</f>
        <v>30.9604310080327</v>
      </c>
      <c r="CD6" s="38">
        <f>CB6/CC6</f>
        <v>49.3210188063537</v>
      </c>
      <c r="CE6" s="20">
        <v>2194</v>
      </c>
      <c r="CF6" s="42">
        <f>CG3</f>
        <v>38.6773033036484</v>
      </c>
      <c r="CG6" s="38">
        <f>CE6/CF6</f>
        <v>56.7257748756502</v>
      </c>
      <c r="CH6" s="20">
        <v>1605</v>
      </c>
      <c r="CI6" s="42">
        <f>CJ3</f>
        <v>-3.4666398935942</v>
      </c>
      <c r="CJ6" s="39">
        <f>CH6/CI6</f>
        <v>-462.984344859639</v>
      </c>
      <c r="CK6" s="20">
        <v>1738</v>
      </c>
      <c r="CL6" s="42">
        <f>CM3</f>
        <v>44.0943758820527</v>
      </c>
      <c r="CM6" s="38">
        <f>CK6/CL6</f>
        <v>39.4154575324742</v>
      </c>
      <c r="CN6" s="20">
        <v>1063</v>
      </c>
      <c r="CO6" s="42">
        <f>CP3</f>
        <v>4.43781252681632</v>
      </c>
      <c r="CP6" s="49">
        <f>CN6/CO6</f>
        <v>239.532425846433</v>
      </c>
      <c r="CQ6" s="20">
        <v>5833</v>
      </c>
      <c r="CR6" s="42">
        <f>CS3</f>
        <v>57.0706838627986</v>
      </c>
      <c r="CS6" s="38">
        <f>CQ6/CR6</f>
        <v>102.206590235065</v>
      </c>
      <c r="CT6" s="20">
        <v>1077</v>
      </c>
      <c r="CU6" s="42">
        <f>CV3</f>
        <v>26.567850557884</v>
      </c>
      <c r="CV6" s="38">
        <f>CT6/CU6</f>
        <v>40.5377167284766</v>
      </c>
      <c r="CW6" s="20">
        <v>849</v>
      </c>
      <c r="CX6" s="42">
        <f>CY3</f>
        <v>11.0604302536232</v>
      </c>
      <c r="CY6" s="38">
        <f>CW6/CX6</f>
        <v>76.7601242023911</v>
      </c>
      <c r="CZ6" s="20">
        <v>1070</v>
      </c>
      <c r="DA6" s="42">
        <f>DB3</f>
        <v>25.7170922860114</v>
      </c>
      <c r="DB6" s="38">
        <f>CZ6/DA6</f>
        <v>41.6065699846641</v>
      </c>
      <c r="DC6" s="20">
        <v>3575</v>
      </c>
      <c r="DD6" s="42">
        <f>DE3</f>
        <v>32.2615593322531</v>
      </c>
      <c r="DE6" s="49">
        <f>DC6/DD6</f>
        <v>110.812994597751</v>
      </c>
      <c r="DF6" s="20">
        <v>2194</v>
      </c>
      <c r="DG6" s="42">
        <f>DH3</f>
        <v>37.5795315654541</v>
      </c>
      <c r="DH6" s="38">
        <f>DF6/DG6</f>
        <v>58.3828458898856</v>
      </c>
      <c r="DI6" s="20">
        <v>2175</v>
      </c>
      <c r="DJ6" s="42">
        <f>DK3</f>
        <v>27.2780824499411</v>
      </c>
      <c r="DK6" s="38">
        <f>DI6/DJ6</f>
        <v>79.7343436435245</v>
      </c>
      <c r="DL6" s="20">
        <v>988</v>
      </c>
      <c r="DM6" s="42">
        <f>DN3</f>
        <v>28.6954563561423</v>
      </c>
      <c r="DN6" s="38">
        <f>DL6/DM6</f>
        <v>34.4305379826628</v>
      </c>
      <c r="DO6" s="20">
        <v>2289</v>
      </c>
      <c r="DP6" s="42">
        <f>DQ3</f>
        <v>41.8140953289438</v>
      </c>
      <c r="DQ6" s="38">
        <f>DO6/DP6</f>
        <v>54.7423059614911</v>
      </c>
      <c r="DR6" s="20">
        <v>1790</v>
      </c>
      <c r="DS6" s="42">
        <f>DT3</f>
        <v>47.1509330674409</v>
      </c>
      <c r="DT6" s="38">
        <f>DR6/DS6</f>
        <v>37.9631935902462</v>
      </c>
      <c r="DU6" s="20">
        <v>2260</v>
      </c>
      <c r="DV6" s="42">
        <f>DW3</f>
        <v>34.1679938195676</v>
      </c>
      <c r="DW6" s="38">
        <f>DU6/DV6</f>
        <v>66.1437722078293</v>
      </c>
      <c r="DX6" s="222">
        <v>1023</v>
      </c>
      <c r="DY6" s="42">
        <f>DZ3</f>
        <v>26.4200812</v>
      </c>
      <c r="DZ6" s="38">
        <f>DX6/DY6</f>
        <v>38.7205471571374</v>
      </c>
      <c r="EA6" s="20">
        <v>1573</v>
      </c>
      <c r="EB6" s="42">
        <f>EC3</f>
        <v>2.33495155294049</v>
      </c>
      <c r="EC6" s="39">
        <f>EA6/EB6</f>
        <v>673.675647796232</v>
      </c>
      <c r="ED6" s="20">
        <v>1583</v>
      </c>
      <c r="EE6" s="42">
        <f>EF3</f>
        <v>28.0447588161354</v>
      </c>
      <c r="EF6" s="38">
        <f>ED6/EE6</f>
        <v>56.4454845334319</v>
      </c>
      <c r="EG6" s="20">
        <v>1263</v>
      </c>
      <c r="EH6" s="42">
        <f>EI3</f>
        <v>8.61326729844278</v>
      </c>
      <c r="EI6" s="43">
        <f>EG6/EH6</f>
        <v>146.634251119589</v>
      </c>
      <c r="EJ6" s="20">
        <v>1950</v>
      </c>
      <c r="EK6" s="42">
        <f>EL3</f>
        <v>41.221248</v>
      </c>
      <c r="EL6" s="38">
        <f>EJ6/EK6</f>
        <v>47.3057002058744</v>
      </c>
      <c r="EM6" s="20">
        <v>2180</v>
      </c>
      <c r="EN6" s="42">
        <f>EO3</f>
        <v>11.4983157557757</v>
      </c>
      <c r="EO6" s="49">
        <f>EM6/EN6</f>
        <v>189.592984425129</v>
      </c>
      <c r="EP6" s="20">
        <v>1585</v>
      </c>
      <c r="EQ6" s="42">
        <f>ER3</f>
        <v>11.9173174857143</v>
      </c>
      <c r="ER6" s="49">
        <f>EP6/EQ6</f>
        <v>132.999729335062</v>
      </c>
      <c r="ES6" s="20">
        <v>1500</v>
      </c>
      <c r="ET6" s="42">
        <f>EU3</f>
        <v>11.426313298272</v>
      </c>
      <c r="EU6" s="49">
        <f>ES6/ET6</f>
        <v>131.275938340221</v>
      </c>
      <c r="EV6" s="20">
        <v>2837</v>
      </c>
      <c r="EW6" s="42">
        <f>EX3</f>
        <v>62.1047702407002</v>
      </c>
      <c r="EX6" s="38">
        <f>EV6/EW6</f>
        <v>45.6808710346179</v>
      </c>
    </row>
    <row r="7" spans="1:154">
      <c r="A7" s="2"/>
      <c r="B7" s="41"/>
      <c r="C7" s="2" t="s">
        <v>169</v>
      </c>
      <c r="D7" s="2"/>
      <c r="E7" s="20"/>
      <c r="F7" s="42"/>
      <c r="G7" s="38"/>
      <c r="H7" s="20"/>
      <c r="I7" s="42"/>
      <c r="J7" s="38"/>
      <c r="K7" s="20"/>
      <c r="L7" s="42"/>
      <c r="M7" s="38"/>
      <c r="N7" s="20"/>
      <c r="O7" s="42"/>
      <c r="P7" s="38"/>
      <c r="Q7" s="20"/>
      <c r="R7" s="42"/>
      <c r="S7" s="38"/>
      <c r="T7" s="20"/>
      <c r="U7" s="42"/>
      <c r="V7" s="38"/>
      <c r="W7" s="20"/>
      <c r="X7" s="42"/>
      <c r="Y7" s="38"/>
      <c r="Z7" s="20"/>
      <c r="AA7" s="42"/>
      <c r="AB7" s="49"/>
      <c r="AC7" s="20"/>
      <c r="AD7" s="42"/>
      <c r="AE7" s="38"/>
      <c r="AF7" s="20"/>
      <c r="AG7" s="42"/>
      <c r="AH7" s="38"/>
      <c r="AI7" s="20"/>
      <c r="AJ7" s="42"/>
      <c r="AK7" s="39"/>
      <c r="AL7" s="20"/>
      <c r="AM7" s="42"/>
      <c r="AN7" s="38"/>
      <c r="AO7" s="20"/>
      <c r="AP7" s="42"/>
      <c r="AQ7" s="38"/>
      <c r="AR7" s="20"/>
      <c r="AS7" s="42"/>
      <c r="AT7" s="38"/>
      <c r="AU7" s="20"/>
      <c r="AV7" s="42"/>
      <c r="AW7" s="38"/>
      <c r="AX7" s="20"/>
      <c r="AY7" s="42"/>
      <c r="AZ7" s="38"/>
      <c r="BA7" s="20"/>
      <c r="BB7" s="42"/>
      <c r="BC7" s="38"/>
      <c r="BD7" s="20"/>
      <c r="BE7" s="42"/>
      <c r="BF7" s="38"/>
      <c r="BG7" s="20"/>
      <c r="BH7" s="42"/>
      <c r="BI7" s="219"/>
      <c r="BJ7" s="20"/>
      <c r="BK7" s="42"/>
      <c r="BL7" s="38"/>
      <c r="BM7" s="20"/>
      <c r="BN7" s="42"/>
      <c r="BO7" s="38"/>
      <c r="BP7" s="20"/>
      <c r="BQ7" s="42"/>
      <c r="BR7" s="38"/>
      <c r="BS7" s="20"/>
      <c r="BT7" s="42"/>
      <c r="BU7" s="38"/>
      <c r="BV7" s="20"/>
      <c r="BW7" s="42"/>
      <c r="BX7" s="38"/>
      <c r="BY7" s="20"/>
      <c r="BZ7" s="42"/>
      <c r="CA7" s="38"/>
      <c r="CB7" s="20"/>
      <c r="CC7" s="42"/>
      <c r="CD7" s="38"/>
      <c r="CE7" s="20"/>
      <c r="CF7" s="42"/>
      <c r="CG7" s="38"/>
      <c r="CH7" s="20"/>
      <c r="CI7" s="42"/>
      <c r="CJ7" s="39"/>
      <c r="CK7" s="20"/>
      <c r="CL7" s="42"/>
      <c r="CM7" s="38"/>
      <c r="CN7" s="20"/>
      <c r="CO7" s="42"/>
      <c r="CP7" s="49"/>
      <c r="CQ7" s="20"/>
      <c r="CR7" s="42"/>
      <c r="CS7" s="38"/>
      <c r="CT7" s="20"/>
      <c r="CU7" s="42"/>
      <c r="CV7" s="38"/>
      <c r="CW7" s="20"/>
      <c r="CX7" s="42"/>
      <c r="CY7" s="38"/>
      <c r="CZ7" s="20"/>
      <c r="DA7" s="42"/>
      <c r="DB7" s="38"/>
      <c r="DC7" s="20"/>
      <c r="DD7" s="42"/>
      <c r="DE7" s="49"/>
      <c r="DF7" s="20"/>
      <c r="DG7" s="42"/>
      <c r="DH7" s="38"/>
      <c r="DI7" s="20"/>
      <c r="DJ7" s="42"/>
      <c r="DK7" s="38"/>
      <c r="DL7" s="20"/>
      <c r="DM7" s="42"/>
      <c r="DN7" s="38"/>
      <c r="DO7" s="20"/>
      <c r="DP7" s="42"/>
      <c r="DQ7" s="38"/>
      <c r="DR7" s="20"/>
      <c r="DS7" s="42"/>
      <c r="DT7" s="38"/>
      <c r="DU7" s="20"/>
      <c r="DV7" s="42"/>
      <c r="DW7" s="38"/>
      <c r="DX7" s="222"/>
      <c r="DY7" s="42"/>
      <c r="DZ7" s="38"/>
      <c r="EA7" s="20"/>
      <c r="EB7" s="42"/>
      <c r="EC7" s="39"/>
      <c r="ED7" s="20"/>
      <c r="EE7" s="42"/>
      <c r="EF7" s="38"/>
      <c r="EG7" s="20"/>
      <c r="EH7" s="42"/>
      <c r="EI7" s="43"/>
      <c r="EJ7" s="20"/>
      <c r="EK7" s="42"/>
      <c r="EL7" s="38"/>
      <c r="EM7" s="20"/>
      <c r="EN7" s="42"/>
      <c r="EO7" s="49"/>
      <c r="EP7" s="20"/>
      <c r="EQ7" s="42"/>
      <c r="ER7" s="49"/>
      <c r="ES7" s="20"/>
      <c r="ET7" s="42"/>
      <c r="EU7" s="49"/>
      <c r="EV7" s="20"/>
      <c r="EW7" s="42"/>
      <c r="EX7" s="38"/>
    </row>
    <row r="8" spans="1:154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  <c r="AI8" s="20"/>
      <c r="AJ8" s="42"/>
      <c r="AK8" s="38"/>
      <c r="AL8" s="20"/>
      <c r="AM8" s="42"/>
      <c r="AN8" s="38"/>
      <c r="AO8" s="20"/>
      <c r="AP8" s="42"/>
      <c r="AQ8" s="38"/>
      <c r="AR8" s="20"/>
      <c r="AS8" s="42"/>
      <c r="AT8" s="38"/>
      <c r="AU8" s="20"/>
      <c r="AV8" s="42"/>
      <c r="AW8" s="38"/>
      <c r="AX8" s="20"/>
      <c r="AY8" s="42"/>
      <c r="AZ8" s="38"/>
      <c r="BA8" s="20"/>
      <c r="BB8" s="42"/>
      <c r="BC8" s="38"/>
      <c r="BD8" s="20"/>
      <c r="BE8" s="42"/>
      <c r="BF8" s="38"/>
      <c r="BG8" s="20"/>
      <c r="BH8" s="42"/>
      <c r="BI8" s="38"/>
      <c r="BJ8" s="20"/>
      <c r="BK8" s="42"/>
      <c r="BL8" s="38"/>
      <c r="BM8" s="20"/>
      <c r="BN8" s="42"/>
      <c r="BO8" s="38"/>
      <c r="BP8" s="20"/>
      <c r="BQ8" s="42"/>
      <c r="BR8" s="38"/>
      <c r="BS8" s="20"/>
      <c r="BT8" s="42"/>
      <c r="BU8" s="38"/>
      <c r="BV8" s="20"/>
      <c r="BW8" s="42"/>
      <c r="BX8" s="38"/>
      <c r="BY8" s="20"/>
      <c r="BZ8" s="42"/>
      <c r="CA8" s="38"/>
      <c r="CB8" s="20"/>
      <c r="CC8" s="42"/>
      <c r="CD8" s="38"/>
      <c r="CE8" s="20"/>
      <c r="CF8" s="42"/>
      <c r="CG8" s="38"/>
      <c r="CH8" s="20"/>
      <c r="CI8" s="42"/>
      <c r="CJ8" s="38"/>
      <c r="CK8" s="20"/>
      <c r="CL8" s="42"/>
      <c r="CM8" s="38"/>
      <c r="CN8" s="20"/>
      <c r="CO8" s="42"/>
      <c r="CP8" s="38"/>
      <c r="CQ8" s="20"/>
      <c r="CR8" s="42"/>
      <c r="CS8" s="38"/>
      <c r="CT8" s="20"/>
      <c r="CU8" s="42"/>
      <c r="CV8" s="38"/>
      <c r="CW8" s="20"/>
      <c r="CX8" s="42"/>
      <c r="CY8" s="38"/>
      <c r="CZ8" s="20"/>
      <c r="DA8" s="42"/>
      <c r="DB8" s="38"/>
      <c r="DC8" s="20"/>
      <c r="DD8" s="42"/>
      <c r="DE8" s="38"/>
      <c r="DF8" s="20"/>
      <c r="DG8" s="42"/>
      <c r="DH8" s="38"/>
      <c r="DI8" s="20"/>
      <c r="DJ8" s="42"/>
      <c r="DK8" s="38"/>
      <c r="DL8" s="20"/>
      <c r="DM8" s="42"/>
      <c r="DN8" s="38"/>
      <c r="DO8" s="20"/>
      <c r="DP8" s="42"/>
      <c r="DQ8" s="38"/>
      <c r="DR8" s="20"/>
      <c r="DS8" s="42"/>
      <c r="DT8" s="38"/>
      <c r="DU8" s="20"/>
      <c r="DV8" s="42"/>
      <c r="DW8" s="38"/>
      <c r="DX8" s="222"/>
      <c r="DY8" s="42"/>
      <c r="DZ8" s="38"/>
      <c r="EA8" s="20"/>
      <c r="EB8" s="42"/>
      <c r="EC8" s="38"/>
      <c r="ED8" s="20"/>
      <c r="EE8" s="42"/>
      <c r="EF8" s="38"/>
      <c r="EG8" s="20"/>
      <c r="EH8" s="42"/>
      <c r="EI8" s="38"/>
      <c r="EJ8" s="20"/>
      <c r="EK8" s="42"/>
      <c r="EL8" s="38"/>
      <c r="EM8" s="20"/>
      <c r="EN8" s="42"/>
      <c r="EO8" s="38"/>
      <c r="EP8" s="20"/>
      <c r="EQ8" s="42"/>
      <c r="ER8" s="38"/>
      <c r="ES8" s="20"/>
      <c r="ET8" s="42"/>
      <c r="EU8" s="38"/>
      <c r="EV8" s="20"/>
      <c r="EW8" s="42"/>
      <c r="EX8" s="38"/>
    </row>
    <row r="9" spans="1:154">
      <c r="A9" s="2">
        <v>3</v>
      </c>
      <c r="B9" s="2" t="s">
        <v>170</v>
      </c>
      <c r="C9" s="2" t="s">
        <v>171</v>
      </c>
      <c r="D9" s="2" t="s">
        <v>172</v>
      </c>
      <c r="E9" s="82">
        <f>E3</f>
        <v>878701123</v>
      </c>
      <c r="F9" s="82">
        <v>921944431</v>
      </c>
      <c r="G9" s="38">
        <f>((E9-F9)/F9)*100</f>
        <v>-4.69044625098451</v>
      </c>
      <c r="H9" s="82">
        <f>H3</f>
        <v>1212874494</v>
      </c>
      <c r="I9" s="82">
        <v>944415879</v>
      </c>
      <c r="J9" s="38">
        <f>((H9-I9)/I9)*100</f>
        <v>28.4258895862974</v>
      </c>
      <c r="K9" s="82">
        <f>K3</f>
        <v>740363756</v>
      </c>
      <c r="L9" s="82">
        <v>210049058</v>
      </c>
      <c r="M9" s="38">
        <f>((K9-L9)/L9)*100</f>
        <v>252.471828747739</v>
      </c>
      <c r="N9" s="82">
        <f>N3</f>
        <v>836078476</v>
      </c>
      <c r="O9" s="82">
        <v>266248560</v>
      </c>
      <c r="P9" s="38">
        <f>((N9-O9)/O9)*100</f>
        <v>214.021783253964</v>
      </c>
      <c r="Q9" s="82">
        <f>Q3</f>
        <v>474046000</v>
      </c>
      <c r="R9" s="82">
        <v>200588000</v>
      </c>
      <c r="S9" s="38">
        <f>((Q9-R9)/R9)*100</f>
        <v>136.328195106387</v>
      </c>
      <c r="T9" s="82">
        <f>T3</f>
        <v>691154544</v>
      </c>
      <c r="U9" s="82">
        <v>159878896</v>
      </c>
      <c r="V9" s="38">
        <f>((T9-U9)/U9)*100</f>
        <v>332.298796959419</v>
      </c>
      <c r="W9" s="82">
        <f>W3</f>
        <v>442674530</v>
      </c>
      <c r="X9" s="82">
        <v>359783856</v>
      </c>
      <c r="Y9" s="38">
        <f>((W9-X9)/X9)*100</f>
        <v>23.03901984974</v>
      </c>
      <c r="Z9" s="82">
        <f>Z3</f>
        <v>65310431</v>
      </c>
      <c r="AA9" s="82">
        <v>290853671</v>
      </c>
      <c r="AB9" s="49">
        <f>((Z9-AA9)/AA9)*100</f>
        <v>-77.5452615827565</v>
      </c>
      <c r="AC9" s="82">
        <f>AC3</f>
        <v>131726807</v>
      </c>
      <c r="AD9" s="82">
        <v>140649231</v>
      </c>
      <c r="AE9" s="43">
        <f>((AC9-AD9)/AD9)*100</f>
        <v>-6.34374175853119</v>
      </c>
      <c r="AF9" s="82">
        <f>AF3</f>
        <v>216090214</v>
      </c>
      <c r="AG9" s="82">
        <v>145717638</v>
      </c>
      <c r="AH9" s="38">
        <f>((AF9-AG9)/AG9)*100</f>
        <v>48.2937940566948</v>
      </c>
      <c r="AI9" s="82">
        <f>AI3</f>
        <v>-448665262</v>
      </c>
      <c r="AJ9" s="82">
        <v>127124162</v>
      </c>
      <c r="AK9" s="39">
        <f>((AI9-AJ9)/AJ9)*100</f>
        <v>-452.934686011932</v>
      </c>
      <c r="AL9" s="82">
        <f>AL3</f>
        <v>254017209</v>
      </c>
      <c r="AM9" s="82">
        <v>301942813</v>
      </c>
      <c r="AN9" s="38">
        <f>((AL9-AM9)/AM9)*100</f>
        <v>-15.8724109124598</v>
      </c>
      <c r="AO9" s="82">
        <f>AO3</f>
        <v>138224145</v>
      </c>
      <c r="AP9" s="82">
        <v>56947133</v>
      </c>
      <c r="AQ9" s="38">
        <f>((AO9-AP9)/AP9)*100</f>
        <v>142.723624032135</v>
      </c>
      <c r="AR9" s="82">
        <f>AR3</f>
        <v>235872006</v>
      </c>
      <c r="AS9" s="20">
        <v>106294595</v>
      </c>
      <c r="AT9" s="38">
        <f>((AR9-AS9)/AS9)*100</f>
        <v>121.904045073976</v>
      </c>
      <c r="AU9" s="82">
        <f>AU3</f>
        <v>314473722</v>
      </c>
      <c r="AV9" s="20">
        <v>284712016</v>
      </c>
      <c r="AW9" s="38">
        <f>((AU9-AV9)/AV9)*100</f>
        <v>10.4532665737578</v>
      </c>
      <c r="AX9" s="82">
        <f>AX3</f>
        <v>239705800</v>
      </c>
      <c r="AY9" s="20">
        <v>111405667</v>
      </c>
      <c r="AZ9" s="38">
        <f>((AX9-AY9)/AY9)*100</f>
        <v>115.164817423516</v>
      </c>
      <c r="BA9" s="82">
        <f>BA3</f>
        <v>209277983</v>
      </c>
      <c r="BB9" s="20">
        <v>60089873</v>
      </c>
      <c r="BC9" s="38">
        <f>((BA9-BB9)/BB9)*100</f>
        <v>248.274963070732</v>
      </c>
      <c r="BD9" s="82">
        <f>BD3</f>
        <v>103196039</v>
      </c>
      <c r="BE9" s="20">
        <v>141742634</v>
      </c>
      <c r="BF9" s="38">
        <f>((BD9-BE9)/BE9)*100</f>
        <v>-27.1947782485826</v>
      </c>
      <c r="BG9" s="20">
        <f>BG3</f>
        <v>-57948682</v>
      </c>
      <c r="BH9" s="20">
        <v>-27936503</v>
      </c>
      <c r="BI9" s="219">
        <f>((BG9-BH9)/BH9)*100</f>
        <v>107.42997790382</v>
      </c>
      <c r="BJ9" s="20">
        <f>BJ3</f>
        <v>80331085</v>
      </c>
      <c r="BK9" s="20">
        <v>73421090</v>
      </c>
      <c r="BL9" s="38">
        <f>((BJ9-BK9)/BK9)*100</f>
        <v>9.41145793395331</v>
      </c>
      <c r="BM9" s="20">
        <f>BM3</f>
        <v>96778145</v>
      </c>
      <c r="BN9" s="20">
        <v>30404744</v>
      </c>
      <c r="BO9" s="38">
        <f>((BM9-BN9)/BN9)*100</f>
        <v>218.299489711211</v>
      </c>
      <c r="BP9" s="20">
        <f>BP3</f>
        <v>93755043</v>
      </c>
      <c r="BQ9" s="20">
        <v>45798479</v>
      </c>
      <c r="BR9" s="38">
        <f>((BP9-BQ9)/BQ9)*100</f>
        <v>104.7121324706</v>
      </c>
      <c r="BS9" s="20">
        <f>BS3</f>
        <v>84998000</v>
      </c>
      <c r="BT9" s="20">
        <v>24933000</v>
      </c>
      <c r="BU9" s="38">
        <f>((BS9-BT9)/BT9)*100</f>
        <v>240.905627080576</v>
      </c>
      <c r="BV9" s="20">
        <f>BV3</f>
        <v>63841571</v>
      </c>
      <c r="BW9" s="20">
        <v>-52916314</v>
      </c>
      <c r="BX9" s="38">
        <f>((BV9-BW9)/BW9)*-100</f>
        <v>220.646292559229</v>
      </c>
      <c r="BY9" s="20">
        <f>BY3</f>
        <v>52431294</v>
      </c>
      <c r="BZ9" s="20">
        <v>-9459269</v>
      </c>
      <c r="CA9" s="38">
        <f>((BY9-BZ9)/BZ9)*-100</f>
        <v>654.284839557898</v>
      </c>
      <c r="CB9" s="20">
        <f>CB3</f>
        <v>114529910</v>
      </c>
      <c r="CC9" s="20">
        <v>32189298</v>
      </c>
      <c r="CD9" s="38">
        <f>((CB9-CC9)/CC9)*100</f>
        <v>255.80120448728</v>
      </c>
      <c r="CE9" s="20">
        <f>CE3</f>
        <v>84147308</v>
      </c>
      <c r="CF9" s="20">
        <v>48136661</v>
      </c>
      <c r="CG9" s="38">
        <f>((CE9-CF9)/CF9)*100</f>
        <v>74.8091916886383</v>
      </c>
      <c r="CH9" s="20">
        <f>CH3</f>
        <v>-10099622</v>
      </c>
      <c r="CI9" s="20">
        <v>-121722564</v>
      </c>
      <c r="CJ9" s="39">
        <f>((CH9-CI9)/CI9)*100</f>
        <v>-91.702752827323</v>
      </c>
      <c r="CK9" s="20">
        <f>CK3</f>
        <v>117478000</v>
      </c>
      <c r="CL9" s="20">
        <v>38088000</v>
      </c>
      <c r="CM9" s="38">
        <f>((CK9-CL9)/CL9)*100</f>
        <v>208.438353287125</v>
      </c>
      <c r="CN9" s="20">
        <f>CN3</f>
        <v>19600136</v>
      </c>
      <c r="CO9" s="20">
        <v>13251799</v>
      </c>
      <c r="CP9" s="38">
        <f>((CN9-CO9)/CO9)*100</f>
        <v>47.9054730606765</v>
      </c>
      <c r="CQ9" s="20">
        <f>CQ3</f>
        <v>44711000</v>
      </c>
      <c r="CR9" s="20">
        <v>14032000</v>
      </c>
      <c r="CS9" s="38">
        <f>((CQ9-CR9)/CR9)*100</f>
        <v>218.635974914481</v>
      </c>
      <c r="CT9" s="20">
        <f>CT3</f>
        <v>108315081</v>
      </c>
      <c r="CU9" s="20">
        <v>79217615</v>
      </c>
      <c r="CV9" s="38">
        <f>((CT9-CU9)/CU9)*100</f>
        <v>36.7310553340946</v>
      </c>
      <c r="CW9" s="20">
        <f>CW3</f>
        <v>53727146</v>
      </c>
      <c r="CX9" s="20">
        <v>-74421932</v>
      </c>
      <c r="CY9" s="49">
        <f>((CW9-CX9)/CX9)*100</f>
        <v>-172.192624615013</v>
      </c>
      <c r="CZ9" s="20">
        <f>CZ3</f>
        <v>94418607</v>
      </c>
      <c r="DA9" s="20">
        <v>680971</v>
      </c>
      <c r="DB9" s="38">
        <f>((CZ9-DA9)/DA9)*100</f>
        <v>13765.290445555</v>
      </c>
      <c r="DC9" s="20">
        <f>DC3</f>
        <v>34245000</v>
      </c>
      <c r="DD9" s="20">
        <v>-35106000</v>
      </c>
      <c r="DE9" s="38">
        <f>((DC9-DD9)/DD9)*-100</f>
        <v>197.547427790121</v>
      </c>
      <c r="DF9" s="20">
        <f>DF3</f>
        <v>84153010</v>
      </c>
      <c r="DG9" s="20">
        <v>47545850</v>
      </c>
      <c r="DH9" s="38">
        <f>((DF9-DG9)/DG9)*100</f>
        <v>76.99338638388</v>
      </c>
      <c r="DI9" s="20">
        <f>DI3</f>
        <v>40528411</v>
      </c>
      <c r="DJ9" s="20">
        <v>-87457917</v>
      </c>
      <c r="DK9" s="38">
        <f>((DI9-DJ9)/DJ9)*-100</f>
        <v>146.340471383511</v>
      </c>
      <c r="DL9" s="20">
        <f>DL3</f>
        <v>91773292</v>
      </c>
      <c r="DM9" s="20">
        <v>-2007711</v>
      </c>
      <c r="DN9" s="38">
        <f>((DL9-DM9)/DM9)*-100</f>
        <v>4671.04095161106</v>
      </c>
      <c r="DO9" s="20">
        <f>DO3</f>
        <v>51198600</v>
      </c>
      <c r="DP9" s="20">
        <v>31277040</v>
      </c>
      <c r="DQ9" s="38">
        <f>((DO9-DP9)/DP9)*100</f>
        <v>63.6938789604131</v>
      </c>
      <c r="DR9" s="20">
        <f>DR3</f>
        <v>72350985</v>
      </c>
      <c r="DS9" s="20">
        <v>7872419</v>
      </c>
      <c r="DT9" s="38">
        <f>((DR9-DS9)/DS9)*100</f>
        <v>819.043879651223</v>
      </c>
      <c r="DU9" s="20">
        <f>DU3</f>
        <v>39583450</v>
      </c>
      <c r="DV9" s="20">
        <v>20837670</v>
      </c>
      <c r="DW9" s="38">
        <f>((DU9-DV9)/DV9)*100</f>
        <v>89.9610177145525</v>
      </c>
      <c r="DX9" s="222">
        <f>DX3</f>
        <v>66050203</v>
      </c>
      <c r="DY9" s="20">
        <v>-24466692</v>
      </c>
      <c r="DZ9" s="38">
        <f>((DX9-DY9)/DY9)*-100</f>
        <v>369.959678243385</v>
      </c>
      <c r="EA9" s="20">
        <f>EA3</f>
        <v>3988214</v>
      </c>
      <c r="EB9" s="20">
        <v>-41776885</v>
      </c>
      <c r="EC9" s="38">
        <f>((EA9-EB9)/EB9)*-100</f>
        <v>109.546460919717</v>
      </c>
      <c r="ED9" s="20">
        <f>ED3</f>
        <v>42503094</v>
      </c>
      <c r="EE9" s="20">
        <v>15206922</v>
      </c>
      <c r="EF9" s="38">
        <f>((ED9-EE9)/EE9)*100</f>
        <v>179.498336349723</v>
      </c>
      <c r="EG9" s="20">
        <f>EG3</f>
        <v>14650470</v>
      </c>
      <c r="EH9" s="20">
        <v>12148290</v>
      </c>
      <c r="EI9" s="38">
        <f>((EG9-EH9)/EH9)*100</f>
        <v>20.5969729072981</v>
      </c>
      <c r="EJ9" s="20">
        <f>EJ3</f>
        <v>45085740</v>
      </c>
      <c r="EK9" s="20">
        <v>14038960</v>
      </c>
      <c r="EL9" s="38">
        <f>((EJ9-EK9)/EK9)*100</f>
        <v>221.147292961872</v>
      </c>
      <c r="EM9" s="20">
        <f>EM3</f>
        <v>9697737</v>
      </c>
      <c r="EN9" s="20">
        <v>1147903</v>
      </c>
      <c r="EO9" s="38">
        <f>((EM9-EN9)/EN9)*100</f>
        <v>744.821992799043</v>
      </c>
      <c r="EP9" s="20">
        <f>EP3</f>
        <v>13034566</v>
      </c>
      <c r="EQ9" s="20">
        <v>-7892120</v>
      </c>
      <c r="ER9" s="38">
        <f>((EP9-EQ9)/EQ9)*-100</f>
        <v>265.159247451889</v>
      </c>
      <c r="ES9" s="20">
        <f>ES3</f>
        <v>15208423</v>
      </c>
      <c r="ET9" s="20">
        <v>-14436619</v>
      </c>
      <c r="EU9" s="38">
        <f>((ES9-ET9)/ET9)*-100</f>
        <v>205.346154802589</v>
      </c>
      <c r="EV9" s="20">
        <f>EV3</f>
        <v>14190940</v>
      </c>
      <c r="EW9" s="20">
        <v>5130530</v>
      </c>
      <c r="EX9" s="38">
        <f>((EV9-EW9)/EW9)*100</f>
        <v>176.597934326473</v>
      </c>
    </row>
    <row r="10" spans="1:154">
      <c r="A10" s="2"/>
      <c r="E10" s="45"/>
      <c r="G10" s="40"/>
      <c r="H10" s="45"/>
      <c r="J10" s="40"/>
      <c r="K10" s="45"/>
      <c r="M10" s="40"/>
      <c r="N10" s="45"/>
      <c r="P10" s="40"/>
      <c r="Q10" s="45"/>
      <c r="S10" s="40"/>
      <c r="T10" s="45"/>
      <c r="V10" s="40"/>
      <c r="W10" s="45"/>
      <c r="Y10" s="40"/>
      <c r="Z10" s="223" t="s">
        <v>289</v>
      </c>
      <c r="AA10" s="223"/>
      <c r="AB10" s="40"/>
      <c r="AC10" s="20"/>
      <c r="AD10" s="2"/>
      <c r="AE10" s="40"/>
      <c r="AF10" s="20"/>
      <c r="AG10" s="2"/>
      <c r="AH10" s="40"/>
      <c r="AI10" s="224" t="s">
        <v>553</v>
      </c>
      <c r="AJ10" s="224"/>
      <c r="AK10" s="40"/>
      <c r="AL10" s="20"/>
      <c r="AM10" s="2"/>
      <c r="AN10" s="40"/>
      <c r="AO10" s="20"/>
      <c r="AP10" s="2"/>
      <c r="AQ10" s="40"/>
      <c r="AR10" s="20"/>
      <c r="AS10" s="2"/>
      <c r="AT10" s="40"/>
      <c r="AU10" s="20"/>
      <c r="AV10" s="2"/>
      <c r="AW10" s="40"/>
      <c r="AX10" s="20"/>
      <c r="AY10" s="2"/>
      <c r="AZ10" s="40"/>
      <c r="BA10" s="20"/>
      <c r="BB10" s="2"/>
      <c r="BC10" s="40"/>
      <c r="BD10" s="20"/>
      <c r="BE10" s="2"/>
      <c r="BF10" s="40"/>
      <c r="BG10" s="225" t="s">
        <v>289</v>
      </c>
      <c r="BH10" s="2"/>
      <c r="BI10" s="40"/>
      <c r="BJ10" s="225"/>
      <c r="BK10" s="2"/>
      <c r="BL10" s="40"/>
      <c r="BM10" s="225"/>
      <c r="BN10" s="2"/>
      <c r="BO10" s="40"/>
      <c r="BP10" s="225"/>
      <c r="BQ10" s="2"/>
      <c r="BR10" s="40"/>
      <c r="BS10" s="225"/>
      <c r="BT10" s="2"/>
      <c r="BU10" s="40"/>
      <c r="BV10" s="225"/>
      <c r="BW10" s="2"/>
      <c r="BX10" s="40" t="s">
        <v>492</v>
      </c>
      <c r="BY10" s="225"/>
      <c r="BZ10" s="2"/>
      <c r="CA10" s="40" t="s">
        <v>492</v>
      </c>
      <c r="CB10" s="225"/>
      <c r="CC10" s="2"/>
      <c r="CD10" s="40"/>
      <c r="CE10" s="225"/>
      <c r="CF10" s="2"/>
      <c r="CG10" s="40"/>
      <c r="CH10" s="225" t="s">
        <v>618</v>
      </c>
      <c r="CI10" s="2"/>
      <c r="CJ10" s="40"/>
      <c r="CK10" s="225"/>
      <c r="CL10" s="2"/>
      <c r="CM10" s="40"/>
      <c r="CN10" s="225" t="s">
        <v>618</v>
      </c>
      <c r="CO10" s="2"/>
      <c r="CP10" s="40"/>
      <c r="CQ10" s="225"/>
      <c r="CR10" s="2"/>
      <c r="CS10" s="40"/>
      <c r="CT10" s="225"/>
      <c r="CU10" s="2"/>
      <c r="CV10" s="40"/>
      <c r="CW10" s="225" t="s">
        <v>619</v>
      </c>
      <c r="CX10" s="2"/>
      <c r="CY10" s="40"/>
      <c r="CZ10" s="225"/>
      <c r="DA10" s="2"/>
      <c r="DB10" s="40"/>
      <c r="DC10" s="225"/>
      <c r="DD10" s="2"/>
      <c r="DE10" s="40" t="s">
        <v>552</v>
      </c>
      <c r="DF10" s="225"/>
      <c r="DG10" s="2"/>
      <c r="DH10" s="40"/>
      <c r="DI10" s="225"/>
      <c r="DJ10" s="2"/>
      <c r="DK10" s="40" t="s">
        <v>552</v>
      </c>
      <c r="DL10" s="225"/>
      <c r="DM10" s="2"/>
      <c r="DN10" s="40" t="s">
        <v>552</v>
      </c>
      <c r="DO10" s="225"/>
      <c r="DP10" s="2"/>
      <c r="DQ10" s="40"/>
      <c r="DR10" s="225"/>
      <c r="DS10" s="2"/>
      <c r="DT10" s="40"/>
      <c r="DU10" s="225"/>
      <c r="DV10" s="2"/>
      <c r="DW10" s="40"/>
      <c r="DX10" s="225"/>
      <c r="DY10" s="2"/>
      <c r="DZ10" s="40" t="s">
        <v>492</v>
      </c>
      <c r="EA10" s="225" t="s">
        <v>289</v>
      </c>
      <c r="EB10" s="2"/>
      <c r="EC10" s="40" t="s">
        <v>492</v>
      </c>
      <c r="ED10" s="225"/>
      <c r="EE10" s="2"/>
      <c r="EF10" s="40"/>
      <c r="EG10" s="225"/>
      <c r="EH10" s="2"/>
      <c r="EI10" s="40"/>
      <c r="EJ10" s="225"/>
      <c r="EK10" s="2"/>
      <c r="EL10" s="40"/>
      <c r="EM10" s="225"/>
      <c r="EN10" s="2"/>
      <c r="EO10" s="40"/>
      <c r="EP10" s="225" t="s">
        <v>289</v>
      </c>
      <c r="EQ10" s="2"/>
      <c r="ER10" s="40" t="s">
        <v>552</v>
      </c>
      <c r="ES10" s="225" t="s">
        <v>289</v>
      </c>
      <c r="ET10" s="2"/>
      <c r="EU10" s="40" t="s">
        <v>552</v>
      </c>
      <c r="EV10" s="225"/>
      <c r="EW10" s="2"/>
      <c r="EX10" s="40"/>
    </row>
    <row r="11" spans="1:154">
      <c r="A11" s="2">
        <v>4</v>
      </c>
      <c r="B11" s="2" t="s">
        <v>173</v>
      </c>
      <c r="C11" s="41" t="s">
        <v>174</v>
      </c>
      <c r="D11" s="41" t="s">
        <v>172</v>
      </c>
      <c r="E11" s="20">
        <v>10309495596</v>
      </c>
      <c r="F11" s="20">
        <v>9487081469</v>
      </c>
      <c r="G11" s="44">
        <f>(E11-F11)/F11</f>
        <v>0.0866877900951227</v>
      </c>
      <c r="H11" s="20">
        <v>8280839680</v>
      </c>
      <c r="I11" s="20">
        <v>7344021243</v>
      </c>
      <c r="J11" s="44">
        <f>(H11-I11)/I11</f>
        <v>0.1275620543572</v>
      </c>
      <c r="K11" s="20">
        <v>3957586330</v>
      </c>
      <c r="L11" s="20">
        <v>3296861437</v>
      </c>
      <c r="M11" s="44">
        <f>(K11-L11)/L11</f>
        <v>0.200410270684967</v>
      </c>
      <c r="N11" s="20">
        <v>5778362714</v>
      </c>
      <c r="O11" s="20">
        <v>4955611852</v>
      </c>
      <c r="P11" s="44">
        <f>(N11-O11)/O11</f>
        <v>0.166024072621416</v>
      </c>
      <c r="Q11" s="20">
        <v>3262405000</v>
      </c>
      <c r="R11" s="20">
        <v>2797985000</v>
      </c>
      <c r="S11" s="44">
        <f>(Q11-R11)/R11</f>
        <v>0.165983734723381</v>
      </c>
      <c r="T11" s="20">
        <v>3901795818</v>
      </c>
      <c r="U11" s="20">
        <v>3242868299</v>
      </c>
      <c r="V11" s="44">
        <f>(T11-U11)/U11</f>
        <v>0.203192809033655</v>
      </c>
      <c r="W11" s="20">
        <v>3761419434</v>
      </c>
      <c r="X11" s="20">
        <v>3420771969</v>
      </c>
      <c r="Y11" s="44">
        <f>(W11-X11)/X11</f>
        <v>0.0995820440786593</v>
      </c>
      <c r="Z11" s="20">
        <v>3761419434</v>
      </c>
      <c r="AA11" s="20">
        <v>3420771969</v>
      </c>
      <c r="AB11" s="44">
        <f>(Z11-AA11)/AA11</f>
        <v>0.0995820440786593</v>
      </c>
      <c r="AC11" s="20">
        <v>1765169520</v>
      </c>
      <c r="AD11" s="20">
        <v>1639230688</v>
      </c>
      <c r="AE11" s="44">
        <f>(AC11-AD11)/AD11</f>
        <v>0.0768280101891309</v>
      </c>
      <c r="AF11" s="20">
        <v>2243601365</v>
      </c>
      <c r="AG11" s="20">
        <v>2043938810</v>
      </c>
      <c r="AH11" s="44">
        <f>(AF11-AG11)/AG11</f>
        <v>0.0976851919554284</v>
      </c>
      <c r="AI11" s="20">
        <v>2243601365</v>
      </c>
      <c r="AJ11" s="20">
        <v>2043938810</v>
      </c>
      <c r="AK11" s="44">
        <f>(AI11-AJ11)/AJ11</f>
        <v>0.0976851919554284</v>
      </c>
      <c r="AL11" s="20">
        <v>2890103172</v>
      </c>
      <c r="AM11" s="20">
        <v>2640714413</v>
      </c>
      <c r="AN11" s="44">
        <f>(AL11-AM11)/AM11</f>
        <v>0.0944398825455269</v>
      </c>
      <c r="AO11" s="20">
        <v>1606887242</v>
      </c>
      <c r="AP11" s="20">
        <v>1477480040</v>
      </c>
      <c r="AQ11" s="44">
        <f>(AO11-AP11)/AP11</f>
        <v>0.0875864299324138</v>
      </c>
      <c r="AR11" s="20">
        <v>1332810822</v>
      </c>
      <c r="AS11" s="20">
        <v>1099709527</v>
      </c>
      <c r="AT11" s="44">
        <f>(AR11-AS11)/AS11</f>
        <v>0.211966241336382</v>
      </c>
      <c r="AU11" s="20">
        <v>2882118087</v>
      </c>
      <c r="AV11" s="20">
        <v>2535718261</v>
      </c>
      <c r="AW11" s="44">
        <f>(AU11-AV11)/AV11</f>
        <v>0.136608167921381</v>
      </c>
      <c r="AX11" s="20">
        <v>1255827892</v>
      </c>
      <c r="AY11" s="20">
        <v>1015586318</v>
      </c>
      <c r="AZ11" s="44">
        <f>(AX11-AY11)/AY11</f>
        <v>0.236554559412645</v>
      </c>
      <c r="BA11" s="20">
        <v>1267440753</v>
      </c>
      <c r="BB11" s="20">
        <v>1067801805</v>
      </c>
      <c r="BC11" s="44">
        <f>(BA11-BB11)/BB11</f>
        <v>0.186962549665291</v>
      </c>
      <c r="BD11" s="20">
        <v>1302438433</v>
      </c>
      <c r="BE11" s="20">
        <v>1206210127</v>
      </c>
      <c r="BF11" s="44">
        <f>(BD11-BE11)/BE11</f>
        <v>0.0797773985195533</v>
      </c>
      <c r="BG11" s="20">
        <v>1302438433</v>
      </c>
      <c r="BH11" s="20">
        <v>1206210127</v>
      </c>
      <c r="BI11" s="44">
        <f>(BG11-BH11)/BH11</f>
        <v>0.0797773985195533</v>
      </c>
      <c r="BJ11" s="20">
        <v>1051814674</v>
      </c>
      <c r="BK11" s="20">
        <v>973721870</v>
      </c>
      <c r="BL11" s="44">
        <f>(BJ11-BK11)/BK11</f>
        <v>0.0802003183927665</v>
      </c>
      <c r="BM11" s="20">
        <v>1233967974</v>
      </c>
      <c r="BN11" s="20">
        <v>1132226079</v>
      </c>
      <c r="BO11" s="44">
        <f>(BM11-BN11)/BN11</f>
        <v>0.0898600525876069</v>
      </c>
      <c r="BP11" s="20">
        <v>779226291</v>
      </c>
      <c r="BQ11" s="20">
        <v>685043823</v>
      </c>
      <c r="BR11" s="44">
        <f>(BP11-BQ11)/BQ11</f>
        <v>0.137483858459665</v>
      </c>
      <c r="BS11" s="20">
        <v>851518120</v>
      </c>
      <c r="BT11" s="20">
        <v>737098750</v>
      </c>
      <c r="BU11" s="44">
        <f>(BS11-BT11)/BT11</f>
        <v>0.155229363772493</v>
      </c>
      <c r="BV11" s="20">
        <v>1014450655</v>
      </c>
      <c r="BW11" s="20">
        <v>934313611</v>
      </c>
      <c r="BX11" s="44">
        <f>(BV11-BW11)/BW11</f>
        <v>0.0857710334694032</v>
      </c>
      <c r="BY11" s="20">
        <v>365882123</v>
      </c>
      <c r="BZ11" s="20">
        <v>322861442</v>
      </c>
      <c r="CA11" s="44">
        <f>(BY11-BZ11)/BZ11</f>
        <v>0.133248122580088</v>
      </c>
      <c r="CB11" s="20">
        <v>793061102</v>
      </c>
      <c r="CC11" s="20">
        <v>634688920</v>
      </c>
      <c r="CD11" s="44">
        <f>(CB11-CC11)/CC11</f>
        <v>0.249527251870097</v>
      </c>
      <c r="CE11" s="20">
        <v>517946346</v>
      </c>
      <c r="CF11" s="20">
        <v>438229212</v>
      </c>
      <c r="CG11" s="44">
        <f>(CE11-CF11)/CF11</f>
        <v>0.181907394160661</v>
      </c>
      <c r="CH11" s="20">
        <v>517946346</v>
      </c>
      <c r="CI11" s="20">
        <v>438229212</v>
      </c>
      <c r="CJ11" s="44">
        <f>(CH11-CI11)/CI11</f>
        <v>0.181907394160661</v>
      </c>
      <c r="CK11" s="20">
        <v>738458000</v>
      </c>
      <c r="CL11" s="20">
        <v>628679000</v>
      </c>
      <c r="CM11" s="44">
        <f>(CK11-CL11)/CL11</f>
        <v>0.17461852551143</v>
      </c>
      <c r="CN11" s="20">
        <v>738458000</v>
      </c>
      <c r="CO11" s="20">
        <v>628679000</v>
      </c>
      <c r="CP11" s="44">
        <f>(CN11-CO11)/CO11</f>
        <v>0.17461852551143</v>
      </c>
      <c r="CQ11" s="20">
        <v>301482290</v>
      </c>
      <c r="CR11" s="20">
        <v>267384800</v>
      </c>
      <c r="CS11" s="44">
        <f>(CQ11-CR11)/CR11</f>
        <v>0.127522170295395</v>
      </c>
      <c r="CT11" s="20">
        <v>760099116</v>
      </c>
      <c r="CU11" s="20">
        <v>658864655</v>
      </c>
      <c r="CV11" s="44">
        <f>(CT11-CU11)/CU11</f>
        <v>0.153649858482696</v>
      </c>
      <c r="CW11" s="20">
        <v>760099116</v>
      </c>
      <c r="CX11" s="20">
        <v>658864655</v>
      </c>
      <c r="CY11" s="44">
        <f>(CW11-CX11)/CX11</f>
        <v>0.153649858482696</v>
      </c>
      <c r="CZ11" s="20">
        <v>573394329</v>
      </c>
      <c r="DA11" s="20">
        <v>485398396</v>
      </c>
      <c r="DB11" s="44">
        <f>(CZ11-DA11)/DA11</f>
        <v>0.181285998728352</v>
      </c>
      <c r="DC11" s="20">
        <v>236943000</v>
      </c>
      <c r="DD11" s="20">
        <v>204257000</v>
      </c>
      <c r="DE11" s="44">
        <f>(DC11-DD11)/DD11</f>
        <v>0.16002389147006</v>
      </c>
      <c r="DF11" s="20">
        <v>428362190</v>
      </c>
      <c r="DG11" s="20">
        <v>323843770</v>
      </c>
      <c r="DH11" s="44">
        <f>(DF11-DG11)/DG11</f>
        <v>0.322743340098838</v>
      </c>
      <c r="DI11" s="20">
        <v>401070653</v>
      </c>
      <c r="DJ11" s="20">
        <v>360381210</v>
      </c>
      <c r="DK11" s="44">
        <f>(DI11-DJ11)/DJ11</f>
        <v>0.11290667179901</v>
      </c>
      <c r="DL11" s="20">
        <v>547795666</v>
      </c>
      <c r="DM11" s="20">
        <v>455977043</v>
      </c>
      <c r="DN11" s="44">
        <f>(DL11-DM11)/DM11</f>
        <v>0.201366767054542</v>
      </c>
      <c r="DO11" s="20">
        <v>207687930</v>
      </c>
      <c r="DP11" s="20">
        <v>157595840</v>
      </c>
      <c r="DQ11" s="44">
        <f>(DO11-DP11)/DP11</f>
        <v>0.317851600651388</v>
      </c>
      <c r="DR11" s="20">
        <v>287350205</v>
      </c>
      <c r="DS11" s="20">
        <v>215406801</v>
      </c>
      <c r="DT11" s="44">
        <f>(DR11-DS11)/DS11</f>
        <v>0.333988544772085</v>
      </c>
      <c r="DU11" s="20">
        <v>181636980</v>
      </c>
      <c r="DV11" s="20">
        <v>142743260</v>
      </c>
      <c r="DW11" s="44">
        <f>(DU11-DV11)/DV11</f>
        <v>0.272473250225615</v>
      </c>
      <c r="DX11" s="222">
        <v>317450699</v>
      </c>
      <c r="DY11" s="20">
        <v>251452766</v>
      </c>
      <c r="DZ11" s="44">
        <f>(DX11-DY11)/DY11</f>
        <v>0.262466522241398</v>
      </c>
      <c r="EA11" s="20">
        <v>317450699</v>
      </c>
      <c r="EB11" s="20">
        <v>251452766</v>
      </c>
      <c r="EC11" s="44">
        <f>(EA11-EB11)/EB11</f>
        <v>0.262466522241398</v>
      </c>
      <c r="ED11" s="20">
        <v>268929223</v>
      </c>
      <c r="EE11" s="20">
        <v>226536049</v>
      </c>
      <c r="EF11" s="44">
        <f>(ED11-EE11)/EE11</f>
        <v>0.187136547084389</v>
      </c>
      <c r="EG11" s="20">
        <v>269034180</v>
      </c>
      <c r="EH11" s="20">
        <v>259224180</v>
      </c>
      <c r="EI11" s="44">
        <f>(EG11-EH11)/EH11</f>
        <v>0.0378436918963347</v>
      </c>
      <c r="EJ11" s="20">
        <v>270809470</v>
      </c>
      <c r="EK11" s="20">
        <v>226968860</v>
      </c>
      <c r="EL11" s="44">
        <f>(EJ11-EK11)/EK11</f>
        <v>0.193156937916505</v>
      </c>
      <c r="EM11" s="20">
        <v>116348224</v>
      </c>
      <c r="EN11" s="20">
        <v>84755869</v>
      </c>
      <c r="EO11" s="44">
        <f>(EM11-EN11)/EN11</f>
        <v>0.372745337552966</v>
      </c>
      <c r="EP11" s="20">
        <v>116348224</v>
      </c>
      <c r="EQ11" s="20">
        <v>84755869</v>
      </c>
      <c r="ER11" s="44">
        <f>(EP11-EQ11)/EQ11</f>
        <v>0.372745337552966</v>
      </c>
      <c r="ES11" s="20">
        <v>116348224</v>
      </c>
      <c r="ET11" s="20">
        <v>84755869</v>
      </c>
      <c r="EU11" s="44">
        <f>(ES11-ET11)/ET11</f>
        <v>0.372745337552966</v>
      </c>
      <c r="EV11" s="20">
        <v>59145890</v>
      </c>
      <c r="EW11" s="20">
        <v>52548000</v>
      </c>
      <c r="EX11" s="44">
        <f>(EV11-EW11)/EW11</f>
        <v>0.125559298165487</v>
      </c>
    </row>
    <row r="12" spans="1:154">
      <c r="A12" s="2"/>
      <c r="B12" s="2"/>
      <c r="C12" s="41"/>
      <c r="D12" s="41"/>
      <c r="E12" s="20"/>
      <c r="F12" s="20"/>
      <c r="G12" s="44"/>
      <c r="H12" s="20"/>
      <c r="I12" s="20"/>
      <c r="J12" s="44"/>
      <c r="K12" s="20"/>
      <c r="L12" s="20"/>
      <c r="M12" s="44"/>
      <c r="N12" s="20"/>
      <c r="O12" s="20"/>
      <c r="P12" s="44"/>
      <c r="Q12" s="20"/>
      <c r="R12" s="20"/>
      <c r="S12" s="44"/>
      <c r="T12" s="20"/>
      <c r="U12" s="20"/>
      <c r="V12" s="44"/>
      <c r="W12" s="20"/>
      <c r="X12" s="20"/>
      <c r="Y12" s="44"/>
      <c r="Z12" s="20"/>
      <c r="AA12" s="20"/>
      <c r="AB12" s="44"/>
      <c r="AC12" s="20"/>
      <c r="AD12" s="20"/>
      <c r="AE12" s="44"/>
      <c r="AF12" s="20"/>
      <c r="AG12" s="20"/>
      <c r="AH12" s="44"/>
      <c r="AI12" s="20"/>
      <c r="AJ12" s="20"/>
      <c r="AK12" s="44"/>
      <c r="AL12" s="20"/>
      <c r="AM12" s="20"/>
      <c r="AN12" s="44"/>
      <c r="AO12" s="20"/>
      <c r="AP12" s="20"/>
      <c r="AQ12" s="44"/>
      <c r="AR12" s="20"/>
      <c r="AS12" s="20"/>
      <c r="AT12" s="44"/>
      <c r="AU12" s="20"/>
      <c r="AV12" s="20"/>
      <c r="AW12" s="44"/>
      <c r="AX12" s="20"/>
      <c r="AY12" s="20"/>
      <c r="AZ12" s="44"/>
      <c r="BA12" s="20"/>
      <c r="BB12" s="20"/>
      <c r="BC12" s="44"/>
      <c r="BD12" s="20"/>
      <c r="BE12" s="20"/>
      <c r="BF12" s="44"/>
      <c r="BG12" s="20"/>
      <c r="BH12" s="20"/>
      <c r="BI12" s="44"/>
      <c r="BJ12" s="20"/>
      <c r="BK12" s="20"/>
      <c r="BL12" s="44"/>
      <c r="BM12" s="20"/>
      <c r="BN12" s="20"/>
      <c r="BO12" s="44"/>
      <c r="BP12" s="20"/>
      <c r="BQ12" s="20"/>
      <c r="BR12" s="44"/>
      <c r="BS12" s="20"/>
      <c r="BT12" s="20"/>
      <c r="BU12" s="44"/>
      <c r="BV12" s="20"/>
      <c r="BW12" s="20"/>
      <c r="BX12" s="44"/>
      <c r="BY12" s="20"/>
      <c r="BZ12" s="20"/>
      <c r="CA12" s="44"/>
      <c r="CB12" s="20"/>
      <c r="CC12" s="20"/>
      <c r="CD12" s="44"/>
      <c r="CE12" s="20"/>
      <c r="CF12" s="20"/>
      <c r="CG12" s="44"/>
      <c r="CH12" s="20"/>
      <c r="CI12" s="20"/>
      <c r="CJ12" s="44"/>
      <c r="CK12" s="20"/>
      <c r="CL12" s="20"/>
      <c r="CM12" s="44"/>
      <c r="CN12" s="20"/>
      <c r="CO12" s="20"/>
      <c r="CP12" s="44"/>
      <c r="CQ12" s="20"/>
      <c r="CR12" s="20"/>
      <c r="CS12" s="44"/>
      <c r="CT12" s="20"/>
      <c r="CU12" s="20"/>
      <c r="CV12" s="44"/>
      <c r="CW12" s="20"/>
      <c r="CX12" s="20"/>
      <c r="CY12" s="44"/>
      <c r="CZ12" s="20"/>
      <c r="DA12" s="20"/>
      <c r="DB12" s="44"/>
      <c r="DC12" s="20"/>
      <c r="DD12" s="20"/>
      <c r="DE12" s="44"/>
      <c r="DF12" s="20"/>
      <c r="DG12" s="20"/>
      <c r="DH12" s="44"/>
      <c r="DI12" s="20"/>
      <c r="DJ12" s="20"/>
      <c r="DK12" s="44"/>
      <c r="DL12" s="20"/>
      <c r="DM12" s="20"/>
      <c r="DN12" s="44"/>
      <c r="DO12" s="20"/>
      <c r="DP12" s="20"/>
      <c r="DQ12" s="44"/>
      <c r="DR12" s="20"/>
      <c r="DS12" s="20"/>
      <c r="DT12" s="44"/>
      <c r="DU12" s="20"/>
      <c r="DV12" s="20"/>
      <c r="DW12" s="44"/>
      <c r="DX12" s="222"/>
      <c r="DY12" s="20"/>
      <c r="DZ12" s="44"/>
      <c r="EA12" s="20"/>
      <c r="EB12" s="20"/>
      <c r="EC12" s="44"/>
      <c r="ED12" s="20"/>
      <c r="EE12" s="20"/>
      <c r="EF12" s="44"/>
      <c r="EG12" s="20"/>
      <c r="EH12" s="20"/>
      <c r="EI12" s="44"/>
      <c r="EJ12" s="20"/>
      <c r="EK12" s="20"/>
      <c r="EL12" s="44"/>
      <c r="EM12" s="20"/>
      <c r="EN12" s="20"/>
      <c r="EO12" s="44"/>
      <c r="EP12" s="20"/>
      <c r="EQ12" s="20"/>
      <c r="ER12" s="44"/>
      <c r="ES12" s="20"/>
      <c r="ET12" s="20"/>
      <c r="EU12" s="44"/>
      <c r="EV12" s="20"/>
      <c r="EW12" s="20"/>
      <c r="EX12" s="44"/>
    </row>
    <row r="13" spans="1:154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  <c r="Z13" s="226" t="s">
        <v>620</v>
      </c>
      <c r="AA13" s="226"/>
      <c r="AB13" s="80"/>
      <c r="AC13" s="20"/>
      <c r="AD13" s="2"/>
      <c r="AE13" s="80"/>
      <c r="AF13" s="20"/>
      <c r="AG13" s="2"/>
      <c r="AH13" s="80"/>
      <c r="AI13" s="20"/>
      <c r="AJ13" s="2"/>
      <c r="AK13" s="80"/>
      <c r="AL13" s="20"/>
      <c r="AM13" s="2"/>
      <c r="AN13" s="80"/>
      <c r="AO13" s="20"/>
      <c r="AP13" s="2"/>
      <c r="AQ13" s="80"/>
      <c r="AR13" s="20"/>
      <c r="AS13" s="2"/>
      <c r="AT13" s="80"/>
      <c r="AU13" s="20"/>
      <c r="AV13" s="2"/>
      <c r="AW13" s="80"/>
      <c r="AX13" s="20"/>
      <c r="AY13" s="2"/>
      <c r="AZ13" s="80"/>
      <c r="BA13" s="20"/>
      <c r="BB13" s="2"/>
      <c r="BC13" s="80"/>
      <c r="BD13" s="20"/>
      <c r="BE13" s="2"/>
      <c r="BF13" s="80"/>
      <c r="BG13" s="20"/>
      <c r="BH13" s="2"/>
      <c r="BI13" s="80"/>
      <c r="BJ13" s="20"/>
      <c r="BK13" s="2"/>
      <c r="BL13" s="80"/>
      <c r="BM13" s="20"/>
      <c r="BN13" s="2"/>
      <c r="BO13" s="80"/>
      <c r="BP13" s="20"/>
      <c r="BQ13" s="2"/>
      <c r="BR13" s="80"/>
      <c r="BS13" s="20"/>
      <c r="BT13" s="2"/>
      <c r="BU13" s="80"/>
      <c r="BV13" s="20"/>
      <c r="BW13" s="2"/>
      <c r="BX13" s="80"/>
      <c r="BY13" s="20"/>
      <c r="BZ13" s="2"/>
      <c r="CA13" s="80"/>
      <c r="CB13" s="20"/>
      <c r="CC13" s="2"/>
      <c r="CD13" s="80"/>
      <c r="CE13" s="20"/>
      <c r="CF13" s="2"/>
      <c r="CG13" s="80"/>
      <c r="CH13" s="20"/>
      <c r="CI13" s="2"/>
      <c r="CJ13" s="80"/>
      <c r="CK13" s="20"/>
      <c r="CL13" s="2"/>
      <c r="CM13" s="80"/>
      <c r="CN13" s="20"/>
      <c r="CO13" s="2"/>
      <c r="CP13" s="80"/>
      <c r="CQ13" s="20"/>
      <c r="CR13" s="2"/>
      <c r="CS13" s="80"/>
      <c r="CT13" s="20"/>
      <c r="CU13" s="2"/>
      <c r="CV13" s="80"/>
      <c r="CW13" s="20"/>
      <c r="CX13" s="2"/>
      <c r="CY13" s="80"/>
      <c r="CZ13" s="20"/>
      <c r="DA13" s="2"/>
      <c r="DB13" s="80"/>
      <c r="DC13" s="20"/>
      <c r="DD13" s="2"/>
      <c r="DE13" s="80"/>
      <c r="DF13" s="20"/>
      <c r="DG13" s="2"/>
      <c r="DH13" s="80"/>
      <c r="DI13" s="20"/>
      <c r="DJ13" s="2"/>
      <c r="DK13" s="80"/>
      <c r="DL13" s="20"/>
      <c r="DM13" s="2"/>
      <c r="DN13" s="80"/>
      <c r="DO13" s="20"/>
      <c r="DP13" s="2"/>
      <c r="DQ13" s="80"/>
      <c r="DR13" s="20"/>
      <c r="DS13" s="2"/>
      <c r="DT13" s="80"/>
      <c r="DU13" s="20"/>
      <c r="DV13" s="2"/>
      <c r="DW13" s="80"/>
      <c r="DX13" s="222"/>
      <c r="DY13" s="2"/>
      <c r="DZ13" s="80"/>
      <c r="EA13" s="20"/>
      <c r="EB13" s="2"/>
      <c r="EC13" s="80"/>
      <c r="ED13" s="20"/>
      <c r="EE13" s="2"/>
      <c r="EF13" s="80"/>
      <c r="EG13" s="20"/>
      <c r="EH13" s="2"/>
      <c r="EI13" s="80"/>
      <c r="EJ13" s="20"/>
      <c r="EK13" s="2"/>
      <c r="EL13" s="80"/>
      <c r="EM13" s="20"/>
      <c r="EN13" s="2"/>
      <c r="EO13" s="80"/>
      <c r="EP13" s="20"/>
      <c r="EQ13" s="2"/>
      <c r="ER13" s="80"/>
      <c r="ES13" s="20"/>
      <c r="ET13" s="2"/>
      <c r="EU13" s="80"/>
      <c r="EV13" s="20"/>
      <c r="EW13" s="2"/>
      <c r="EX13" s="80"/>
    </row>
    <row r="14" spans="1:154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878701123</v>
      </c>
      <c r="F14" s="20">
        <f>E11</f>
        <v>10309495596</v>
      </c>
      <c r="G14" s="44">
        <f>(E14/F14)</f>
        <v>0.0852322128486023</v>
      </c>
      <c r="H14" s="20">
        <f>H3</f>
        <v>1212874494</v>
      </c>
      <c r="I14" s="20">
        <f>H11</f>
        <v>8280839680</v>
      </c>
      <c r="J14" s="44">
        <f>(H14/I14)</f>
        <v>0.146467573442987</v>
      </c>
      <c r="K14" s="20">
        <f>K3</f>
        <v>740363756</v>
      </c>
      <c r="L14" s="20">
        <f>K11</f>
        <v>3957586330</v>
      </c>
      <c r="M14" s="44">
        <f>(K14/L14)</f>
        <v>0.187074568756154</v>
      </c>
      <c r="N14" s="20">
        <f>N3</f>
        <v>836078476</v>
      </c>
      <c r="O14" s="20">
        <f>N11</f>
        <v>5778362714</v>
      </c>
      <c r="P14" s="44">
        <f>(N14/O14)</f>
        <v>0.144691241685871</v>
      </c>
      <c r="Q14" s="20">
        <f>Q3</f>
        <v>474046000</v>
      </c>
      <c r="R14" s="20">
        <f>Q11</f>
        <v>3262405000</v>
      </c>
      <c r="S14" s="44">
        <f>(Q14/R14)</f>
        <v>0.145305687062152</v>
      </c>
      <c r="T14" s="20">
        <f>T3</f>
        <v>691154544</v>
      </c>
      <c r="U14" s="20">
        <f>T11</f>
        <v>3901795818</v>
      </c>
      <c r="V14" s="44">
        <f>(T14/U14)</f>
        <v>0.177137548000724</v>
      </c>
      <c r="W14" s="20">
        <f>W3</f>
        <v>442674530</v>
      </c>
      <c r="X14" s="20">
        <f>W11</f>
        <v>3761419434</v>
      </c>
      <c r="Y14" s="44">
        <f>(W14/X14)</f>
        <v>0.117688159421574</v>
      </c>
      <c r="Z14" s="20">
        <f>Z3</f>
        <v>65310431</v>
      </c>
      <c r="AA14" s="20">
        <f>Z11</f>
        <v>3761419434</v>
      </c>
      <c r="AB14" s="44">
        <f>(Z14/AA14)</f>
        <v>0.0173632406983517</v>
      </c>
      <c r="AC14" s="20">
        <f>AC3</f>
        <v>131726807</v>
      </c>
      <c r="AD14" s="20">
        <f>AC11</f>
        <v>1765169520</v>
      </c>
      <c r="AE14" s="227">
        <f>(AC14/AD14)</f>
        <v>0.0746255844027944</v>
      </c>
      <c r="AF14" s="20">
        <f>AF3</f>
        <v>216090214</v>
      </c>
      <c r="AG14" s="20">
        <f>AF11</f>
        <v>2243601365</v>
      </c>
      <c r="AH14" s="44">
        <f>(AF14/AG14)</f>
        <v>0.0963139964928663</v>
      </c>
      <c r="AI14" s="20">
        <f>AI3</f>
        <v>-448665262</v>
      </c>
      <c r="AJ14" s="20">
        <f>AI11</f>
        <v>2243601365</v>
      </c>
      <c r="AK14" s="44">
        <f>(AI14/AJ14)</f>
        <v>-0.199975480938433</v>
      </c>
      <c r="AL14" s="20">
        <f>AL3</f>
        <v>254017209</v>
      </c>
      <c r="AM14" s="20">
        <f>AL11</f>
        <v>2890103172</v>
      </c>
      <c r="AN14" s="44">
        <f>(AL14/AM14)</f>
        <v>0.0878920903104701</v>
      </c>
      <c r="AO14" s="20">
        <f>AO3</f>
        <v>138224145</v>
      </c>
      <c r="AP14" s="20">
        <f>AO11</f>
        <v>1606887242</v>
      </c>
      <c r="AQ14" s="44">
        <f>(AO14/AP14)</f>
        <v>0.0860198160687121</v>
      </c>
      <c r="AR14" s="20">
        <f>AR3</f>
        <v>235872006</v>
      </c>
      <c r="AS14" s="20">
        <f>AR11</f>
        <v>1332810822</v>
      </c>
      <c r="AT14" s="44">
        <f>(AR14/AS14)</f>
        <v>0.17697335743872</v>
      </c>
      <c r="AU14" s="20">
        <f>AU3</f>
        <v>314473722</v>
      </c>
      <c r="AV14" s="20">
        <f>AU11</f>
        <v>2882118087</v>
      </c>
      <c r="AW14" s="44">
        <f>(AU14/AV14)</f>
        <v>0.10911201849031</v>
      </c>
      <c r="AX14" s="20">
        <f>AX3</f>
        <v>239705800</v>
      </c>
      <c r="AY14" s="20">
        <f>AX11</f>
        <v>1255827892</v>
      </c>
      <c r="AZ14" s="44">
        <f>(AX14/AY14)</f>
        <v>0.190874722186852</v>
      </c>
      <c r="BA14" s="20">
        <f>BA3</f>
        <v>209277983</v>
      </c>
      <c r="BB14" s="20">
        <f>BA11</f>
        <v>1267440753</v>
      </c>
      <c r="BC14" s="44">
        <f>(BA14/BB14)</f>
        <v>0.165118552882763</v>
      </c>
      <c r="BD14" s="20">
        <f>BD3</f>
        <v>103196039</v>
      </c>
      <c r="BE14" s="20">
        <f>BD11</f>
        <v>1302438433</v>
      </c>
      <c r="BF14" s="44">
        <f>(BD14/BE14)</f>
        <v>0.0792329498157553</v>
      </c>
      <c r="BG14" s="20">
        <f>BG3</f>
        <v>-57948682</v>
      </c>
      <c r="BH14" s="20">
        <f>BG11</f>
        <v>1302438433</v>
      </c>
      <c r="BI14" s="44">
        <f>(BG14/BH14)</f>
        <v>-0.0444924539477253</v>
      </c>
      <c r="BJ14" s="20">
        <f>BJ3</f>
        <v>80331085</v>
      </c>
      <c r="BK14" s="20">
        <f>BJ11</f>
        <v>1051814674</v>
      </c>
      <c r="BL14" s="44">
        <f>(BJ14/BK14)</f>
        <v>0.0763738013793863</v>
      </c>
      <c r="BM14" s="20">
        <f>BM3</f>
        <v>96778145</v>
      </c>
      <c r="BN14" s="20">
        <f>BM11</f>
        <v>1233967974</v>
      </c>
      <c r="BO14" s="44">
        <f>(BM14/BN14)</f>
        <v>0.0784284090342202</v>
      </c>
      <c r="BP14" s="20">
        <f>BP3</f>
        <v>93755043</v>
      </c>
      <c r="BQ14" s="20">
        <f>BP11</f>
        <v>779226291</v>
      </c>
      <c r="BR14" s="44">
        <f>(BP14/BQ14)</f>
        <v>0.120318120785789</v>
      </c>
      <c r="BS14" s="20">
        <f>BS3</f>
        <v>84998000</v>
      </c>
      <c r="BT14" s="20">
        <f>BS11</f>
        <v>851518120</v>
      </c>
      <c r="BU14" s="44">
        <f>(BS14/BT14)</f>
        <v>0.0998193673200988</v>
      </c>
      <c r="BV14" s="20">
        <f>BV3</f>
        <v>63841571</v>
      </c>
      <c r="BW14" s="20">
        <f>BV11</f>
        <v>1014450655</v>
      </c>
      <c r="BX14" s="44">
        <f>(BV14/BW14)</f>
        <v>0.0629321600664746</v>
      </c>
      <c r="BY14" s="20">
        <f>BY3</f>
        <v>52431294</v>
      </c>
      <c r="BZ14" s="20">
        <f>BY11</f>
        <v>365882123</v>
      </c>
      <c r="CA14" s="44">
        <f>(BY14/BZ14)</f>
        <v>0.143301054367174</v>
      </c>
      <c r="CB14" s="20">
        <f>CB3</f>
        <v>114529910</v>
      </c>
      <c r="CC14" s="20">
        <f>CB11</f>
        <v>793061102</v>
      </c>
      <c r="CD14" s="44">
        <f>(CB14/CC14)</f>
        <v>0.14441498859441</v>
      </c>
      <c r="CE14" s="20">
        <f>CE3</f>
        <v>84147308</v>
      </c>
      <c r="CF14" s="20">
        <f>CE11</f>
        <v>517946346</v>
      </c>
      <c r="CG14" s="44">
        <f>(CE14/CF14)</f>
        <v>0.162463368358235</v>
      </c>
      <c r="CH14" s="20">
        <f>CH3</f>
        <v>-10099622</v>
      </c>
      <c r="CI14" s="20">
        <f>CH11</f>
        <v>517946346</v>
      </c>
      <c r="CJ14" s="44">
        <f>(CH14/CI14)</f>
        <v>-0.0194993594954331</v>
      </c>
      <c r="CK14" s="20">
        <f>CK3</f>
        <v>117478000</v>
      </c>
      <c r="CL14" s="20">
        <f>CK11</f>
        <v>738458000</v>
      </c>
      <c r="CM14" s="44">
        <f>(CK14/CL14)</f>
        <v>0.159085553951613</v>
      </c>
      <c r="CN14" s="20">
        <f>CN3</f>
        <v>19600136</v>
      </c>
      <c r="CO14" s="20">
        <f>CN11</f>
        <v>738458000</v>
      </c>
      <c r="CP14" s="44">
        <f>(CN14/CO14)</f>
        <v>0.0265419780136446</v>
      </c>
      <c r="CQ14" s="20">
        <f>CQ3</f>
        <v>44711000</v>
      </c>
      <c r="CR14" s="20">
        <f>CQ11</f>
        <v>301482290</v>
      </c>
      <c r="CS14" s="44">
        <f>(CQ14/CR14)</f>
        <v>0.148303902030199</v>
      </c>
      <c r="CT14" s="20">
        <f>CT3</f>
        <v>108315081</v>
      </c>
      <c r="CU14" s="20">
        <f>CT11</f>
        <v>760099116</v>
      </c>
      <c r="CV14" s="44">
        <f>(CT14/CU14)</f>
        <v>0.142501259006858</v>
      </c>
      <c r="CW14" s="20">
        <f>CW3</f>
        <v>53727146</v>
      </c>
      <c r="CX14" s="20">
        <f>CW11</f>
        <v>760099116</v>
      </c>
      <c r="CY14" s="44">
        <f>(CW14/CX14)</f>
        <v>0.0706843947967438</v>
      </c>
      <c r="CZ14" s="20">
        <f>CZ3</f>
        <v>94418607</v>
      </c>
      <c r="DA14" s="20">
        <f>CZ11</f>
        <v>573394329</v>
      </c>
      <c r="DB14" s="44">
        <f>(CZ14/DA14)</f>
        <v>0.164666098398054</v>
      </c>
      <c r="DC14" s="20">
        <f>DC3</f>
        <v>34245000</v>
      </c>
      <c r="DD14" s="20">
        <f>DC11</f>
        <v>236943000</v>
      </c>
      <c r="DE14" s="44">
        <f>(DC14/DD14)</f>
        <v>0.144528430888442</v>
      </c>
      <c r="DF14" s="20">
        <f>DF3</f>
        <v>84153010</v>
      </c>
      <c r="DG14" s="20">
        <f>DF11</f>
        <v>428362190</v>
      </c>
      <c r="DH14" s="44">
        <f>(DF14/DG14)</f>
        <v>0.196452936240708</v>
      </c>
      <c r="DI14" s="20">
        <f>DI3</f>
        <v>40528411</v>
      </c>
      <c r="DJ14" s="20">
        <f>DI11</f>
        <v>401070653</v>
      </c>
      <c r="DK14" s="44">
        <f>(DI14/DJ14)</f>
        <v>0.101050552307551</v>
      </c>
      <c r="DL14" s="20">
        <f>DL3</f>
        <v>91773292</v>
      </c>
      <c r="DM14" s="20">
        <f>DL11</f>
        <v>547795666</v>
      </c>
      <c r="DN14" s="44">
        <f>(DL14/DM14)</f>
        <v>0.167531978976993</v>
      </c>
      <c r="DO14" s="20">
        <f>DO3</f>
        <v>51198600</v>
      </c>
      <c r="DP14" s="20">
        <f>DO11</f>
        <v>207687930</v>
      </c>
      <c r="DQ14" s="44">
        <f>(DO14/DP14)</f>
        <v>0.24651697380777</v>
      </c>
      <c r="DR14" s="20">
        <f>DR3</f>
        <v>72350985</v>
      </c>
      <c r="DS14" s="20">
        <f>DR11</f>
        <v>287350205</v>
      </c>
      <c r="DT14" s="44">
        <f>(DR14/DS14)</f>
        <v>0.25178678748463</v>
      </c>
      <c r="DU14" s="20">
        <f>DU3</f>
        <v>39583450</v>
      </c>
      <c r="DV14" s="20">
        <f>DU11</f>
        <v>181636980</v>
      </c>
      <c r="DW14" s="44">
        <f>(DU14/DV14)</f>
        <v>0.217926162392702</v>
      </c>
      <c r="DX14" s="222">
        <f>DX3</f>
        <v>66050203</v>
      </c>
      <c r="DY14" s="20">
        <f>DX11</f>
        <v>317450699</v>
      </c>
      <c r="DZ14" s="44">
        <f>(DX14/DY14)</f>
        <v>0.208064443417716</v>
      </c>
      <c r="EA14" s="20">
        <f>EA3</f>
        <v>3988214</v>
      </c>
      <c r="EB14" s="20">
        <f>EA11</f>
        <v>317450699</v>
      </c>
      <c r="EC14" s="44">
        <f>(EA14/EB14)</f>
        <v>0.0125632547433767</v>
      </c>
      <c r="ED14" s="20">
        <f>ED3</f>
        <v>42503094</v>
      </c>
      <c r="EE14" s="20">
        <f>ED11</f>
        <v>268929223</v>
      </c>
      <c r="EF14" s="44">
        <f>(ED14/EE14)</f>
        <v>0.158045650546501</v>
      </c>
      <c r="EG14" s="20">
        <f>EG3</f>
        <v>14650470</v>
      </c>
      <c r="EH14" s="20">
        <f>EG11</f>
        <v>269034180</v>
      </c>
      <c r="EI14" s="44">
        <f>(EG14/EH14)</f>
        <v>0.0544557944273103</v>
      </c>
      <c r="EJ14" s="20">
        <f>EJ3</f>
        <v>45085740</v>
      </c>
      <c r="EK14" s="20">
        <f>EJ11</f>
        <v>270809470</v>
      </c>
      <c r="EL14" s="44">
        <f>(EJ14/EK14)</f>
        <v>0.16648509374506</v>
      </c>
      <c r="EM14" s="20">
        <f>EM3</f>
        <v>9697737</v>
      </c>
      <c r="EN14" s="20">
        <f>EM11</f>
        <v>116348224</v>
      </c>
      <c r="EO14" s="44">
        <f>(EM14/EN14)</f>
        <v>0.0833509671793529</v>
      </c>
      <c r="EP14" s="20">
        <f>EP3</f>
        <v>13034566</v>
      </c>
      <c r="EQ14" s="20">
        <f>EP11</f>
        <v>116348224</v>
      </c>
      <c r="ER14" s="44">
        <f>(EP14/EQ14)</f>
        <v>0.112030640020771</v>
      </c>
      <c r="ES14" s="20">
        <f>ES3</f>
        <v>15208423</v>
      </c>
      <c r="ET14" s="20">
        <f>ES11</f>
        <v>116348224</v>
      </c>
      <c r="EU14" s="44">
        <f>(ES14/ET14)</f>
        <v>0.130714698318042</v>
      </c>
      <c r="EV14" s="20">
        <f>EV3</f>
        <v>14190940</v>
      </c>
      <c r="EW14" s="20">
        <f>EV11</f>
        <v>59145890</v>
      </c>
      <c r="EX14" s="44">
        <f>(EV14/EW14)</f>
        <v>0.239931126237174</v>
      </c>
    </row>
    <row r="15" spans="1:154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44"/>
      <c r="K15" s="20"/>
      <c r="L15" s="2"/>
      <c r="M15" s="44"/>
      <c r="N15" s="20"/>
      <c r="O15" s="2"/>
      <c r="P15" s="44"/>
      <c r="Q15" s="20"/>
      <c r="R15" s="2"/>
      <c r="S15" s="44"/>
      <c r="T15" s="20"/>
      <c r="U15" s="2"/>
      <c r="V15" s="44"/>
      <c r="W15" s="20"/>
      <c r="X15" s="2"/>
      <c r="Y15" s="44"/>
      <c r="Z15" s="20"/>
      <c r="AA15" s="2"/>
      <c r="AB15" s="44"/>
      <c r="AC15" s="20"/>
      <c r="AD15" s="2"/>
      <c r="AE15" s="227"/>
      <c r="AF15" s="20"/>
      <c r="AG15" s="2"/>
      <c r="AH15" s="44"/>
      <c r="AI15" s="20"/>
      <c r="AJ15" s="2"/>
      <c r="AK15" s="44"/>
      <c r="AL15" s="20"/>
      <c r="AM15" s="2"/>
      <c r="AN15" s="44"/>
      <c r="AO15" s="20"/>
      <c r="AP15" s="2"/>
      <c r="AQ15" s="44"/>
      <c r="AR15" s="20"/>
      <c r="AS15" s="2"/>
      <c r="AT15" s="44"/>
      <c r="AU15" s="20"/>
      <c r="AV15" s="2"/>
      <c r="AW15" s="44"/>
      <c r="AX15" s="20"/>
      <c r="AY15" s="2"/>
      <c r="AZ15" s="44"/>
      <c r="BA15" s="20"/>
      <c r="BB15" s="2"/>
      <c r="BC15" s="44"/>
      <c r="BD15" s="20"/>
      <c r="BE15" s="2"/>
      <c r="BF15" s="44"/>
      <c r="BG15" s="20"/>
      <c r="BH15" s="2"/>
      <c r="BI15" s="44"/>
      <c r="BJ15" s="20"/>
      <c r="BK15" s="2"/>
      <c r="BL15" s="44"/>
      <c r="BM15" s="20"/>
      <c r="BN15" s="2"/>
      <c r="BO15" s="44"/>
      <c r="BP15" s="20"/>
      <c r="BQ15" s="2"/>
      <c r="BR15" s="44"/>
      <c r="BS15" s="20"/>
      <c r="BT15" s="2"/>
      <c r="BU15" s="44"/>
      <c r="BV15" s="20"/>
      <c r="BW15" s="2"/>
      <c r="BX15" s="44"/>
      <c r="BY15" s="20"/>
      <c r="BZ15" s="2"/>
      <c r="CA15" s="44"/>
      <c r="CB15" s="20"/>
      <c r="CC15" s="2"/>
      <c r="CD15" s="44"/>
      <c r="CE15" s="20"/>
      <c r="CF15" s="2"/>
      <c r="CG15" s="44"/>
      <c r="CH15" s="20"/>
      <c r="CI15" s="2"/>
      <c r="CJ15" s="44"/>
      <c r="CK15" s="20"/>
      <c r="CL15" s="2"/>
      <c r="CM15" s="44"/>
      <c r="CN15" s="20"/>
      <c r="CO15" s="2"/>
      <c r="CP15" s="44"/>
      <c r="CQ15" s="20"/>
      <c r="CR15" s="2"/>
      <c r="CS15" s="44"/>
      <c r="CT15" s="20"/>
      <c r="CU15" s="2"/>
      <c r="CV15" s="44"/>
      <c r="CW15" s="20"/>
      <c r="CX15" s="2"/>
      <c r="CY15" s="44"/>
      <c r="CZ15" s="20"/>
      <c r="DA15" s="2"/>
      <c r="DB15" s="44"/>
      <c r="DC15" s="20"/>
      <c r="DD15" s="2"/>
      <c r="DE15" s="44"/>
      <c r="DF15" s="20"/>
      <c r="DG15" s="2"/>
      <c r="DH15" s="44"/>
      <c r="DI15" s="20"/>
      <c r="DJ15" s="2"/>
      <c r="DK15" s="44"/>
      <c r="DL15" s="20"/>
      <c r="DM15" s="2"/>
      <c r="DN15" s="44"/>
      <c r="DO15" s="20"/>
      <c r="DP15" s="2"/>
      <c r="DQ15" s="44"/>
      <c r="DR15" s="20"/>
      <c r="DS15" s="2"/>
      <c r="DT15" s="44"/>
      <c r="DU15" s="20"/>
      <c r="DV15" s="2"/>
      <c r="DW15" s="44"/>
      <c r="DX15" s="222"/>
      <c r="DY15" s="2"/>
      <c r="DZ15" s="44"/>
      <c r="EA15" s="20"/>
      <c r="EB15" s="2"/>
      <c r="EC15" s="44"/>
      <c r="ED15" s="20"/>
      <c r="EE15" s="2"/>
      <c r="EF15" s="44"/>
      <c r="EG15" s="20"/>
      <c r="EH15" s="2"/>
      <c r="EI15" s="44"/>
      <c r="EJ15" s="20"/>
      <c r="EK15" s="2"/>
      <c r="EL15" s="44"/>
      <c r="EM15" s="20"/>
      <c r="EN15" s="2"/>
      <c r="EO15" s="44"/>
      <c r="EP15" s="20"/>
      <c r="EQ15" s="2"/>
      <c r="ER15" s="44"/>
      <c r="ES15" s="20"/>
      <c r="ET15" s="2"/>
      <c r="EU15" s="44"/>
      <c r="EV15" s="20"/>
      <c r="EW15" s="2"/>
      <c r="EX15" s="44"/>
    </row>
    <row r="16" spans="1:154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20"/>
      <c r="AM16" s="2"/>
      <c r="AN16" s="38"/>
      <c r="AO16" s="20"/>
      <c r="AP16" s="2"/>
      <c r="AQ16" s="38"/>
      <c r="AR16" s="20"/>
      <c r="AS16" s="2"/>
      <c r="AT16" s="38"/>
      <c r="AU16" s="20"/>
      <c r="AV16" s="2"/>
      <c r="AW16" s="38"/>
      <c r="AX16" s="20"/>
      <c r="AY16" s="2"/>
      <c r="AZ16" s="38"/>
      <c r="BA16" s="20"/>
      <c r="BB16" s="2"/>
      <c r="BC16" s="38"/>
      <c r="BD16" s="20"/>
      <c r="BE16" s="2"/>
      <c r="BF16" s="38"/>
      <c r="BG16" s="20"/>
      <c r="BH16" s="2"/>
      <c r="BI16" s="38"/>
      <c r="BJ16" s="20"/>
      <c r="BK16" s="2"/>
      <c r="BL16" s="38"/>
      <c r="BM16" s="20"/>
      <c r="BN16" s="2"/>
      <c r="BO16" s="38"/>
      <c r="BP16" s="20"/>
      <c r="BQ16" s="2"/>
      <c r="BR16" s="38"/>
      <c r="BS16" s="20"/>
      <c r="BT16" s="2"/>
      <c r="BU16" s="38"/>
      <c r="BV16" s="20"/>
      <c r="BW16" s="2"/>
      <c r="BX16" s="38"/>
      <c r="BY16" s="20"/>
      <c r="BZ16" s="2"/>
      <c r="CA16" s="38"/>
      <c r="CB16" s="20"/>
      <c r="CC16" s="2"/>
      <c r="CD16" s="38"/>
      <c r="CE16" s="20"/>
      <c r="CF16" s="2"/>
      <c r="CG16" s="38"/>
      <c r="CH16" s="20"/>
      <c r="CI16" s="2"/>
      <c r="CJ16" s="38"/>
      <c r="CK16" s="20"/>
      <c r="CL16" s="2"/>
      <c r="CM16" s="38"/>
      <c r="CN16" s="20"/>
      <c r="CO16" s="2"/>
      <c r="CP16" s="38"/>
      <c r="CQ16" s="20"/>
      <c r="CR16" s="2"/>
      <c r="CS16" s="38"/>
      <c r="CT16" s="20"/>
      <c r="CU16" s="2"/>
      <c r="CV16" s="38"/>
      <c r="CW16" s="20"/>
      <c r="CX16" s="2"/>
      <c r="CY16" s="38"/>
      <c r="CZ16" s="20"/>
      <c r="DA16" s="2"/>
      <c r="DB16" s="38"/>
      <c r="DC16" s="20"/>
      <c r="DD16" s="2"/>
      <c r="DE16" s="38"/>
      <c r="DF16" s="20"/>
      <c r="DG16" s="2"/>
      <c r="DH16" s="38"/>
      <c r="DI16" s="20"/>
      <c r="DJ16" s="2"/>
      <c r="DK16" s="38"/>
      <c r="DL16" s="20"/>
      <c r="DM16" s="2"/>
      <c r="DN16" s="38"/>
      <c r="DO16" s="20"/>
      <c r="DP16" s="2"/>
      <c r="DQ16" s="38"/>
      <c r="DR16" s="20"/>
      <c r="DS16" s="2"/>
      <c r="DT16" s="38"/>
      <c r="DU16" s="20"/>
      <c r="DV16" s="2"/>
      <c r="DW16" s="38"/>
      <c r="DX16" s="222"/>
      <c r="DY16" s="2"/>
      <c r="DZ16" s="38"/>
      <c r="EA16" s="20"/>
      <c r="EB16" s="2"/>
      <c r="EC16" s="38"/>
      <c r="ED16" s="20"/>
      <c r="EE16" s="2"/>
      <c r="EF16" s="38"/>
      <c r="EG16" s="20"/>
      <c r="EH16" s="2"/>
      <c r="EI16" s="38"/>
      <c r="EJ16" s="20"/>
      <c r="EK16" s="2"/>
      <c r="EL16" s="38"/>
      <c r="EM16" s="20"/>
      <c r="EN16" s="2"/>
      <c r="EO16" s="38"/>
      <c r="EP16" s="20"/>
      <c r="EQ16" s="2"/>
      <c r="ER16" s="38"/>
      <c r="ES16" s="20"/>
      <c r="ET16" s="2"/>
      <c r="EU16" s="38"/>
      <c r="EV16" s="20"/>
      <c r="EW16" s="2"/>
      <c r="EX16" s="38"/>
    </row>
    <row r="17" ht="30" spans="1:154">
      <c r="A17" s="2">
        <v>6</v>
      </c>
      <c r="B17" s="2" t="s">
        <v>177</v>
      </c>
      <c r="C17" s="2" t="s">
        <v>171</v>
      </c>
      <c r="D17" s="41" t="s">
        <v>178</v>
      </c>
      <c r="E17" s="20">
        <v>34267222257</v>
      </c>
      <c r="F17" s="20">
        <v>38123180344</v>
      </c>
      <c r="G17" s="38">
        <f>((E17-F17)/F17)*100</f>
        <v>-10.114471175296</v>
      </c>
      <c r="H17" s="20">
        <v>39785398036</v>
      </c>
      <c r="I17" s="20">
        <v>35330915994</v>
      </c>
      <c r="J17" s="38">
        <f>((H17-I17)/I17)*100</f>
        <v>12.6078872191043</v>
      </c>
      <c r="K17" s="20">
        <v>27313635293</v>
      </c>
      <c r="L17" s="20">
        <v>25874567913</v>
      </c>
      <c r="M17" s="38">
        <f>((K17-L17)/L17)*100</f>
        <v>5.56170593780999</v>
      </c>
      <c r="N17" s="20">
        <v>24553535751</v>
      </c>
      <c r="O17" s="20">
        <v>24126806408</v>
      </c>
      <c r="P17" s="38">
        <f>((N17-O17)/O17)*100</f>
        <v>1.7686938577105</v>
      </c>
      <c r="Q17" s="20">
        <v>24218650000</v>
      </c>
      <c r="R17" s="20">
        <v>20539362000</v>
      </c>
      <c r="S17" s="38">
        <f>((Q17-R17)/R17)*100</f>
        <v>17.9133509599763</v>
      </c>
      <c r="T17" s="20">
        <v>25322822545</v>
      </c>
      <c r="U17" s="20">
        <v>23169748999</v>
      </c>
      <c r="V17" s="38">
        <f>((T17-U17)/U17)*100</f>
        <v>9.29260626039983</v>
      </c>
      <c r="W17" s="20">
        <v>21699229675</v>
      </c>
      <c r="X17" s="20">
        <v>19581331837</v>
      </c>
      <c r="Y17" s="38">
        <f>((W17-X17)/X17)*100</f>
        <v>10.8159028999147</v>
      </c>
      <c r="Z17" s="20">
        <v>21699229675</v>
      </c>
      <c r="AA17" s="20">
        <v>19581331837</v>
      </c>
      <c r="AB17" s="38">
        <f>((Z17-AA17)/AA17)*100</f>
        <v>10.8159028999147</v>
      </c>
      <c r="AC17" s="20">
        <v>6090792569</v>
      </c>
      <c r="AD17" s="20">
        <v>7408077363</v>
      </c>
      <c r="AE17" s="43">
        <f>((AC17-AD17)/AD17)*100</f>
        <v>-17.781736467538</v>
      </c>
      <c r="AF17" s="20">
        <v>15017884501</v>
      </c>
      <c r="AG17" s="20">
        <v>13756742914</v>
      </c>
      <c r="AH17" s="38">
        <f>((AF17-AG17)/AG17)*100</f>
        <v>9.16744315775908</v>
      </c>
      <c r="AI17" s="20">
        <v>15017884501</v>
      </c>
      <c r="AJ17" s="20">
        <v>13756742914</v>
      </c>
      <c r="AK17" s="38">
        <f>((AI17-AJ17)/AJ17)*100</f>
        <v>9.16744315775908</v>
      </c>
      <c r="AL17" s="20">
        <v>20138329611</v>
      </c>
      <c r="AM17" s="20">
        <v>20122039492</v>
      </c>
      <c r="AN17" s="38">
        <f>((AL17-AM17)/AM17)*100</f>
        <v>0.0809565998838066</v>
      </c>
      <c r="AO17" s="20">
        <v>11920127117</v>
      </c>
      <c r="AP17" s="20">
        <v>11107755885</v>
      </c>
      <c r="AQ17" s="38">
        <f>((AO17-AP17)/AP17)*100</f>
        <v>7.31354956312132</v>
      </c>
      <c r="AR17" s="20">
        <v>9836330354</v>
      </c>
      <c r="AS17" s="20">
        <v>8501959959</v>
      </c>
      <c r="AT17" s="38">
        <f>((AR17-AS17)/AS17)*100</f>
        <v>15.6948562617901</v>
      </c>
      <c r="AU17" s="20">
        <v>12678533151</v>
      </c>
      <c r="AV17" s="20">
        <v>11418606516</v>
      </c>
      <c r="AW17" s="38">
        <f>((AU17-AV17)/AV17)*100</f>
        <v>11.0339789118275</v>
      </c>
      <c r="AX17" s="20">
        <v>9294279909</v>
      </c>
      <c r="AY17" s="20">
        <v>8071745626</v>
      </c>
      <c r="AZ17" s="38">
        <f>((AX17-AY17)/AY17)*100</f>
        <v>15.1458474987378</v>
      </c>
      <c r="BA17" s="20">
        <v>9294279909</v>
      </c>
      <c r="BB17" s="20">
        <v>8071745626</v>
      </c>
      <c r="BC17" s="38">
        <f>((BA17-BB17)/BB17)*100</f>
        <v>15.1458474987378</v>
      </c>
      <c r="BD17" s="20">
        <v>6244362745</v>
      </c>
      <c r="BE17" s="20">
        <v>6306102101</v>
      </c>
      <c r="BF17" s="38">
        <f>((BD17-BE17)/BE17)*100</f>
        <v>-0.979041490466981</v>
      </c>
      <c r="BG17" s="20">
        <v>6244362745</v>
      </c>
      <c r="BH17" s="20">
        <v>6306102101</v>
      </c>
      <c r="BI17" s="38">
        <f>((BG17-BH17)/BH17)*100</f>
        <v>-0.979041490466981</v>
      </c>
      <c r="BJ17" s="20">
        <v>9888359924</v>
      </c>
      <c r="BK17" s="20">
        <v>9754158386</v>
      </c>
      <c r="BL17" s="38">
        <f>((BJ17-BK17)/BK17)*100</f>
        <v>1.37583923378379</v>
      </c>
      <c r="BM17" s="20">
        <v>9595429271</v>
      </c>
      <c r="BN17" s="20">
        <v>9112205648</v>
      </c>
      <c r="BO17" s="38">
        <f>((BM17-BN17)/BN17)*100</f>
        <v>5.30303684603585</v>
      </c>
      <c r="BP17" s="20">
        <v>5838226212</v>
      </c>
      <c r="BQ17" s="20">
        <v>5188303838</v>
      </c>
      <c r="BR17" s="38">
        <f>((BP17-BQ17)/BQ17)*100</f>
        <v>12.5266829833646</v>
      </c>
      <c r="BS17" s="20">
        <v>5496406080</v>
      </c>
      <c r="BT17" s="20">
        <v>4269286700</v>
      </c>
      <c r="BU17" s="38">
        <f>((BS17-BT17)/BT17)*100</f>
        <v>28.7429602701547</v>
      </c>
      <c r="BV17" s="20">
        <v>6752313137</v>
      </c>
      <c r="BW17" s="20">
        <v>5316104154</v>
      </c>
      <c r="BX17" s="38">
        <f>((BV17-BW17)/BW17)*100</f>
        <v>27.0161934641433</v>
      </c>
      <c r="BY17" s="20">
        <v>3761927455</v>
      </c>
      <c r="BZ17" s="20">
        <v>3572028235</v>
      </c>
      <c r="CA17" s="38">
        <f>((BY17-BZ17)/BZ17)*100</f>
        <v>5.31628552482593</v>
      </c>
      <c r="CB17" s="20">
        <v>5247941255</v>
      </c>
      <c r="CC17" s="20">
        <v>4582488791</v>
      </c>
      <c r="CD17" s="38">
        <f>((CB17-CC17)/CC17)*100</f>
        <v>14.5216386629673</v>
      </c>
      <c r="CE17" s="20">
        <v>5498664713</v>
      </c>
      <c r="CF17" s="20">
        <v>4893588372</v>
      </c>
      <c r="CG17" s="38">
        <f>((CE17-CF17)/CF17)*100</f>
        <v>12.3646758779735</v>
      </c>
      <c r="CH17" s="20">
        <v>5498664713</v>
      </c>
      <c r="CI17" s="20">
        <v>4893588372</v>
      </c>
      <c r="CJ17" s="38">
        <f>((CH17-CI17)/CI17)*100</f>
        <v>12.3646758779735</v>
      </c>
      <c r="CK17" s="20">
        <v>6255214000</v>
      </c>
      <c r="CL17" s="20">
        <v>5959722000</v>
      </c>
      <c r="CM17" s="38">
        <f>((CK17-CL17)/CL17)*100</f>
        <v>4.95815073253417</v>
      </c>
      <c r="CN17" s="20">
        <v>6255214000</v>
      </c>
      <c r="CO17" s="20">
        <v>5959722000</v>
      </c>
      <c r="CP17" s="38">
        <f>((CN17-CO17)/CO17)*100</f>
        <v>4.95815073253417</v>
      </c>
      <c r="CQ17" s="20">
        <v>1553410950</v>
      </c>
      <c r="CR17" s="20">
        <v>1478651510</v>
      </c>
      <c r="CS17" s="38">
        <f>((CQ17-CR17)/CR17)*100</f>
        <v>5.05592017418628</v>
      </c>
      <c r="CT17" s="20">
        <v>4847429143</v>
      </c>
      <c r="CU17" s="20">
        <v>3897112361</v>
      </c>
      <c r="CV17" s="38">
        <f>((CT17-CU17)/CU17)*100</f>
        <v>24.3851522350294</v>
      </c>
      <c r="CW17" s="20">
        <v>4847429143</v>
      </c>
      <c r="CX17" s="20">
        <v>3897112361</v>
      </c>
      <c r="CY17" s="38">
        <f>((CW17-CX17)/CX17)*100</f>
        <v>24.3851522350294</v>
      </c>
      <c r="CZ17" s="20">
        <v>5315264492</v>
      </c>
      <c r="DA17" s="20">
        <v>4242635376</v>
      </c>
      <c r="DB17" s="38">
        <f>((CZ17-DA17)/DA17)*100</f>
        <v>25.2821423699928</v>
      </c>
      <c r="DC17" s="20">
        <v>2458326000</v>
      </c>
      <c r="DD17" s="20">
        <v>2177629000</v>
      </c>
      <c r="DE17" s="38">
        <f>((DC17-DD17)/DD17)*100</f>
        <v>12.8900285585837</v>
      </c>
      <c r="DF17" s="20">
        <v>2969146830</v>
      </c>
      <c r="DG17" s="20">
        <v>2754935120</v>
      </c>
      <c r="DH17" s="38">
        <f>((DF17-DG17)/DG17)*100</f>
        <v>7.77556278711929</v>
      </c>
      <c r="DI17" s="20">
        <v>3163497856</v>
      </c>
      <c r="DJ17" s="20">
        <v>3031503124</v>
      </c>
      <c r="DK17" s="38">
        <f>((DI17-DJ17)/DJ17)*100</f>
        <v>4.35410179705954</v>
      </c>
      <c r="DL17" s="20">
        <v>4924690276</v>
      </c>
      <c r="DM17" s="20">
        <v>3743795732</v>
      </c>
      <c r="DN17" s="38">
        <f>((DL17-DM17)/DM17)*100</f>
        <v>31.5427076831766</v>
      </c>
      <c r="DO17" s="20">
        <v>1929179060</v>
      </c>
      <c r="DP17" s="20">
        <v>1667830700</v>
      </c>
      <c r="DQ17" s="38">
        <f>((DO17-DP17)/DP17)*100</f>
        <v>15.6699573883608</v>
      </c>
      <c r="DR17" s="20">
        <v>2884103650</v>
      </c>
      <c r="DS17" s="20">
        <v>2339547237</v>
      </c>
      <c r="DT17" s="38">
        <f>((DR17-DS17)/DS17)*100</f>
        <v>23.2761452467309</v>
      </c>
      <c r="DU17" s="20">
        <v>1947825120</v>
      </c>
      <c r="DV17" s="20">
        <v>1681732820</v>
      </c>
      <c r="DW17" s="38">
        <f>((DU17-DV17)/DV17)*100</f>
        <v>15.8225074063786</v>
      </c>
      <c r="DX17" s="222">
        <v>3450125602</v>
      </c>
      <c r="DY17" s="20">
        <v>2163332967</v>
      </c>
      <c r="DZ17" s="38">
        <f>((DX17-DY17)/DY17)*100</f>
        <v>59.481950057113</v>
      </c>
      <c r="EA17" s="20">
        <v>3450125602</v>
      </c>
      <c r="EB17" s="20">
        <v>2163332967</v>
      </c>
      <c r="EC17" s="38">
        <f>((EA17-EB17)/EB17)*100</f>
        <v>59.481950057113</v>
      </c>
      <c r="ED17" s="20">
        <v>2293911718</v>
      </c>
      <c r="EE17" s="20">
        <v>2057800256</v>
      </c>
      <c r="EF17" s="38">
        <f>((ED17-EE17)/EE17)*100</f>
        <v>11.4739737888341</v>
      </c>
      <c r="EG17" s="20">
        <v>2083467730</v>
      </c>
      <c r="EH17" s="20">
        <v>2069137570</v>
      </c>
      <c r="EI17" s="38">
        <f>((EG17-EH17)/EH17)*100</f>
        <v>0.692566806952328</v>
      </c>
      <c r="EJ17" s="20">
        <v>2699399080</v>
      </c>
      <c r="EK17" s="20">
        <v>2193006950</v>
      </c>
      <c r="EL17" s="38">
        <f>((EJ17-EK17)/EK17)*100</f>
        <v>23.0912232175096</v>
      </c>
      <c r="EM17" s="20">
        <v>801566055</v>
      </c>
      <c r="EN17" s="20">
        <v>708787898</v>
      </c>
      <c r="EO17" s="38">
        <f>((EM17-EN17)/EN17)*100</f>
        <v>13.0896925951746</v>
      </c>
      <c r="EP17" s="20">
        <v>801566055</v>
      </c>
      <c r="EQ17" s="20">
        <v>708787898</v>
      </c>
      <c r="ER17" s="38">
        <f>((EP17-EQ17)/EQ17)*100</f>
        <v>13.0896925951746</v>
      </c>
      <c r="ES17" s="20">
        <v>801566055</v>
      </c>
      <c r="ET17" s="20">
        <v>708787898</v>
      </c>
      <c r="EU17" s="38">
        <f>((ES17-ET17)/ET17)*100</f>
        <v>13.0896925951746</v>
      </c>
      <c r="EV17" s="20">
        <v>478813060</v>
      </c>
      <c r="EW17" s="20">
        <v>477116730</v>
      </c>
      <c r="EX17" s="38">
        <f>((EV17-EW17)/EW17)*100</f>
        <v>0.355537731825082</v>
      </c>
    </row>
    <row r="18" spans="1:154">
      <c r="A18" s="2"/>
      <c r="B18" s="2"/>
      <c r="C18" s="2"/>
      <c r="D18" s="2"/>
      <c r="E18" s="20"/>
      <c r="F18" s="2"/>
      <c r="G18" s="38"/>
      <c r="H18" s="20"/>
      <c r="I18" s="2"/>
      <c r="J18" s="38"/>
      <c r="K18" s="20"/>
      <c r="L18" s="2"/>
      <c r="M18" s="38"/>
      <c r="N18" s="20"/>
      <c r="O18" s="2"/>
      <c r="P18" s="38"/>
      <c r="Q18" s="20"/>
      <c r="R18" s="2"/>
      <c r="S18" s="38"/>
      <c r="T18" s="20"/>
      <c r="U18" s="2"/>
      <c r="V18" s="38"/>
      <c r="W18" s="20"/>
      <c r="X18" s="2"/>
      <c r="Y18" s="38"/>
      <c r="Z18" s="20"/>
      <c r="AA18" s="2"/>
      <c r="AB18" s="38"/>
      <c r="AC18" s="20"/>
      <c r="AD18" s="2"/>
      <c r="AE18" s="38"/>
      <c r="AF18" s="20"/>
      <c r="AG18" s="2"/>
      <c r="AH18" s="38"/>
      <c r="AI18" s="20"/>
      <c r="AJ18" s="2"/>
      <c r="AK18" s="38"/>
      <c r="AL18" s="20"/>
      <c r="AM18" s="2"/>
      <c r="AN18" s="38"/>
      <c r="AO18" s="20"/>
      <c r="AP18" s="2"/>
      <c r="AQ18" s="38"/>
      <c r="AR18" s="20"/>
      <c r="AS18" s="2"/>
      <c r="AT18" s="38"/>
      <c r="AU18" s="20"/>
      <c r="AV18" s="2"/>
      <c r="AW18" s="38"/>
      <c r="AX18" s="20"/>
      <c r="AY18" s="2"/>
      <c r="AZ18" s="38"/>
      <c r="BA18" s="20"/>
      <c r="BB18" s="2"/>
      <c r="BC18" s="38"/>
      <c r="BD18" s="20"/>
      <c r="BE18" s="2"/>
      <c r="BF18" s="38"/>
      <c r="BG18" s="20"/>
      <c r="BH18" s="2"/>
      <c r="BI18" s="38"/>
      <c r="BJ18" s="20"/>
      <c r="BK18" s="2"/>
      <c r="BL18" s="38"/>
      <c r="BM18" s="20"/>
      <c r="BN18" s="2"/>
      <c r="BO18" s="38"/>
      <c r="BP18" s="20"/>
      <c r="BQ18" s="2"/>
      <c r="BR18" s="38"/>
      <c r="BS18" s="20"/>
      <c r="BT18" s="2"/>
      <c r="BU18" s="38"/>
      <c r="BV18" s="20"/>
      <c r="BW18" s="2"/>
      <c r="BX18" s="38"/>
      <c r="BY18" s="20"/>
      <c r="BZ18" s="2"/>
      <c r="CA18" s="38"/>
      <c r="CB18" s="20"/>
      <c r="CC18" s="2"/>
      <c r="CD18" s="38"/>
      <c r="CE18" s="20"/>
      <c r="CF18" s="2"/>
      <c r="CG18" s="38"/>
      <c r="CH18" s="20"/>
      <c r="CI18" s="2"/>
      <c r="CJ18" s="38"/>
      <c r="CK18" s="20"/>
      <c r="CL18" s="2"/>
      <c r="CM18" s="38"/>
      <c r="CN18" s="20"/>
      <c r="CO18" s="2"/>
      <c r="CP18" s="38"/>
      <c r="CQ18" s="20"/>
      <c r="CR18" s="2"/>
      <c r="CS18" s="38"/>
      <c r="CT18" s="20"/>
      <c r="CU18" s="2"/>
      <c r="CV18" s="38"/>
      <c r="CW18" s="20"/>
      <c r="CX18" s="2"/>
      <c r="CY18" s="38"/>
      <c r="CZ18" s="20"/>
      <c r="DA18" s="2"/>
      <c r="DB18" s="38"/>
      <c r="DC18" s="20"/>
      <c r="DD18" s="2"/>
      <c r="DE18" s="38"/>
      <c r="DF18" s="20"/>
      <c r="DG18" s="2"/>
      <c r="DH18" s="38"/>
      <c r="DI18" s="20"/>
      <c r="DJ18" s="2"/>
      <c r="DK18" s="38"/>
      <c r="DL18" s="20"/>
      <c r="DM18" s="2"/>
      <c r="DN18" s="38"/>
      <c r="DO18" s="20"/>
      <c r="DP18" s="2"/>
      <c r="DQ18" s="38"/>
      <c r="DR18" s="20"/>
      <c r="DS18" s="2"/>
      <c r="DT18" s="38"/>
      <c r="DU18" s="20"/>
      <c r="DV18" s="2"/>
      <c r="DW18" s="38"/>
      <c r="DX18" s="222"/>
      <c r="DY18" s="2"/>
      <c r="DZ18" s="38"/>
      <c r="EA18" s="20"/>
      <c r="EB18" s="2"/>
      <c r="EC18" s="38"/>
      <c r="ED18" s="20"/>
      <c r="EE18" s="2"/>
      <c r="EF18" s="38"/>
      <c r="EG18" s="20"/>
      <c r="EH18" s="2"/>
      <c r="EI18" s="38"/>
      <c r="EJ18" s="20"/>
      <c r="EK18" s="2"/>
      <c r="EL18" s="38"/>
      <c r="EM18" s="20"/>
      <c r="EN18" s="2"/>
      <c r="EO18" s="38"/>
      <c r="EP18" s="20"/>
      <c r="EQ18" s="2"/>
      <c r="ER18" s="38"/>
      <c r="ES18" s="20"/>
      <c r="ET18" s="2"/>
      <c r="EU18" s="38"/>
      <c r="EV18" s="20"/>
      <c r="EW18" s="2"/>
      <c r="EX18" s="38"/>
    </row>
    <row r="19" spans="1:154">
      <c r="A19" s="2">
        <v>7</v>
      </c>
      <c r="B19" s="6" t="s">
        <v>179</v>
      </c>
      <c r="C19" s="2" t="s">
        <v>171</v>
      </c>
      <c r="D19" s="2" t="s">
        <v>172</v>
      </c>
      <c r="E19" s="20">
        <v>20586411601</v>
      </c>
      <c r="F19" s="20">
        <v>20146222372</v>
      </c>
      <c r="G19" s="38">
        <f>((E19-F19)/F19)*100</f>
        <v>2.18497155879602</v>
      </c>
      <c r="H19" s="20">
        <v>39428776488</v>
      </c>
      <c r="I19" s="20">
        <v>33727305657</v>
      </c>
      <c r="J19" s="38">
        <f>((H19-I19)/I19)*100</f>
        <v>16.9046139913541</v>
      </c>
      <c r="K19" s="20">
        <v>12305104567</v>
      </c>
      <c r="L19" s="20">
        <v>10533042513</v>
      </c>
      <c r="M19" s="38">
        <f>((K19-L19)/L19)*100</f>
        <v>16.8238384285728</v>
      </c>
      <c r="N19" s="20">
        <v>20828013865</v>
      </c>
      <c r="O19" s="20">
        <v>20185243809</v>
      </c>
      <c r="P19" s="38">
        <f>((N19-O19)/O19)*100</f>
        <v>3.18435616672318</v>
      </c>
      <c r="Q19" s="20">
        <v>6464766000</v>
      </c>
      <c r="R19" s="20">
        <v>5245133000</v>
      </c>
      <c r="S19" s="38">
        <f>((Q19-R19)/R19)*100</f>
        <v>23.2526610860011</v>
      </c>
      <c r="T19" s="20">
        <v>11016434194</v>
      </c>
      <c r="U19" s="20">
        <v>9600064316</v>
      </c>
      <c r="V19" s="38">
        <f>((T19-U19)/U19)*100</f>
        <v>14.7537540518286</v>
      </c>
      <c r="W19" s="20">
        <v>15859664483</v>
      </c>
      <c r="X19" s="20">
        <v>14065627648</v>
      </c>
      <c r="Y19" s="38">
        <f>((W19-X19)/X19)*100</f>
        <v>12.7547584785887</v>
      </c>
      <c r="Z19" s="20">
        <v>15859664483</v>
      </c>
      <c r="AA19" s="20">
        <v>14065627648</v>
      </c>
      <c r="AB19" s="38">
        <f>((Z19-AA19)/AA19)*100</f>
        <v>12.7547584785887</v>
      </c>
      <c r="AC19" s="20">
        <v>4909681172</v>
      </c>
      <c r="AD19" s="20">
        <v>6968540757</v>
      </c>
      <c r="AE19" s="43">
        <f>((AC19-AD19)/AD19)*100</f>
        <v>-29.5450605341132</v>
      </c>
      <c r="AF19" s="20">
        <v>3980898880</v>
      </c>
      <c r="AG19" s="20">
        <v>3407984072</v>
      </c>
      <c r="AH19" s="38">
        <f>((AF19-AG19)/AG19)*100</f>
        <v>16.8109590859614</v>
      </c>
      <c r="AI19" s="20">
        <v>3980898880</v>
      </c>
      <c r="AJ19" s="20">
        <v>3407984072</v>
      </c>
      <c r="AK19" s="38">
        <f>((AI19-AJ19)/AJ19)*100</f>
        <v>16.8109590859614</v>
      </c>
      <c r="AL19" s="20">
        <v>6459901784</v>
      </c>
      <c r="AM19" s="20">
        <v>6141279950</v>
      </c>
      <c r="AN19" s="38">
        <f>((AL19-AM19)/AM19)*100</f>
        <v>5.18819914731293</v>
      </c>
      <c r="AO19" s="20">
        <v>5526007203</v>
      </c>
      <c r="AP19" s="20">
        <v>4824767842</v>
      </c>
      <c r="AQ19" s="38">
        <f>((AO19-AP19)/AP19)*100</f>
        <v>14.5341575794726</v>
      </c>
      <c r="AR19" s="20">
        <v>3610588612</v>
      </c>
      <c r="AS19" s="20">
        <v>3070490825</v>
      </c>
      <c r="AT19" s="38">
        <f>((AR19-AS19)/AS19)*100</f>
        <v>17.5899495482127</v>
      </c>
      <c r="AU19" s="20">
        <v>3560713376</v>
      </c>
      <c r="AV19" s="20">
        <v>3546409212</v>
      </c>
      <c r="AW19" s="38">
        <f>((AU19-AV19)/AV19)*100</f>
        <v>0.403342173587835</v>
      </c>
      <c r="AX19" s="20">
        <v>4497330470</v>
      </c>
      <c r="AY19" s="20">
        <v>3733553067</v>
      </c>
      <c r="AZ19" s="38">
        <f>((AX19-AY19)/AY19)*100</f>
        <v>20.4571192452265</v>
      </c>
      <c r="BA19" s="20">
        <v>10449350302</v>
      </c>
      <c r="BB19" s="20">
        <v>9555877722</v>
      </c>
      <c r="BC19" s="38">
        <f>((BA19-BB19)/BB19)*100</f>
        <v>9.34997920644175</v>
      </c>
      <c r="BD19" s="20">
        <v>0</v>
      </c>
      <c r="BE19" s="20">
        <v>1</v>
      </c>
      <c r="BF19" s="219">
        <f>((BD19-BE19)/BE19)*100</f>
        <v>-100</v>
      </c>
      <c r="BG19" s="20">
        <v>0</v>
      </c>
      <c r="BH19" s="20">
        <v>1</v>
      </c>
      <c r="BI19" s="38">
        <f>((BG19-BH19)/BH19)*100</f>
        <v>-100</v>
      </c>
      <c r="BJ19" s="20">
        <v>2722727099</v>
      </c>
      <c r="BK19" s="20">
        <v>2543213058</v>
      </c>
      <c r="BL19" s="38">
        <f>((BJ19-BK19)/BK19)*100</f>
        <v>7.05855297633502</v>
      </c>
      <c r="BM19" s="20">
        <v>2078165520</v>
      </c>
      <c r="BN19" s="20">
        <v>1896818682</v>
      </c>
      <c r="BO19" s="38">
        <f>((BM19-BN19)/BN19)*100</f>
        <v>9.56057844225725</v>
      </c>
      <c r="BP19" s="20">
        <v>1391092154</v>
      </c>
      <c r="BQ19" s="20">
        <v>1258211847</v>
      </c>
      <c r="BR19" s="38">
        <f>((BP19-BQ19)/BQ19)*100</f>
        <v>10.5610440178918</v>
      </c>
      <c r="BS19" s="20">
        <v>1601860960</v>
      </c>
      <c r="BT19" s="20">
        <v>1369128610</v>
      </c>
      <c r="BU19" s="38">
        <f>((BS19-BT19)/BT19)*100</f>
        <v>16.9985747357949</v>
      </c>
      <c r="BV19" s="20">
        <v>1567726762</v>
      </c>
      <c r="BW19" s="20">
        <v>1333476327</v>
      </c>
      <c r="BX19" s="38">
        <f>((BV19-BW19)/BW19)*100</f>
        <v>17.5668986585616</v>
      </c>
      <c r="BY19" s="20">
        <v>1209592604</v>
      </c>
      <c r="BZ19" s="20">
        <v>1096507958</v>
      </c>
      <c r="CA19" s="38">
        <f>((BY19-BZ19)/BZ19)*100</f>
        <v>10.3131623601039</v>
      </c>
      <c r="CB19" s="20">
        <v>1830212896</v>
      </c>
      <c r="CC19" s="20">
        <v>1645473375</v>
      </c>
      <c r="CD19" s="38">
        <f>((CB19-CC19)/CC19)*100</f>
        <v>11.227135230918</v>
      </c>
      <c r="CE19" s="20">
        <v>1940839196</v>
      </c>
      <c r="CF19" s="20">
        <v>1573799756</v>
      </c>
      <c r="CG19" s="38">
        <f>((CE19-CF19)/CF19)*100</f>
        <v>23.3218640809092</v>
      </c>
      <c r="CH19" s="20">
        <v>1940839196</v>
      </c>
      <c r="CI19" s="20">
        <v>1573799756</v>
      </c>
      <c r="CJ19" s="38">
        <f>((CH19-CI19)/CI19)*100</f>
        <v>23.3218640809092</v>
      </c>
      <c r="CK19" s="20">
        <v>2764119000</v>
      </c>
      <c r="CL19" s="20">
        <v>2435489000</v>
      </c>
      <c r="CM19" s="38">
        <f>((CK19-CL19)/CL19)*100</f>
        <v>13.4933888020024</v>
      </c>
      <c r="CN19" s="20">
        <v>2764119000</v>
      </c>
      <c r="CO19" s="20">
        <v>2435489000</v>
      </c>
      <c r="CP19" s="38">
        <f>((CN19-CO19)/CO19)*100</f>
        <v>13.4933888020024</v>
      </c>
      <c r="CQ19" s="20">
        <v>980097190</v>
      </c>
      <c r="CR19" s="20">
        <v>861502440</v>
      </c>
      <c r="CS19" s="38">
        <f>((CQ19-CR19)/CR19)*100</f>
        <v>13.7660376214373</v>
      </c>
      <c r="CT19" s="20">
        <v>1646933487</v>
      </c>
      <c r="CU19" s="20">
        <v>1373989553</v>
      </c>
      <c r="CV19" s="38">
        <f>((CT19-CU19)/CU19)*100</f>
        <v>19.8650661792914</v>
      </c>
      <c r="CW19" s="20">
        <v>1646933487</v>
      </c>
      <c r="CX19" s="20">
        <v>1373989553</v>
      </c>
      <c r="CY19" s="38">
        <f>((CW19-CX19)/CX19)*100</f>
        <v>19.8650661792914</v>
      </c>
      <c r="CZ19" s="20">
        <v>1894900281</v>
      </c>
      <c r="DA19" s="20">
        <v>1582064180</v>
      </c>
      <c r="DB19" s="38">
        <f>((CZ19-DA19)/DA19)*100</f>
        <v>19.7739197280859</v>
      </c>
      <c r="DC19" s="20">
        <v>1402729000</v>
      </c>
      <c r="DD19" s="20">
        <v>1195759000</v>
      </c>
      <c r="DE19" s="38">
        <f>((DC19-DD19)/DD19)*100</f>
        <v>17.3086717306748</v>
      </c>
      <c r="DF19" s="20">
        <v>1187962370</v>
      </c>
      <c r="DG19" s="20">
        <v>1042657560</v>
      </c>
      <c r="DH19" s="38">
        <f>((DF19-DG19)/DG19)*100</f>
        <v>13.9360050293022</v>
      </c>
      <c r="DI19" s="20">
        <v>2663979491</v>
      </c>
      <c r="DJ19" s="20">
        <v>2483221915</v>
      </c>
      <c r="DK19" s="38">
        <f>((DI19-DJ19)/DJ19)*100</f>
        <v>7.27915515355783</v>
      </c>
      <c r="DL19" s="20">
        <v>1104750903</v>
      </c>
      <c r="DM19" s="20">
        <v>905279515</v>
      </c>
      <c r="DN19" s="38">
        <f>((DL19-DM19)/DM19)*100</f>
        <v>22.0342319355365</v>
      </c>
      <c r="DO19" s="20">
        <v>461594830</v>
      </c>
      <c r="DP19" s="20">
        <v>341705600</v>
      </c>
      <c r="DQ19" s="38">
        <f>((DO19-DP19)/DP19)*100</f>
        <v>35.0855326924698</v>
      </c>
      <c r="DR19" s="20">
        <v>884396847</v>
      </c>
      <c r="DS19" s="20">
        <v>694816467</v>
      </c>
      <c r="DT19" s="38">
        <f>((DR19-DS19)/DS19)*100</f>
        <v>27.2849578275755</v>
      </c>
      <c r="DU19" s="20">
        <v>455569610</v>
      </c>
      <c r="DV19" s="20">
        <v>349406320</v>
      </c>
      <c r="DW19" s="38">
        <f>((DU19-DV19)/DV19)*100</f>
        <v>30.3839066219523</v>
      </c>
      <c r="DX19" s="222">
        <v>358574675</v>
      </c>
      <c r="DY19" s="20">
        <v>237964499</v>
      </c>
      <c r="DZ19" s="38">
        <f>((DX19-DY19)/DY19)*100</f>
        <v>50.6841047748051</v>
      </c>
      <c r="EA19" s="20">
        <v>358574675</v>
      </c>
      <c r="EB19" s="20">
        <v>237964499</v>
      </c>
      <c r="EC19" s="38">
        <f>((EA19-EB19)/EB19)*100</f>
        <v>50.6841047748051</v>
      </c>
      <c r="ED19" s="20">
        <v>503733576</v>
      </c>
      <c r="EE19" s="20">
        <v>474461559</v>
      </c>
      <c r="EF19" s="38">
        <f>((ED19-EE19)/EE19)*100</f>
        <v>6.16952341970448</v>
      </c>
      <c r="EG19" s="20">
        <v>954783500</v>
      </c>
      <c r="EH19" s="20">
        <v>870652890</v>
      </c>
      <c r="EI19" s="38">
        <f>((EG19-EH19)/EH19)*100</f>
        <v>9.66293352566716</v>
      </c>
      <c r="EJ19" s="20">
        <v>846902420</v>
      </c>
      <c r="EK19" s="20">
        <v>761835870</v>
      </c>
      <c r="EL19" s="38">
        <f>((EJ19-EK19)/EK19)*100</f>
        <v>11.1659943236855</v>
      </c>
      <c r="EM19" s="20">
        <v>170928528</v>
      </c>
      <c r="EN19" s="20">
        <v>161290860</v>
      </c>
      <c r="EO19" s="38">
        <f>((EM19-EN19)/EN19)*100</f>
        <v>5.97533425018628</v>
      </c>
      <c r="EP19" s="20">
        <v>170928528</v>
      </c>
      <c r="EQ19" s="20">
        <v>161290860</v>
      </c>
      <c r="ER19" s="38">
        <f>((EP19-EQ19)/EQ19)*100</f>
        <v>5.97533425018628</v>
      </c>
      <c r="ES19" s="20">
        <v>170928528</v>
      </c>
      <c r="ET19" s="20">
        <v>161290860</v>
      </c>
      <c r="EU19" s="38">
        <f>((ES19-ET19)/ET19)*100</f>
        <v>5.97533425018628</v>
      </c>
      <c r="EV19" s="20">
        <v>133273800</v>
      </c>
      <c r="EW19" s="20">
        <v>150191410</v>
      </c>
      <c r="EX19" s="38">
        <f>((EV19-EW19)/EW19)*100</f>
        <v>-11.2640330096109</v>
      </c>
    </row>
    <row r="20" spans="1:154">
      <c r="A20" s="2"/>
      <c r="D20" s="2"/>
      <c r="E20" s="20"/>
      <c r="F20" s="20"/>
      <c r="G20" s="80"/>
      <c r="H20" s="20"/>
      <c r="I20" s="20"/>
      <c r="J20" s="80"/>
      <c r="K20" s="20"/>
      <c r="L20" s="20"/>
      <c r="M20" s="80"/>
      <c r="N20" s="20"/>
      <c r="O20" s="20"/>
      <c r="P20" s="80"/>
      <c r="Q20" s="79" t="s">
        <v>621</v>
      </c>
      <c r="R20" s="20"/>
      <c r="S20" s="80"/>
      <c r="T20" s="79"/>
      <c r="U20" s="20"/>
      <c r="V20" s="80"/>
      <c r="W20" s="79"/>
      <c r="X20" s="20"/>
      <c r="Y20" s="80"/>
      <c r="Z20" s="79"/>
      <c r="AA20" s="20"/>
      <c r="AB20" s="80"/>
      <c r="AC20" s="79"/>
      <c r="AD20" s="20"/>
      <c r="AE20" s="80"/>
      <c r="AF20" s="79" t="s">
        <v>622</v>
      </c>
      <c r="AG20" s="20"/>
      <c r="AH20" s="80"/>
      <c r="AI20" s="79" t="s">
        <v>622</v>
      </c>
      <c r="AJ20" s="20"/>
      <c r="AK20" s="80"/>
      <c r="AL20" s="79" t="s">
        <v>622</v>
      </c>
      <c r="AM20" s="20"/>
      <c r="AN20" s="80"/>
      <c r="AO20" s="79" t="s">
        <v>622</v>
      </c>
      <c r="AP20" s="20"/>
      <c r="AQ20" s="80"/>
      <c r="AR20" s="228"/>
      <c r="AS20" s="20"/>
      <c r="AT20" s="80"/>
      <c r="AU20" s="228"/>
      <c r="AV20" s="20"/>
      <c r="AW20" s="80"/>
      <c r="AX20" s="228"/>
      <c r="AY20" s="20"/>
      <c r="AZ20" s="80"/>
      <c r="BA20" s="228"/>
      <c r="BB20" s="20"/>
      <c r="BC20" s="80"/>
      <c r="BD20" s="229" t="s">
        <v>623</v>
      </c>
      <c r="BE20" s="20"/>
      <c r="BF20" s="80"/>
      <c r="BG20" s="20"/>
      <c r="BH20" s="20"/>
      <c r="BI20" s="80"/>
      <c r="BJ20" s="230" t="s">
        <v>624</v>
      </c>
      <c r="BK20" s="20"/>
      <c r="BL20" s="80"/>
      <c r="BM20" s="20"/>
      <c r="BN20" s="20"/>
      <c r="BO20" s="80"/>
      <c r="BP20" s="20"/>
      <c r="BQ20" s="20"/>
      <c r="BR20" s="80"/>
      <c r="BS20" s="20"/>
      <c r="BT20" s="20"/>
      <c r="BU20" s="80"/>
      <c r="BV20" s="20"/>
      <c r="BW20" s="20"/>
      <c r="BX20" s="80"/>
      <c r="BY20" s="20"/>
      <c r="BZ20" s="20"/>
      <c r="CA20" s="80"/>
      <c r="CB20" s="20"/>
      <c r="CC20" s="20"/>
      <c r="CD20" s="80"/>
      <c r="CE20" s="20"/>
      <c r="CF20" s="20"/>
      <c r="CG20" s="80"/>
      <c r="CH20" s="20"/>
      <c r="CI20" s="20"/>
      <c r="CJ20" s="80"/>
      <c r="CK20" s="20"/>
      <c r="CL20" s="20"/>
      <c r="CM20" s="80"/>
      <c r="CN20" s="20"/>
      <c r="CO20" s="20"/>
      <c r="CP20" s="80"/>
      <c r="CQ20" s="20"/>
      <c r="CR20" s="20"/>
      <c r="CS20" s="80"/>
      <c r="CT20" s="20"/>
      <c r="CU20" s="20"/>
      <c r="CV20" s="80"/>
      <c r="CW20" s="20"/>
      <c r="CX20" s="20"/>
      <c r="CY20" s="80"/>
      <c r="CZ20" s="20"/>
      <c r="DA20" s="20"/>
      <c r="DB20" s="80"/>
      <c r="DC20" s="20"/>
      <c r="DD20" s="20"/>
      <c r="DE20" s="80"/>
      <c r="DF20" s="20"/>
      <c r="DG20" s="20"/>
      <c r="DH20" s="80"/>
      <c r="DI20" s="20"/>
      <c r="DJ20" s="20"/>
      <c r="DK20" s="80"/>
      <c r="DL20" s="20"/>
      <c r="DM20" s="20"/>
      <c r="DN20" s="80"/>
      <c r="DO20" s="20"/>
      <c r="DP20" s="20"/>
      <c r="DQ20" s="80"/>
      <c r="DR20" s="20"/>
      <c r="DS20" s="20"/>
      <c r="DT20" s="80"/>
      <c r="DU20" s="20"/>
      <c r="DV20" s="20"/>
      <c r="DW20" s="80"/>
      <c r="DX20" s="222"/>
      <c r="DY20" s="20"/>
      <c r="DZ20" s="80"/>
      <c r="EA20" s="20"/>
      <c r="EB20" s="20"/>
      <c r="EC20" s="80"/>
      <c r="ED20" s="20"/>
      <c r="EE20" s="20"/>
      <c r="EF20" s="80"/>
      <c r="EG20" s="20"/>
      <c r="EH20" s="20"/>
      <c r="EI20" s="80"/>
      <c r="EJ20" s="20"/>
      <c r="EK20" s="20"/>
      <c r="EL20" s="80"/>
      <c r="EM20" s="20"/>
      <c r="EN20" s="20"/>
      <c r="EO20" s="80"/>
      <c r="EP20" s="20"/>
      <c r="EQ20" s="20"/>
      <c r="ER20" s="80"/>
      <c r="ES20" s="20"/>
      <c r="ET20" s="20"/>
      <c r="EU20" s="80"/>
      <c r="EV20" s="20"/>
      <c r="EW20" s="20"/>
      <c r="EX20" s="80"/>
    </row>
    <row r="21" spans="1:154">
      <c r="A21" s="2">
        <v>8</v>
      </c>
      <c r="B21" s="2" t="s">
        <v>180</v>
      </c>
      <c r="C21" s="37" t="s">
        <v>176</v>
      </c>
      <c r="D21" s="2" t="s">
        <v>181</v>
      </c>
      <c r="E21" s="20">
        <f>E11</f>
        <v>10309495596</v>
      </c>
      <c r="F21" s="20">
        <f>F3</f>
        <v>43126215</v>
      </c>
      <c r="G21" s="38">
        <f>E21/F21</f>
        <v>239.054032355958</v>
      </c>
      <c r="H21" s="20">
        <f>H11</f>
        <v>8280839680</v>
      </c>
      <c r="I21" s="20">
        <f>I3</f>
        <v>32153458</v>
      </c>
      <c r="J21" s="38">
        <f>H21/I21</f>
        <v>257.541185150288</v>
      </c>
      <c r="K21" s="20">
        <f>K11</f>
        <v>3957586330</v>
      </c>
      <c r="L21" s="20">
        <f>L3</f>
        <v>15361715</v>
      </c>
      <c r="M21" s="38">
        <f>K21/L21</f>
        <v>257.626595077438</v>
      </c>
      <c r="N21" s="20">
        <f>N11</f>
        <v>5778362714</v>
      </c>
      <c r="O21" s="20">
        <f>O3</f>
        <v>26120797</v>
      </c>
      <c r="P21" s="38">
        <f>N21/O21</f>
        <v>221.216937369867</v>
      </c>
      <c r="Q21" s="20">
        <f>Q11</f>
        <v>3262405000</v>
      </c>
      <c r="R21" s="20">
        <f>R3</f>
        <v>13316090</v>
      </c>
      <c r="S21" s="38">
        <f>Q21/R21</f>
        <v>244.997217651728</v>
      </c>
      <c r="T21" s="20">
        <f>T11</f>
        <v>3901795818</v>
      </c>
      <c r="U21" s="20">
        <f>U3</f>
        <v>18682856</v>
      </c>
      <c r="V21" s="38">
        <f>T21/U21</f>
        <v>208.843648851118</v>
      </c>
      <c r="W21" s="20">
        <f>W11</f>
        <v>3761419434</v>
      </c>
      <c r="X21" s="20">
        <f>X3</f>
        <v>16566250</v>
      </c>
      <c r="Y21" s="38">
        <f>W21/X21</f>
        <v>227.053161337056</v>
      </c>
      <c r="Z21" s="20">
        <f>Z11</f>
        <v>3761419434</v>
      </c>
      <c r="AA21" s="20">
        <f>AA3</f>
        <v>11959537</v>
      </c>
      <c r="AB21" s="38">
        <f>Z21/AA21</f>
        <v>314.512128186902</v>
      </c>
      <c r="AC21" s="20">
        <f>AC11</f>
        <v>1765169520</v>
      </c>
      <c r="AD21" s="20">
        <f>AD3</f>
        <v>13448713</v>
      </c>
      <c r="AE21" s="38">
        <f>AC21/AD21</f>
        <v>131.251928716153</v>
      </c>
      <c r="AF21" s="20">
        <f>AF11</f>
        <v>2243601365</v>
      </c>
      <c r="AG21" s="20">
        <f>AG3</f>
        <v>14190000</v>
      </c>
      <c r="AH21" s="38">
        <f>AF21/AG21</f>
        <v>158.111442212826</v>
      </c>
      <c r="AI21" s="20">
        <f>AI11</f>
        <v>2243601365</v>
      </c>
      <c r="AJ21" s="20">
        <f>AJ3</f>
        <v>17394400</v>
      </c>
      <c r="AK21" s="38">
        <f>AI21/AJ21</f>
        <v>128.984119314262</v>
      </c>
      <c r="AL21" s="20">
        <f>AL11</f>
        <v>2890103172</v>
      </c>
      <c r="AM21" s="20">
        <f>AM3</f>
        <v>13977642</v>
      </c>
      <c r="AN21" s="38">
        <f>AL21/AM21</f>
        <v>206.766146392932</v>
      </c>
      <c r="AO21" s="20">
        <f>AO11</f>
        <v>1606887242</v>
      </c>
      <c r="AP21" s="20">
        <f>AP3</f>
        <v>11062862</v>
      </c>
      <c r="AQ21" s="38">
        <f>AO21/AP21</f>
        <v>145.250590850722</v>
      </c>
      <c r="AR21" s="20">
        <f>AR11</f>
        <v>1332810822</v>
      </c>
      <c r="AS21" s="20">
        <f>AS3</f>
        <v>6189000</v>
      </c>
      <c r="AT21" s="38">
        <f>AR21/AS21</f>
        <v>215.351562772661</v>
      </c>
      <c r="AU21" s="20">
        <f>AU11</f>
        <v>2882118087</v>
      </c>
      <c r="AV21" s="20">
        <f>AV3</f>
        <v>9825000</v>
      </c>
      <c r="AW21" s="38">
        <f>AU21/AV21</f>
        <v>293.345352366412</v>
      </c>
      <c r="AX21" s="20">
        <f>AX11</f>
        <v>1255827892</v>
      </c>
      <c r="AY21" s="20">
        <f>AY3</f>
        <v>7839244</v>
      </c>
      <c r="AZ21" s="38">
        <f>AX21/AY21</f>
        <v>160.197576705101</v>
      </c>
      <c r="BA21" s="20">
        <f>BA11</f>
        <v>1267440753</v>
      </c>
      <c r="BB21" s="20">
        <f>BB3</f>
        <v>7330462</v>
      </c>
      <c r="BC21" s="38">
        <f>BA21/BB21</f>
        <v>172.900528370517</v>
      </c>
      <c r="BD21" s="20">
        <f>BD11</f>
        <v>1302438433</v>
      </c>
      <c r="BE21" s="20">
        <f>BE3</f>
        <v>10340644</v>
      </c>
      <c r="BF21" s="38">
        <f>BD21/BE21</f>
        <v>125.953319058271</v>
      </c>
      <c r="BG21" s="20">
        <f>BG11</f>
        <v>1302438433</v>
      </c>
      <c r="BH21" s="20">
        <f>BH3</f>
        <v>6283573</v>
      </c>
      <c r="BI21" s="38">
        <f>BG21/BH21</f>
        <v>207.276725041628</v>
      </c>
      <c r="BJ21" s="20">
        <f>BJ11</f>
        <v>1051814674</v>
      </c>
      <c r="BK21" s="20">
        <f>BK3</f>
        <v>7008583</v>
      </c>
      <c r="BL21" s="38">
        <f>BJ21/BK21</f>
        <v>150.075225477104</v>
      </c>
      <c r="BM21" s="20">
        <f>BM11</f>
        <v>1233967974</v>
      </c>
      <c r="BN21" s="20">
        <f>BN3</f>
        <v>7450403</v>
      </c>
      <c r="BO21" s="38">
        <f>BM21/BN21</f>
        <v>165.624325825059</v>
      </c>
      <c r="BP21" s="20">
        <f>BP11</f>
        <v>779226291</v>
      </c>
      <c r="BQ21" s="20">
        <f>BQ3</f>
        <v>4974159</v>
      </c>
      <c r="BR21" s="38">
        <f>BP21/BQ21</f>
        <v>156.654881960951</v>
      </c>
      <c r="BS21" s="20">
        <f>BS11</f>
        <v>851518120</v>
      </c>
      <c r="BT21" s="20">
        <f>BT3</f>
        <v>6290515</v>
      </c>
      <c r="BU21" s="38">
        <f>BS21/BT21</f>
        <v>135.365406488976</v>
      </c>
      <c r="BV21" s="20">
        <f>BV11</f>
        <v>1014450655</v>
      </c>
      <c r="BW21" s="20">
        <f>BW3</f>
        <v>7214491</v>
      </c>
      <c r="BX21" s="38">
        <f>BV21/BW21</f>
        <v>140.612921271923</v>
      </c>
      <c r="BY21" s="20">
        <f>BY11</f>
        <v>365882123</v>
      </c>
      <c r="BZ21" s="20">
        <f>BZ3</f>
        <v>2468657</v>
      </c>
      <c r="CA21" s="38">
        <f>BY21/BZ21</f>
        <v>148.211000151094</v>
      </c>
      <c r="CB21" s="20">
        <f>CB11</f>
        <v>793061102</v>
      </c>
      <c r="CC21" s="20">
        <f>CC3</f>
        <v>3699235</v>
      </c>
      <c r="CD21" s="38">
        <f>CB21/CC21</f>
        <v>214.385163959575</v>
      </c>
      <c r="CE21" s="20">
        <f>CE11</f>
        <v>517946346</v>
      </c>
      <c r="CF21" s="20">
        <f>CF3</f>
        <v>2175625</v>
      </c>
      <c r="CG21" s="38">
        <f>CE21/CF21</f>
        <v>238.067840735421</v>
      </c>
      <c r="CH21" s="20">
        <f>CH11</f>
        <v>517946346</v>
      </c>
      <c r="CI21" s="20">
        <f>CI3</f>
        <v>2913375</v>
      </c>
      <c r="CJ21" s="38">
        <f>CH21/CI21</f>
        <v>177.782244304286</v>
      </c>
      <c r="CK21" s="20">
        <f>CK11</f>
        <v>738458000</v>
      </c>
      <c r="CL21" s="20">
        <f>CL3</f>
        <v>2664240</v>
      </c>
      <c r="CM21" s="38">
        <f>CK21/CL21</f>
        <v>277.173978320271</v>
      </c>
      <c r="CN21" s="20">
        <f>CN11</f>
        <v>738458000</v>
      </c>
      <c r="CO21" s="20">
        <f>CO3</f>
        <v>4416621</v>
      </c>
      <c r="CP21" s="38">
        <f>CN21/CO21</f>
        <v>167.199766518341</v>
      </c>
      <c r="CQ21" s="20">
        <f>CQ11</f>
        <v>301482290</v>
      </c>
      <c r="CR21" s="20">
        <f>CR3</f>
        <v>783432</v>
      </c>
      <c r="CS21" s="38">
        <f>CQ21/CR21</f>
        <v>384.822537246372</v>
      </c>
      <c r="CT21" s="20">
        <f>CT11</f>
        <v>760099116</v>
      </c>
      <c r="CU21" s="20">
        <f>CU3</f>
        <v>4076923</v>
      </c>
      <c r="CV21" s="38">
        <f>CT21/CU21</f>
        <v>186.439409329045</v>
      </c>
      <c r="CW21" s="20">
        <f>CW11</f>
        <v>760099116</v>
      </c>
      <c r="CX21" s="20">
        <f>CX3</f>
        <v>4857600</v>
      </c>
      <c r="CY21" s="38">
        <f>CW21/CX21</f>
        <v>156.47626729249</v>
      </c>
      <c r="CZ21" s="20">
        <f>CZ11</f>
        <v>573394329</v>
      </c>
      <c r="DA21" s="20">
        <f>DA3</f>
        <v>3671434</v>
      </c>
      <c r="DB21" s="38">
        <f>CZ21/DA21</f>
        <v>156.177212772993</v>
      </c>
      <c r="DC21" s="20">
        <f>DC11</f>
        <v>236943000</v>
      </c>
      <c r="DD21" s="20">
        <f>DD3</f>
        <v>1061480</v>
      </c>
      <c r="DE21" s="38">
        <f>DC21/DD21</f>
        <v>223.219467159061</v>
      </c>
      <c r="DF21" s="20">
        <f>DF11</f>
        <v>428362190</v>
      </c>
      <c r="DG21" s="20">
        <f>DG3</f>
        <v>2239331</v>
      </c>
      <c r="DH21" s="38">
        <f>DF21/DG21</f>
        <v>191.290251418839</v>
      </c>
      <c r="DI21" s="20">
        <f>DI11</f>
        <v>401070653</v>
      </c>
      <c r="DJ21" s="20">
        <f>DJ3</f>
        <v>1485750</v>
      </c>
      <c r="DK21" s="38">
        <f>DI21/DJ21</f>
        <v>269.944911997308</v>
      </c>
      <c r="DL21" s="20">
        <f>DL11</f>
        <v>547795666</v>
      </c>
      <c r="DM21" s="20">
        <f>DM3</f>
        <v>3198182</v>
      </c>
      <c r="DN21" s="38">
        <f>DL21/DM21</f>
        <v>171.283456038462</v>
      </c>
      <c r="DO21" s="20">
        <f>DO11</f>
        <v>207687930</v>
      </c>
      <c r="DP21" s="20">
        <f>DP3</f>
        <v>1224434</v>
      </c>
      <c r="DQ21" s="38">
        <f>DO21/DP21</f>
        <v>169.619538496971</v>
      </c>
      <c r="DR21" s="20">
        <f>DR11</f>
        <v>287350205</v>
      </c>
      <c r="DS21" s="20">
        <f>DS3</f>
        <v>1534455</v>
      </c>
      <c r="DT21" s="38">
        <f>DR21/DS21</f>
        <v>187.265318956893</v>
      </c>
      <c r="DU21" s="20">
        <f>DU11</f>
        <v>181636980</v>
      </c>
      <c r="DV21" s="20">
        <f>DV3</f>
        <v>1158495</v>
      </c>
      <c r="DW21" s="38">
        <f>DU21/DV21</f>
        <v>156.78702109202</v>
      </c>
      <c r="DX21" s="222">
        <f>DX11</f>
        <v>317450699</v>
      </c>
      <c r="DY21" s="20">
        <f>DY3</f>
        <v>2500000</v>
      </c>
      <c r="DZ21" s="38">
        <f>DX21/DY21</f>
        <v>126.9802796</v>
      </c>
      <c r="EA21" s="20">
        <f>EA11</f>
        <v>317450699</v>
      </c>
      <c r="EB21" s="20">
        <f>EB3</f>
        <v>1708050</v>
      </c>
      <c r="EC21" s="38">
        <f>EA21/EB21</f>
        <v>185.855624249876</v>
      </c>
      <c r="ED21" s="20">
        <f>ED11</f>
        <v>268929223</v>
      </c>
      <c r="EE21" s="20">
        <f>EE3</f>
        <v>1515545</v>
      </c>
      <c r="EF21" s="38">
        <f>ED21/EE21</f>
        <v>177.447204141085</v>
      </c>
      <c r="EG21" s="20">
        <f>EG11</f>
        <v>269034180</v>
      </c>
      <c r="EH21" s="20">
        <f>EH3</f>
        <v>1700919</v>
      </c>
      <c r="EI21" s="38">
        <f>EG21/EH21</f>
        <v>158.169895215469</v>
      </c>
      <c r="EJ21" s="20">
        <f>EJ11</f>
        <v>270809470</v>
      </c>
      <c r="EK21" s="20">
        <f>EK3</f>
        <v>1093750</v>
      </c>
      <c r="EL21" s="38">
        <f>EJ21/EK21</f>
        <v>247.597229714286</v>
      </c>
      <c r="EM21" s="20">
        <f>EM11</f>
        <v>116348224</v>
      </c>
      <c r="EN21" s="20">
        <f>EN3</f>
        <v>843405</v>
      </c>
      <c r="EO21" s="38">
        <f>EM21/EN21</f>
        <v>137.950597874094</v>
      </c>
      <c r="EP21" s="20">
        <f>EP11</f>
        <v>116348224</v>
      </c>
      <c r="EQ21" s="20">
        <f>EQ3</f>
        <v>1093750</v>
      </c>
      <c r="ER21" s="38">
        <f>EP21/EQ21</f>
        <v>106.375519085714</v>
      </c>
      <c r="ES21" s="20">
        <f>ES11</f>
        <v>116348224</v>
      </c>
      <c r="ET21" s="20">
        <f>ET3</f>
        <v>1331000</v>
      </c>
      <c r="EU21" s="38">
        <f>ES21/ET21</f>
        <v>87.4141427498122</v>
      </c>
      <c r="EV21" s="20">
        <f>EV11</f>
        <v>59145890</v>
      </c>
      <c r="EW21" s="20">
        <f>EW3</f>
        <v>228500</v>
      </c>
      <c r="EX21" s="38">
        <f>EV21/EW21</f>
        <v>258.844157549234</v>
      </c>
    </row>
    <row r="22" spans="1:154">
      <c r="A22" s="2"/>
      <c r="B22" s="2"/>
      <c r="C22" s="6" t="s">
        <v>163</v>
      </c>
      <c r="D22" s="2"/>
      <c r="E22" s="20"/>
      <c r="F22" s="20"/>
      <c r="G22" s="38"/>
      <c r="H22" s="20"/>
      <c r="I22" s="20"/>
      <c r="J22" s="38"/>
      <c r="K22" s="20"/>
      <c r="L22" s="20"/>
      <c r="M22" s="38"/>
      <c r="N22" s="20"/>
      <c r="O22" s="20"/>
      <c r="P22" s="38"/>
      <c r="Q22" s="20"/>
      <c r="R22" s="20"/>
      <c r="S22" s="38"/>
      <c r="T22" s="20"/>
      <c r="U22" s="20"/>
      <c r="V22" s="38"/>
      <c r="W22" s="20"/>
      <c r="X22" s="20"/>
      <c r="Y22" s="38"/>
      <c r="Z22" s="20"/>
      <c r="AA22" s="20"/>
      <c r="AB22" s="38"/>
      <c r="AC22" s="20"/>
      <c r="AD22" s="20"/>
      <c r="AE22" s="38"/>
      <c r="AF22" s="20"/>
      <c r="AG22" s="20"/>
      <c r="AH22" s="38"/>
      <c r="AI22" s="20"/>
      <c r="AJ22" s="20"/>
      <c r="AK22" s="38"/>
      <c r="AL22" s="20"/>
      <c r="AM22" s="20"/>
      <c r="AN22" s="38"/>
      <c r="AO22" s="20"/>
      <c r="AP22" s="20"/>
      <c r="AQ22" s="38"/>
      <c r="AR22" s="20"/>
      <c r="AS22" s="20"/>
      <c r="AT22" s="38"/>
      <c r="AU22" s="20"/>
      <c r="AV22" s="20"/>
      <c r="AW22" s="38"/>
      <c r="AX22" s="20"/>
      <c r="AY22" s="20"/>
      <c r="AZ22" s="38"/>
      <c r="BA22" s="20"/>
      <c r="BB22" s="20"/>
      <c r="BC22" s="38"/>
      <c r="BD22" s="20"/>
      <c r="BE22" s="20"/>
      <c r="BF22" s="38"/>
      <c r="BG22" s="20"/>
      <c r="BH22" s="20"/>
      <c r="BI22" s="38"/>
      <c r="BJ22" s="20"/>
      <c r="BK22" s="20"/>
      <c r="BL22" s="38"/>
      <c r="BM22" s="20"/>
      <c r="BN22" s="20"/>
      <c r="BO22" s="38"/>
      <c r="BP22" s="20"/>
      <c r="BQ22" s="20"/>
      <c r="BR22" s="38"/>
      <c r="BS22" s="20"/>
      <c r="BT22" s="20"/>
      <c r="BU22" s="38"/>
      <c r="BV22" s="20"/>
      <c r="BW22" s="20"/>
      <c r="BX22" s="38"/>
      <c r="BY22" s="20"/>
      <c r="BZ22" s="20"/>
      <c r="CA22" s="38"/>
      <c r="CB22" s="20"/>
      <c r="CC22" s="20"/>
      <c r="CD22" s="38"/>
      <c r="CE22" s="20"/>
      <c r="CF22" s="20"/>
      <c r="CG22" s="38"/>
      <c r="CH22" s="20"/>
      <c r="CI22" s="20"/>
      <c r="CJ22" s="38"/>
      <c r="CK22" s="20"/>
      <c r="CL22" s="20"/>
      <c r="CM22" s="38"/>
      <c r="CN22" s="20"/>
      <c r="CO22" s="20"/>
      <c r="CP22" s="38"/>
      <c r="CQ22" s="20"/>
      <c r="CR22" s="20"/>
      <c r="CS22" s="38"/>
      <c r="CT22" s="20"/>
      <c r="CU22" s="20"/>
      <c r="CV22" s="38"/>
      <c r="CW22" s="20"/>
      <c r="CX22" s="20"/>
      <c r="CY22" s="38"/>
      <c r="CZ22" s="20"/>
      <c r="DA22" s="20"/>
      <c r="DB22" s="38"/>
      <c r="DC22" s="20"/>
      <c r="DD22" s="20"/>
      <c r="DE22" s="38"/>
      <c r="DF22" s="20"/>
      <c r="DG22" s="20"/>
      <c r="DH22" s="38"/>
      <c r="DI22" s="20"/>
      <c r="DJ22" s="20"/>
      <c r="DK22" s="38"/>
      <c r="DL22" s="20"/>
      <c r="DM22" s="20"/>
      <c r="DN22" s="38"/>
      <c r="DO22" s="20"/>
      <c r="DP22" s="20"/>
      <c r="DQ22" s="38"/>
      <c r="DR22" s="20"/>
      <c r="DS22" s="20"/>
      <c r="DT22" s="38"/>
      <c r="DU22" s="20"/>
      <c r="DV22" s="20"/>
      <c r="DW22" s="38"/>
      <c r="DX22" s="222"/>
      <c r="DY22" s="20"/>
      <c r="DZ22" s="38"/>
      <c r="EA22" s="20"/>
      <c r="EB22" s="20"/>
      <c r="EC22" s="38"/>
      <c r="ED22" s="20"/>
      <c r="EE22" s="20"/>
      <c r="EF22" s="38"/>
      <c r="EG22" s="20"/>
      <c r="EH22" s="20"/>
      <c r="EI22" s="38"/>
      <c r="EJ22" s="20"/>
      <c r="EK22" s="20"/>
      <c r="EL22" s="38"/>
      <c r="EM22" s="20"/>
      <c r="EN22" s="20"/>
      <c r="EO22" s="38"/>
      <c r="EP22" s="20"/>
      <c r="EQ22" s="20"/>
      <c r="ER22" s="38"/>
      <c r="ES22" s="20"/>
      <c r="ET22" s="20"/>
      <c r="EU22" s="38"/>
      <c r="EV22" s="20"/>
      <c r="EW22" s="20"/>
      <c r="EX22" s="38"/>
    </row>
    <row r="23" spans="1:154">
      <c r="A23" s="2"/>
      <c r="B23" s="2"/>
      <c r="C23" s="6"/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0"/>
      <c r="AM23" s="20"/>
      <c r="AN23" s="38"/>
      <c r="AO23" s="20"/>
      <c r="AP23" s="20"/>
      <c r="AQ23" s="38"/>
      <c r="AR23" s="20"/>
      <c r="AS23" s="20"/>
      <c r="AT23" s="38"/>
      <c r="AU23" s="20"/>
      <c r="AV23" s="20"/>
      <c r="AW23" s="38"/>
      <c r="AX23" s="20"/>
      <c r="AY23" s="20"/>
      <c r="AZ23" s="38"/>
      <c r="BA23" s="20"/>
      <c r="BB23" s="20"/>
      <c r="BC23" s="38"/>
      <c r="BD23" s="20"/>
      <c r="BE23" s="20"/>
      <c r="BF23" s="38"/>
      <c r="BG23" s="20"/>
      <c r="BH23" s="20"/>
      <c r="BI23" s="38"/>
      <c r="BJ23" s="20"/>
      <c r="BK23" s="20"/>
      <c r="BL23" s="38"/>
      <c r="BM23" s="20"/>
      <c r="BN23" s="20"/>
      <c r="BO23" s="38"/>
      <c r="BP23" s="20"/>
      <c r="BQ23" s="20"/>
      <c r="BR23" s="38"/>
      <c r="BS23" s="20"/>
      <c r="BT23" s="20"/>
      <c r="BU23" s="38"/>
      <c r="BV23" s="20"/>
      <c r="BW23" s="20"/>
      <c r="BX23" s="38"/>
      <c r="BY23" s="20"/>
      <c r="BZ23" s="20"/>
      <c r="CA23" s="38"/>
      <c r="CB23" s="20"/>
      <c r="CC23" s="20"/>
      <c r="CD23" s="38"/>
      <c r="CE23" s="20"/>
      <c r="CF23" s="20"/>
      <c r="CG23" s="38"/>
      <c r="CH23" s="20"/>
      <c r="CI23" s="20"/>
      <c r="CJ23" s="38"/>
      <c r="CK23" s="20"/>
      <c r="CL23" s="20"/>
      <c r="CM23" s="38"/>
      <c r="CN23" s="20"/>
      <c r="CO23" s="20"/>
      <c r="CP23" s="38"/>
      <c r="CQ23" s="20"/>
      <c r="CR23" s="20"/>
      <c r="CS23" s="38"/>
      <c r="CT23" s="20"/>
      <c r="CU23" s="20"/>
      <c r="CV23" s="38"/>
      <c r="CW23" s="20"/>
      <c r="CX23" s="20"/>
      <c r="CY23" s="38"/>
      <c r="CZ23" s="20"/>
      <c r="DA23" s="20"/>
      <c r="DB23" s="38"/>
      <c r="DC23" s="20"/>
      <c r="DD23" s="20"/>
      <c r="DE23" s="38"/>
      <c r="DF23" s="20"/>
      <c r="DG23" s="20"/>
      <c r="DH23" s="38"/>
      <c r="DI23" s="20"/>
      <c r="DJ23" s="20"/>
      <c r="DK23" s="38"/>
      <c r="DL23" s="20"/>
      <c r="DM23" s="20"/>
      <c r="DN23" s="38"/>
      <c r="DO23" s="20"/>
      <c r="DP23" s="20"/>
      <c r="DQ23" s="38"/>
      <c r="DR23" s="20"/>
      <c r="DS23" s="20"/>
      <c r="DT23" s="38"/>
      <c r="DU23" s="20"/>
      <c r="DV23" s="20"/>
      <c r="DW23" s="38"/>
      <c r="DY23" s="20"/>
      <c r="DZ23" s="38"/>
      <c r="EA23" s="52"/>
      <c r="EB23" s="20"/>
      <c r="EC23" s="38"/>
      <c r="ED23" s="52"/>
      <c r="EE23" s="20"/>
      <c r="EF23" s="38"/>
      <c r="EG23" s="52"/>
      <c r="EH23" s="20"/>
      <c r="EI23" s="38"/>
      <c r="EJ23" s="52"/>
      <c r="EK23" s="20"/>
      <c r="EL23" s="38"/>
      <c r="EM23" s="52"/>
      <c r="EN23" s="20"/>
      <c r="EO23" s="38"/>
      <c r="EP23" s="52"/>
      <c r="EQ23" s="20"/>
      <c r="ER23" s="38"/>
      <c r="ES23" s="52"/>
      <c r="ET23" s="20"/>
      <c r="EU23" s="38"/>
      <c r="EV23" s="52"/>
      <c r="EW23" s="20"/>
      <c r="EX23" s="38"/>
    </row>
    <row r="24" spans="1:154">
      <c r="A24" s="2">
        <v>9</v>
      </c>
      <c r="B24" s="2" t="s">
        <v>182</v>
      </c>
      <c r="C24" s="37" t="s">
        <v>183</v>
      </c>
      <c r="D24" s="50" t="s">
        <v>184</v>
      </c>
      <c r="E24" s="20">
        <f>E6</f>
        <v>878</v>
      </c>
      <c r="F24" s="42">
        <f>G21</f>
        <v>239.054032355958</v>
      </c>
      <c r="G24" s="38">
        <f>E24/F24</f>
        <v>3.67280983025894</v>
      </c>
      <c r="H24" s="20">
        <f>H6</f>
        <v>1048</v>
      </c>
      <c r="I24" s="42">
        <f>J21</f>
        <v>257.541185150288</v>
      </c>
      <c r="J24" s="38">
        <f>H24/I24</f>
        <v>4.06925206695947</v>
      </c>
      <c r="K24" s="20">
        <f>K6</f>
        <v>1465</v>
      </c>
      <c r="L24" s="42">
        <f>M21</f>
        <v>257.626595077438</v>
      </c>
      <c r="M24" s="38">
        <f>K24/L24</f>
        <v>5.68652471442108</v>
      </c>
      <c r="N24" s="20">
        <f>N6</f>
        <v>790</v>
      </c>
      <c r="O24" s="42">
        <f>P21</f>
        <v>221.216937369867</v>
      </c>
      <c r="P24" s="38">
        <f>N24/O24</f>
        <v>3.57115512669425</v>
      </c>
      <c r="Q24" s="20">
        <f>Q6</f>
        <v>1305</v>
      </c>
      <c r="R24" s="42">
        <f>S21</f>
        <v>244.997217651728</v>
      </c>
      <c r="S24" s="38">
        <f>Q24/R24</f>
        <v>5.32659110380226</v>
      </c>
      <c r="T24" s="20">
        <f>T6</f>
        <v>894</v>
      </c>
      <c r="U24" s="42">
        <f>V21</f>
        <v>208.843648851118</v>
      </c>
      <c r="V24" s="38">
        <f>T24/U24</f>
        <v>4.28071432824525</v>
      </c>
      <c r="W24" s="20">
        <f>W6</f>
        <v>894</v>
      </c>
      <c r="X24" s="42">
        <f>Y21</f>
        <v>227.053161337056</v>
      </c>
      <c r="Y24" s="38">
        <f>W24/X24</f>
        <v>3.93740388698167</v>
      </c>
      <c r="Z24" s="20">
        <f>Z6</f>
        <v>1136</v>
      </c>
      <c r="AA24" s="42">
        <f>AB21</f>
        <v>314.512128186902</v>
      </c>
      <c r="AB24" s="38">
        <f>Z24/AA24</f>
        <v>3.61194338211632</v>
      </c>
      <c r="AC24" s="20">
        <f>AC6</f>
        <v>870</v>
      </c>
      <c r="AD24" s="42">
        <f>AE21</f>
        <v>131.251928716153</v>
      </c>
      <c r="AE24" s="38">
        <f>AC24/AD24</f>
        <v>6.62847402327681</v>
      </c>
      <c r="AF24" s="20">
        <f>AF6</f>
        <v>846</v>
      </c>
      <c r="AG24" s="42">
        <f>AH21</f>
        <v>158.111442212826</v>
      </c>
      <c r="AH24" s="38">
        <f>AF24/AG24</f>
        <v>5.35065639880282</v>
      </c>
      <c r="AI24" s="20">
        <f>AI6</f>
        <v>617</v>
      </c>
      <c r="AJ24" s="42">
        <f>AK21</f>
        <v>128.984119314262</v>
      </c>
      <c r="AK24" s="38">
        <f>AI24/AJ24</f>
        <v>4.78353461868214</v>
      </c>
      <c r="AL24" s="20">
        <f>AL6</f>
        <v>684</v>
      </c>
      <c r="AM24" s="42">
        <f>AN21</f>
        <v>206.766146392932</v>
      </c>
      <c r="AN24" s="38">
        <f>AL24/AM24</f>
        <v>3.3080850609855</v>
      </c>
      <c r="AO24" s="20">
        <f>AO6</f>
        <v>741</v>
      </c>
      <c r="AP24" s="42">
        <f>AQ21</f>
        <v>145.250590850722</v>
      </c>
      <c r="AQ24" s="38">
        <f>AO24/AP24</f>
        <v>5.1015283012621</v>
      </c>
      <c r="AR24" s="20">
        <f>AR6</f>
        <v>1301</v>
      </c>
      <c r="AS24" s="42">
        <f>AT21</f>
        <v>215.351562772661</v>
      </c>
      <c r="AT24" s="38">
        <f>AR24/AS24</f>
        <v>6.04128422960839</v>
      </c>
      <c r="AU24" s="20">
        <f>AU6</f>
        <v>786</v>
      </c>
      <c r="AV24" s="42">
        <f>AW21</f>
        <v>293.345352366412</v>
      </c>
      <c r="AW24" s="38">
        <f>AU24/AV24</f>
        <v>2.67943566741164</v>
      </c>
      <c r="AX24" s="20">
        <f>AX6</f>
        <v>952</v>
      </c>
      <c r="AY24" s="42">
        <f>AZ21</f>
        <v>160.197576705101</v>
      </c>
      <c r="AZ24" s="38">
        <f>AX24/AY24</f>
        <v>5.94266167803828</v>
      </c>
      <c r="BA24" s="20">
        <f>BA6</f>
        <v>983</v>
      </c>
      <c r="BB24" s="42">
        <f>BC21</f>
        <v>172.900528370517</v>
      </c>
      <c r="BC24" s="38">
        <f>BA24/BB24</f>
        <v>5.68534989027609</v>
      </c>
      <c r="BD24" s="20">
        <f>BD6</f>
        <v>686</v>
      </c>
      <c r="BE24" s="42">
        <f>BF21</f>
        <v>125.953319058271</v>
      </c>
      <c r="BF24" s="38">
        <f>BD24/BE24</f>
        <v>5.44646226974477</v>
      </c>
      <c r="BG24" s="20">
        <f>BG6</f>
        <v>1138</v>
      </c>
      <c r="BH24" s="42">
        <f>BI21</f>
        <v>207.276725041628</v>
      </c>
      <c r="BI24" s="38">
        <f>BG24/BH24</f>
        <v>5.4902449841942</v>
      </c>
      <c r="BJ24" s="20">
        <f>BJ6</f>
        <v>918</v>
      </c>
      <c r="BK24" s="42">
        <f>BL21</f>
        <v>150.075225477104</v>
      </c>
      <c r="BL24" s="38">
        <f>BJ24/BK24</f>
        <v>6.11693233897591</v>
      </c>
      <c r="BM24" s="20">
        <f>BM6</f>
        <v>826</v>
      </c>
      <c r="BN24" s="42">
        <f>BO21</f>
        <v>165.624325825059</v>
      </c>
      <c r="BO24" s="38">
        <f>BM24/BN24</f>
        <v>4.98719011162927</v>
      </c>
      <c r="BP24" s="20">
        <f>BP6</f>
        <v>1219</v>
      </c>
      <c r="BQ24" s="42">
        <f>BR21</f>
        <v>156.654881960951</v>
      </c>
      <c r="BR24" s="38">
        <f>BP24/BQ24</f>
        <v>7.78143639534873</v>
      </c>
      <c r="BS24" s="20">
        <f>BS6</f>
        <v>923</v>
      </c>
      <c r="BT24" s="42">
        <f>BU21</f>
        <v>135.365406488976</v>
      </c>
      <c r="BU24" s="38">
        <f>BS24/BT24</f>
        <v>6.81858108316004</v>
      </c>
      <c r="BV24" s="20">
        <f>BV6</f>
        <v>712</v>
      </c>
      <c r="BW24" s="42">
        <f>BX21</f>
        <v>140.612921271923</v>
      </c>
      <c r="BX24" s="38">
        <f>BV24/BW24</f>
        <v>5.06354603516915</v>
      </c>
      <c r="BY24" s="20">
        <f>BY6</f>
        <v>2165</v>
      </c>
      <c r="BZ24" s="42">
        <f>CA21</f>
        <v>148.211000151094</v>
      </c>
      <c r="CA24" s="38">
        <f>BY24/BZ24</f>
        <v>14.6075527308559</v>
      </c>
      <c r="CB24" s="20">
        <f>CB6</f>
        <v>1527</v>
      </c>
      <c r="CC24" s="42">
        <f>CD21</f>
        <v>214.385163959575</v>
      </c>
      <c r="CD24" s="38">
        <f>CB24/CC24</f>
        <v>7.12269436838424</v>
      </c>
      <c r="CE24" s="20">
        <f>CE6</f>
        <v>2194</v>
      </c>
      <c r="CF24" s="42">
        <f>CG21</f>
        <v>238.067840735421</v>
      </c>
      <c r="CG24" s="38">
        <f>CE24/CF24</f>
        <v>9.21586045902909</v>
      </c>
      <c r="CH24" s="20">
        <f>CH6</f>
        <v>1605</v>
      </c>
      <c r="CI24" s="42">
        <f>CJ21</f>
        <v>177.782244304286</v>
      </c>
      <c r="CJ24" s="38">
        <f>CH24/CI24</f>
        <v>9.0278981811757</v>
      </c>
      <c r="CK24" s="20">
        <f>CK6</f>
        <v>1738</v>
      </c>
      <c r="CL24" s="42">
        <f>CM21</f>
        <v>277.173978320271</v>
      </c>
      <c r="CM24" s="38">
        <f>CK24/CL24</f>
        <v>6.27042989580992</v>
      </c>
      <c r="CN24" s="20">
        <f>CN6</f>
        <v>1063</v>
      </c>
      <c r="CO24" s="42">
        <f>CP21</f>
        <v>167.199766518341</v>
      </c>
      <c r="CP24" s="38">
        <f>CN24/CO24</f>
        <v>6.35766438037099</v>
      </c>
      <c r="CQ24" s="20">
        <f>CQ6</f>
        <v>5833</v>
      </c>
      <c r="CR24" s="42">
        <f>CS21</f>
        <v>384.822537246372</v>
      </c>
      <c r="CS24" s="38">
        <f>CQ24/CR24</f>
        <v>15.1576361450618</v>
      </c>
      <c r="CT24" s="20">
        <f>CT6</f>
        <v>1077</v>
      </c>
      <c r="CU24" s="42">
        <f>CV21</f>
        <v>186.439409329045</v>
      </c>
      <c r="CV24" s="38">
        <f>CT24/CU24</f>
        <v>5.7766756710713</v>
      </c>
      <c r="CW24" s="20">
        <f>CW6</f>
        <v>849</v>
      </c>
      <c r="CX24" s="42">
        <f>CY21</f>
        <v>156.47626729249</v>
      </c>
      <c r="CY24" s="38">
        <f>CW24/CX24</f>
        <v>5.4257429237689</v>
      </c>
      <c r="CZ24" s="20">
        <f>CZ6</f>
        <v>1070</v>
      </c>
      <c r="DA24" s="42">
        <f>DB21</f>
        <v>156.177212772993</v>
      </c>
      <c r="DB24" s="38">
        <f>CZ24/DA24</f>
        <v>6.85119154710022</v>
      </c>
      <c r="DC24" s="20">
        <f>DC6</f>
        <v>3575</v>
      </c>
      <c r="DD24" s="42">
        <f>DE21</f>
        <v>223.219467159061</v>
      </c>
      <c r="DE24" s="38">
        <f>DC24/DD24</f>
        <v>16.0156282312624</v>
      </c>
      <c r="DF24" s="20">
        <f>DF6</f>
        <v>2194</v>
      </c>
      <c r="DG24" s="42">
        <f>DH21</f>
        <v>191.290251418839</v>
      </c>
      <c r="DH24" s="38">
        <f>DF24/DG24</f>
        <v>11.4694815011568</v>
      </c>
      <c r="DI24" s="20">
        <f>DI6</f>
        <v>2175</v>
      </c>
      <c r="DJ24" s="42">
        <f>DK21</f>
        <v>269.944911997308</v>
      </c>
      <c r="DK24" s="38">
        <f>DI24/DJ24</f>
        <v>8.0571994630582</v>
      </c>
      <c r="DL24" s="20">
        <f>DL6</f>
        <v>988</v>
      </c>
      <c r="DM24" s="42">
        <f>DN21</f>
        <v>171.283456038462</v>
      </c>
      <c r="DN24" s="38">
        <f>DL24/DM24</f>
        <v>5.76821616547802</v>
      </c>
      <c r="DO24" s="20">
        <f>DO6</f>
        <v>2289</v>
      </c>
      <c r="DP24" s="42">
        <f>DQ21</f>
        <v>169.619538496971</v>
      </c>
      <c r="DQ24" s="38">
        <f>DO24/DP24</f>
        <v>13.4949076048858</v>
      </c>
      <c r="DR24" s="20">
        <f>DR6</f>
        <v>1790</v>
      </c>
      <c r="DS24" s="42">
        <f>DT21</f>
        <v>187.265318956893</v>
      </c>
      <c r="DT24" s="38">
        <f>DR24/DS24</f>
        <v>9.55863055674521</v>
      </c>
      <c r="DU24" s="20">
        <f>DU6</f>
        <v>2260</v>
      </c>
      <c r="DV24" s="42">
        <f>DW21</f>
        <v>156.78702109202</v>
      </c>
      <c r="DW24" s="38">
        <f>DU24/DV24</f>
        <v>14.4144584434293</v>
      </c>
      <c r="DX24" s="20">
        <f>DX6</f>
        <v>1023</v>
      </c>
      <c r="DY24" s="42">
        <f>DZ21</f>
        <v>126.9802796</v>
      </c>
      <c r="DZ24" s="38">
        <f>DX24/DY24</f>
        <v>8.05636909307924</v>
      </c>
      <c r="EA24" s="20">
        <f>EA6</f>
        <v>1573</v>
      </c>
      <c r="EB24" s="42">
        <f>EC21</f>
        <v>185.855624249876</v>
      </c>
      <c r="EC24" s="38">
        <f>EA24/EB24</f>
        <v>8.46355877767338</v>
      </c>
      <c r="ED24" s="20">
        <f>ED6</f>
        <v>1583</v>
      </c>
      <c r="EE24" s="42">
        <f>EF21</f>
        <v>177.447204141085</v>
      </c>
      <c r="EF24" s="38">
        <f>ED24/EE24</f>
        <v>8.92096332349869</v>
      </c>
      <c r="EG24" s="20">
        <f>EG6</f>
        <v>1263</v>
      </c>
      <c r="EH24" s="42">
        <f>EI21</f>
        <v>158.169895215469</v>
      </c>
      <c r="EI24" s="38">
        <f>EG24/EH24</f>
        <v>7.98508463497092</v>
      </c>
      <c r="EJ24" s="20">
        <f>EJ6</f>
        <v>1950</v>
      </c>
      <c r="EK24" s="42">
        <f>EL21</f>
        <v>247.597229714286</v>
      </c>
      <c r="EL24" s="38">
        <f>EJ24/EK24</f>
        <v>7.8756939334507</v>
      </c>
      <c r="EM24" s="20">
        <f>EM6</f>
        <v>2180</v>
      </c>
      <c r="EN24" s="42">
        <f>EO21</f>
        <v>137.950597874094</v>
      </c>
      <c r="EO24" s="38">
        <f>EM24/EN24</f>
        <v>15.8027586222545</v>
      </c>
      <c r="EP24" s="20">
        <f>EP6</f>
        <v>1585</v>
      </c>
      <c r="EQ24" s="42">
        <f>ER21</f>
        <v>106.375519085714</v>
      </c>
      <c r="ER24" s="38">
        <f>EP24/EQ24</f>
        <v>14.9000447999963</v>
      </c>
      <c r="ES24" s="20">
        <f>ES6</f>
        <v>1500</v>
      </c>
      <c r="ET24" s="42">
        <f>EU21</f>
        <v>87.4141427498122</v>
      </c>
      <c r="EU24" s="38">
        <f>ES24/ET24</f>
        <v>17.1596946765599</v>
      </c>
      <c r="EV24" s="20">
        <f>EV6</f>
        <v>2837</v>
      </c>
      <c r="EW24" s="42">
        <f>EX21</f>
        <v>258.844157549234</v>
      </c>
      <c r="EX24" s="38">
        <f>EV24/EW24</f>
        <v>10.960262834831</v>
      </c>
    </row>
    <row r="25" spans="1:154">
      <c r="A25" s="2"/>
      <c r="B25" s="2"/>
      <c r="C25" s="2" t="s">
        <v>185</v>
      </c>
      <c r="D25" s="2"/>
      <c r="E25" s="20"/>
      <c r="F25" s="42"/>
      <c r="G25" s="38"/>
      <c r="H25" s="20"/>
      <c r="I25" s="42"/>
      <c r="J25" s="38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38"/>
      <c r="W25" s="20"/>
      <c r="X25" s="42"/>
      <c r="Y25" s="38"/>
      <c r="Z25" s="20"/>
      <c r="AA25" s="42"/>
      <c r="AB25" s="38"/>
      <c r="AC25" s="20"/>
      <c r="AD25" s="42"/>
      <c r="AE25" s="38"/>
      <c r="AF25" s="20"/>
      <c r="AG25" s="42"/>
      <c r="AH25" s="38"/>
      <c r="AI25" s="20"/>
      <c r="AJ25" s="42"/>
      <c r="AK25" s="38"/>
      <c r="AL25" s="20"/>
      <c r="AM25" s="42"/>
      <c r="AN25" s="38"/>
      <c r="AO25" s="20"/>
      <c r="AP25" s="42"/>
      <c r="AQ25" s="38"/>
      <c r="AR25" s="20"/>
      <c r="AS25" s="42"/>
      <c r="AT25" s="38"/>
      <c r="AU25" s="20"/>
      <c r="AV25" s="42"/>
      <c r="AW25" s="38"/>
      <c r="AX25" s="20"/>
      <c r="AY25" s="42"/>
      <c r="AZ25" s="38"/>
      <c r="BA25" s="20"/>
      <c r="BB25" s="42"/>
      <c r="BC25" s="38"/>
      <c r="BD25" s="20"/>
      <c r="BE25" s="42"/>
      <c r="BF25" s="38"/>
      <c r="BG25" s="20"/>
      <c r="BH25" s="42"/>
      <c r="BI25" s="38"/>
      <c r="BJ25" s="20"/>
      <c r="BK25" s="42"/>
      <c r="BL25" s="38"/>
      <c r="BM25" s="20"/>
      <c r="BN25" s="42"/>
      <c r="BO25" s="38"/>
      <c r="BP25" s="20"/>
      <c r="BQ25" s="42"/>
      <c r="BR25" s="38"/>
      <c r="BS25" s="20"/>
      <c r="BT25" s="42"/>
      <c r="BU25" s="38"/>
      <c r="BV25" s="20"/>
      <c r="BW25" s="42"/>
      <c r="BX25" s="38"/>
      <c r="BY25" s="20"/>
      <c r="BZ25" s="42"/>
      <c r="CA25" s="38"/>
      <c r="CB25" s="20"/>
      <c r="CC25" s="42"/>
      <c r="CD25" s="38"/>
      <c r="CE25" s="20"/>
      <c r="CF25" s="42"/>
      <c r="CG25" s="38"/>
      <c r="CH25" s="20"/>
      <c r="CI25" s="42"/>
      <c r="CJ25" s="38"/>
      <c r="CK25" s="20"/>
      <c r="CL25" s="42"/>
      <c r="CM25" s="38"/>
      <c r="CN25" s="20"/>
      <c r="CO25" s="42"/>
      <c r="CP25" s="38"/>
      <c r="CQ25" s="20"/>
      <c r="CR25" s="42"/>
      <c r="CS25" s="38"/>
      <c r="CT25" s="20"/>
      <c r="CU25" s="42"/>
      <c r="CV25" s="38"/>
      <c r="CW25" s="20"/>
      <c r="CX25" s="42"/>
      <c r="CY25" s="38"/>
      <c r="CZ25" s="20"/>
      <c r="DA25" s="42"/>
      <c r="DB25" s="38"/>
      <c r="DC25" s="20"/>
      <c r="DD25" s="42"/>
      <c r="DE25" s="38"/>
      <c r="DF25" s="20"/>
      <c r="DG25" s="42"/>
      <c r="DH25" s="38"/>
      <c r="DI25" s="20"/>
      <c r="DJ25" s="42"/>
      <c r="DK25" s="38"/>
      <c r="DL25" s="20"/>
      <c r="DM25" s="42"/>
      <c r="DN25" s="38"/>
      <c r="DO25" s="20"/>
      <c r="DP25" s="42"/>
      <c r="DQ25" s="38"/>
      <c r="DR25" s="20"/>
      <c r="DS25" s="42"/>
      <c r="DT25" s="38"/>
      <c r="DU25" s="20"/>
      <c r="DV25" s="42"/>
      <c r="DW25" s="38"/>
      <c r="DX25" s="20"/>
      <c r="DY25" s="42"/>
      <c r="DZ25" s="38"/>
      <c r="EA25" s="20"/>
      <c r="EB25" s="42"/>
      <c r="EC25" s="38"/>
      <c r="ED25" s="20"/>
      <c r="EE25" s="42"/>
      <c r="EF25" s="38"/>
      <c r="EG25" s="20"/>
      <c r="EH25" s="42"/>
      <c r="EI25" s="38"/>
      <c r="EJ25" s="20"/>
      <c r="EK25" s="42"/>
      <c r="EL25" s="38"/>
      <c r="EM25" s="20"/>
      <c r="EN25" s="42"/>
      <c r="EO25" s="38"/>
      <c r="EP25" s="20"/>
      <c r="EQ25" s="42"/>
      <c r="ER25" s="38"/>
      <c r="ES25" s="20"/>
      <c r="ET25" s="42"/>
      <c r="EU25" s="38"/>
      <c r="EV25" s="20"/>
      <c r="EW25" s="42"/>
      <c r="EX25" s="38"/>
    </row>
    <row r="26" spans="1:154">
      <c r="A26" s="2"/>
      <c r="B26" s="2"/>
      <c r="C26" s="2"/>
      <c r="D26" s="2"/>
      <c r="E26" s="20"/>
      <c r="F26" s="2"/>
      <c r="G26" s="85"/>
      <c r="H26" s="20"/>
      <c r="I26" s="2"/>
      <c r="J26" s="85"/>
      <c r="K26" s="20"/>
      <c r="L26" s="2"/>
      <c r="M26" s="85"/>
      <c r="N26" s="20"/>
      <c r="O26" s="2"/>
      <c r="P26" s="85"/>
      <c r="Q26" s="20"/>
      <c r="R26" s="2"/>
      <c r="S26" s="85"/>
      <c r="T26" s="20"/>
      <c r="U26" s="2"/>
      <c r="V26" s="85"/>
      <c r="W26" s="20"/>
      <c r="X26" s="2"/>
      <c r="Y26" s="85"/>
      <c r="Z26" s="20"/>
      <c r="AA26" s="2"/>
      <c r="AB26" s="85"/>
      <c r="AC26" s="20"/>
      <c r="AD26" s="2"/>
      <c r="AE26" s="85"/>
      <c r="AF26" s="20"/>
      <c r="AG26" s="2"/>
      <c r="AH26" s="85"/>
      <c r="AI26" s="20"/>
      <c r="AJ26" s="2"/>
      <c r="AK26" s="85"/>
      <c r="AL26" s="20"/>
      <c r="AM26" s="2"/>
      <c r="AN26" s="85"/>
      <c r="AO26" s="20"/>
      <c r="AP26" s="2"/>
      <c r="AQ26" s="85"/>
      <c r="AR26" s="20"/>
      <c r="AS26" s="2"/>
      <c r="AT26" s="85"/>
      <c r="AU26" s="20"/>
      <c r="AV26" s="2"/>
      <c r="AW26" s="85"/>
      <c r="AX26" s="20"/>
      <c r="AY26" s="2"/>
      <c r="AZ26" s="85"/>
      <c r="BA26" s="20"/>
      <c r="BB26" s="2"/>
      <c r="BC26" s="85"/>
      <c r="BD26" s="20"/>
      <c r="BE26" s="2"/>
      <c r="BF26" s="85"/>
      <c r="BG26" s="20"/>
      <c r="BH26" s="2"/>
      <c r="BI26" s="85"/>
      <c r="BJ26" s="20"/>
      <c r="BK26" s="2"/>
      <c r="BL26" s="85"/>
      <c r="BM26" s="20"/>
      <c r="BN26" s="2"/>
      <c r="BO26" s="85"/>
      <c r="BP26" s="20"/>
      <c r="BQ26" s="2"/>
      <c r="BR26" s="85"/>
      <c r="BS26" s="20"/>
      <c r="BT26" s="2"/>
      <c r="BU26" s="85"/>
      <c r="BV26" s="20"/>
      <c r="BW26" s="2"/>
      <c r="BX26" s="85"/>
      <c r="BY26" s="20"/>
      <c r="BZ26" s="2"/>
      <c r="CA26" s="85"/>
      <c r="CB26" s="20"/>
      <c r="CC26" s="2"/>
      <c r="CD26" s="85"/>
      <c r="CE26" s="20"/>
      <c r="CF26" s="2"/>
      <c r="CG26" s="85"/>
      <c r="CH26" s="20"/>
      <c r="CI26" s="2"/>
      <c r="CJ26" s="85"/>
      <c r="CK26" s="20"/>
      <c r="CL26" s="2"/>
      <c r="CM26" s="85"/>
      <c r="CN26" s="20"/>
      <c r="CO26" s="2"/>
      <c r="CP26" s="85"/>
      <c r="CQ26" s="20"/>
      <c r="CR26" s="2"/>
      <c r="CS26" s="85"/>
      <c r="CT26" s="20"/>
      <c r="CU26" s="2"/>
      <c r="CV26" s="85"/>
      <c r="CW26" s="20"/>
      <c r="CX26" s="2"/>
      <c r="CY26" s="85"/>
      <c r="CZ26" s="20"/>
      <c r="DA26" s="2"/>
      <c r="DB26" s="85"/>
      <c r="DC26" s="20"/>
      <c r="DD26" s="2"/>
      <c r="DE26" s="85"/>
      <c r="DF26" s="20"/>
      <c r="DG26" s="2"/>
      <c r="DH26" s="85"/>
      <c r="DI26" s="20"/>
      <c r="DJ26" s="2"/>
      <c r="DK26" s="85"/>
      <c r="DL26" s="20"/>
      <c r="DM26" s="2"/>
      <c r="DN26" s="85"/>
      <c r="DO26" s="20"/>
      <c r="DP26" s="2"/>
      <c r="DQ26" s="85"/>
      <c r="DR26" s="20"/>
      <c r="DS26" s="2"/>
      <c r="DT26" s="85"/>
      <c r="DU26" s="20"/>
      <c r="DV26" s="2"/>
      <c r="DW26" s="85"/>
      <c r="DX26" s="20"/>
      <c r="DY26" s="2"/>
      <c r="DZ26" s="85"/>
      <c r="EA26" s="20"/>
      <c r="EB26" s="2"/>
      <c r="EC26" s="85"/>
      <c r="ED26" s="20"/>
      <c r="EE26" s="2"/>
      <c r="EF26" s="85"/>
      <c r="EG26" s="20"/>
      <c r="EH26" s="2"/>
      <c r="EI26" s="85"/>
      <c r="EJ26" s="20"/>
      <c r="EK26" s="2"/>
      <c r="EL26" s="85"/>
      <c r="EM26" s="20"/>
      <c r="EN26" s="2"/>
      <c r="EO26" s="85"/>
      <c r="EP26" s="20"/>
      <c r="EQ26" s="2"/>
      <c r="ER26" s="85"/>
      <c r="ES26" s="20"/>
      <c r="ET26" s="2"/>
      <c r="EU26" s="85"/>
      <c r="EV26" s="20"/>
      <c r="EW26" s="2"/>
      <c r="EX26" s="85"/>
    </row>
    <row r="27" spans="1:154">
      <c r="A27" s="2">
        <v>10</v>
      </c>
      <c r="B27" s="2" t="s">
        <v>186</v>
      </c>
      <c r="C27" s="37" t="s">
        <v>187</v>
      </c>
      <c r="D27" s="41" t="s">
        <v>295</v>
      </c>
      <c r="E27" s="42">
        <v>14</v>
      </c>
      <c r="F27" s="20">
        <f>E6</f>
        <v>878</v>
      </c>
      <c r="G27" s="38">
        <f>(E27/F27)*100</f>
        <v>1.59453302961276</v>
      </c>
      <c r="H27" s="42">
        <v>15</v>
      </c>
      <c r="I27" s="20">
        <f>H6</f>
        <v>1048</v>
      </c>
      <c r="J27" s="38">
        <f>(H27/I27)*100</f>
        <v>1.43129770992366</v>
      </c>
      <c r="K27" s="42">
        <v>14.73</v>
      </c>
      <c r="L27" s="20">
        <f>K6</f>
        <v>1465</v>
      </c>
      <c r="M27" s="38">
        <f>(K27/L27)*100</f>
        <v>1.00546075085324</v>
      </c>
      <c r="N27" s="42">
        <v>0</v>
      </c>
      <c r="O27" s="20">
        <f>N6</f>
        <v>790</v>
      </c>
      <c r="P27" s="38">
        <f>(N27/O27)*100</f>
        <v>0</v>
      </c>
      <c r="Q27" s="42">
        <v>15</v>
      </c>
      <c r="R27" s="20">
        <f>Q6</f>
        <v>1305</v>
      </c>
      <c r="S27" s="38">
        <f>(Q27/R27)*100</f>
        <v>1.14942528735632</v>
      </c>
      <c r="T27" s="42">
        <v>10</v>
      </c>
      <c r="U27" s="20">
        <f>T6</f>
        <v>894</v>
      </c>
      <c r="V27" s="38">
        <f>(T27/U27)*100</f>
        <v>1.11856823266219</v>
      </c>
      <c r="W27" s="42">
        <v>15</v>
      </c>
      <c r="X27" s="20">
        <f>W6</f>
        <v>894</v>
      </c>
      <c r="Y27" s="38">
        <f>(W27/X27)*100</f>
        <v>1.67785234899329</v>
      </c>
      <c r="Z27" s="42">
        <v>15</v>
      </c>
      <c r="AA27" s="20">
        <f>Z6</f>
        <v>1136</v>
      </c>
      <c r="AB27" s="38">
        <f>(Z27/AA27)*100</f>
        <v>1.32042253521127</v>
      </c>
      <c r="AC27" s="42">
        <v>9.47</v>
      </c>
      <c r="AD27" s="20">
        <f>AC6</f>
        <v>870</v>
      </c>
      <c r="AE27" s="38">
        <f>(AC27/AD27)*100</f>
        <v>1.08850574712644</v>
      </c>
      <c r="AF27" s="42">
        <v>7.89</v>
      </c>
      <c r="AG27" s="20">
        <f>AF6</f>
        <v>846</v>
      </c>
      <c r="AH27" s="38">
        <f>(AF27/AG27)*100</f>
        <v>0.932624113475177</v>
      </c>
      <c r="AI27" s="42">
        <v>7.89</v>
      </c>
      <c r="AJ27" s="20">
        <f>AI6</f>
        <v>617</v>
      </c>
      <c r="AK27" s="38">
        <f>(AI27/AJ27)*100</f>
        <v>1.27876823338736</v>
      </c>
      <c r="AL27" s="42">
        <v>0</v>
      </c>
      <c r="AM27" s="20">
        <f>AL6</f>
        <v>684</v>
      </c>
      <c r="AN27" s="38">
        <f>(AL27/AM27)*100</f>
        <v>0</v>
      </c>
      <c r="AO27" s="42">
        <v>6.96</v>
      </c>
      <c r="AP27" s="20">
        <f>AO6</f>
        <v>741</v>
      </c>
      <c r="AQ27" s="38">
        <f>(AO27/AP27)*100</f>
        <v>0.939271255060729</v>
      </c>
      <c r="AR27" s="42">
        <v>0</v>
      </c>
      <c r="AS27" s="20">
        <f>AR6</f>
        <v>1301</v>
      </c>
      <c r="AT27" s="38">
        <f>(AR27/AS27)*100</f>
        <v>0</v>
      </c>
      <c r="AU27" s="42">
        <v>0</v>
      </c>
      <c r="AV27" s="20">
        <f>AU6</f>
        <v>786</v>
      </c>
      <c r="AW27" s="38">
        <f>(AU27/AV27)*100</f>
        <v>0</v>
      </c>
      <c r="AX27" s="42">
        <v>14.21</v>
      </c>
      <c r="AY27" s="20">
        <f>AX6</f>
        <v>952</v>
      </c>
      <c r="AZ27" s="38">
        <f>(AX27/AY27)*100</f>
        <v>1.49264705882353</v>
      </c>
      <c r="BA27" s="42">
        <v>15</v>
      </c>
      <c r="BB27" s="20">
        <f>BA6</f>
        <v>983</v>
      </c>
      <c r="BC27" s="38">
        <f>(BA27/BB27)*100</f>
        <v>1.52594099694812</v>
      </c>
      <c r="BD27" s="42">
        <v>10</v>
      </c>
      <c r="BE27" s="20">
        <f>BD6</f>
        <v>686</v>
      </c>
      <c r="BF27" s="38">
        <f>(BD27/BE27)*100</f>
        <v>1.45772594752187</v>
      </c>
      <c r="BG27" s="42">
        <v>10</v>
      </c>
      <c r="BH27" s="20">
        <f>BG6</f>
        <v>1138</v>
      </c>
      <c r="BI27" s="38">
        <f>(BG27/BH27)*100</f>
        <v>0.878734622144113</v>
      </c>
      <c r="BJ27" s="42">
        <v>0</v>
      </c>
      <c r="BK27" s="20">
        <f>BJ6</f>
        <v>918</v>
      </c>
      <c r="BL27" s="38">
        <f>(BJ27/BK27)*100</f>
        <v>0</v>
      </c>
      <c r="BM27" s="42">
        <v>0</v>
      </c>
      <c r="BN27" s="20">
        <f>BM6</f>
        <v>826</v>
      </c>
      <c r="BO27" s="38">
        <f>(BM27/BN27)*100</f>
        <v>0</v>
      </c>
      <c r="BP27" s="42">
        <v>0</v>
      </c>
      <c r="BQ27" s="20">
        <f>BP6</f>
        <v>1219</v>
      </c>
      <c r="BR27" s="38">
        <f>(BP27/BQ27)*100</f>
        <v>0</v>
      </c>
      <c r="BS27" s="42">
        <v>5.26</v>
      </c>
      <c r="BT27" s="20">
        <f>BS6</f>
        <v>923</v>
      </c>
      <c r="BU27" s="38">
        <f>(BS27/BT27)*100</f>
        <v>0.56988082340195</v>
      </c>
      <c r="BV27" s="42">
        <v>0</v>
      </c>
      <c r="BW27" s="20">
        <f>BV6</f>
        <v>712</v>
      </c>
      <c r="BX27" s="38">
        <f>(BV27/BW27)*100</f>
        <v>0</v>
      </c>
      <c r="BY27" s="42">
        <v>0</v>
      </c>
      <c r="BZ27" s="20">
        <f>BY6</f>
        <v>2165</v>
      </c>
      <c r="CA27" s="38">
        <f>(BY27/BZ27)*100</f>
        <v>0</v>
      </c>
      <c r="CB27" s="42">
        <v>0</v>
      </c>
      <c r="CC27" s="20">
        <f>CB6</f>
        <v>1527</v>
      </c>
      <c r="CD27" s="38">
        <f>(CB27/CC27)*100</f>
        <v>0</v>
      </c>
      <c r="CE27" s="42">
        <v>0</v>
      </c>
      <c r="CF27" s="20">
        <f>CE6</f>
        <v>2194</v>
      </c>
      <c r="CG27" s="38">
        <f>(CE27/CF27)*100</f>
        <v>0</v>
      </c>
      <c r="CH27" s="42">
        <v>0</v>
      </c>
      <c r="CI27" s="20">
        <f>CH6</f>
        <v>1605</v>
      </c>
      <c r="CJ27" s="38">
        <f>(CH27/CI27)*100</f>
        <v>0</v>
      </c>
      <c r="CK27" s="42">
        <v>0</v>
      </c>
      <c r="CL27" s="20">
        <f>CK6</f>
        <v>1738</v>
      </c>
      <c r="CM27" s="38">
        <f>(CK27/CL27)*100</f>
        <v>0</v>
      </c>
      <c r="CN27" s="42">
        <v>0</v>
      </c>
      <c r="CO27" s="20">
        <f>CN6</f>
        <v>1063</v>
      </c>
      <c r="CP27" s="38">
        <f>(CN27/CO27)*100</f>
        <v>0</v>
      </c>
      <c r="CQ27" s="42">
        <v>15</v>
      </c>
      <c r="CR27" s="20">
        <f>CQ6</f>
        <v>5833</v>
      </c>
      <c r="CS27" s="38">
        <f>(CQ27/CR27)*100</f>
        <v>0.257157551860106</v>
      </c>
      <c r="CT27" s="42">
        <v>10</v>
      </c>
      <c r="CU27" s="20">
        <f>CT6</f>
        <v>1077</v>
      </c>
      <c r="CV27" s="38">
        <f>(CT27/CU27)*100</f>
        <v>0.928505106778087</v>
      </c>
      <c r="CW27" s="42">
        <v>10</v>
      </c>
      <c r="CX27" s="20">
        <f>CW6</f>
        <v>849</v>
      </c>
      <c r="CY27" s="38">
        <f>(CW27/CX27)*100</f>
        <v>1.17785630153121</v>
      </c>
      <c r="CZ27" s="42">
        <v>0</v>
      </c>
      <c r="DA27" s="20">
        <f>CZ6</f>
        <v>1070</v>
      </c>
      <c r="DB27" s="38">
        <f>(CZ27/DA27)*100</f>
        <v>0</v>
      </c>
      <c r="DC27" s="42">
        <v>0</v>
      </c>
      <c r="DD27" s="20">
        <f>DC6</f>
        <v>3575</v>
      </c>
      <c r="DE27" s="38">
        <f>(DC27/DD27)*100</f>
        <v>0</v>
      </c>
      <c r="DF27" s="42">
        <v>0</v>
      </c>
      <c r="DG27" s="20">
        <f>DF6</f>
        <v>2194</v>
      </c>
      <c r="DH27" s="38">
        <f>(DF27/DG27)*100</f>
        <v>0</v>
      </c>
      <c r="DI27" s="42">
        <v>0</v>
      </c>
      <c r="DJ27" s="20">
        <f>DI6</f>
        <v>2175</v>
      </c>
      <c r="DK27" s="38">
        <f>(DI27/DJ27)*100</f>
        <v>0</v>
      </c>
      <c r="DL27" s="42">
        <v>0</v>
      </c>
      <c r="DM27" s="20">
        <f>DL6</f>
        <v>988</v>
      </c>
      <c r="DN27" s="38">
        <f>(DL27/DM27)*100</f>
        <v>0</v>
      </c>
      <c r="DO27" s="42">
        <v>14.5</v>
      </c>
      <c r="DP27" s="20">
        <f>DO6</f>
        <v>2289</v>
      </c>
      <c r="DQ27" s="38">
        <f>(DO27/DP27)*100</f>
        <v>0.633464394932285</v>
      </c>
      <c r="DR27" s="42">
        <v>0</v>
      </c>
      <c r="DS27" s="20">
        <f>DR6</f>
        <v>1790</v>
      </c>
      <c r="DT27" s="38">
        <f>(DR27/DS27)*100</f>
        <v>0</v>
      </c>
      <c r="DU27" s="42">
        <v>15</v>
      </c>
      <c r="DV27" s="20">
        <f>DU6</f>
        <v>2260</v>
      </c>
      <c r="DW27" s="38">
        <f>(DU27/DV27)*100</f>
        <v>0.663716814159292</v>
      </c>
      <c r="DX27" s="42">
        <v>0</v>
      </c>
      <c r="DY27" s="20">
        <f>DX6</f>
        <v>1023</v>
      </c>
      <c r="DZ27" s="38">
        <f>(DX27/DY27)*100</f>
        <v>0</v>
      </c>
      <c r="EA27" s="42">
        <v>0</v>
      </c>
      <c r="EB27" s="20">
        <f>EA6</f>
        <v>1573</v>
      </c>
      <c r="EC27" s="38">
        <f>(EA27/EB27)*100</f>
        <v>0</v>
      </c>
      <c r="ED27" s="42">
        <v>0</v>
      </c>
      <c r="EE27" s="20">
        <f>ED6</f>
        <v>1583</v>
      </c>
      <c r="EF27" s="38">
        <f>(ED27/EE27)*100</f>
        <v>0</v>
      </c>
      <c r="EG27" s="42">
        <v>0</v>
      </c>
      <c r="EH27" s="20">
        <f>EG6</f>
        <v>1263</v>
      </c>
      <c r="EI27" s="38">
        <f>(EG27/EH27)*100</f>
        <v>0</v>
      </c>
      <c r="EJ27" s="42">
        <v>0</v>
      </c>
      <c r="EK27" s="20">
        <f>EJ6</f>
        <v>1950</v>
      </c>
      <c r="EL27" s="38">
        <f>(EJ27/EK27)*100</f>
        <v>0</v>
      </c>
      <c r="EM27" s="42">
        <v>0</v>
      </c>
      <c r="EN27" s="20">
        <f>EM6</f>
        <v>2180</v>
      </c>
      <c r="EO27" s="38">
        <f>(EM27/EN27)*100</f>
        <v>0</v>
      </c>
      <c r="EP27" s="42">
        <v>0</v>
      </c>
      <c r="EQ27" s="20">
        <f>EP6</f>
        <v>1585</v>
      </c>
      <c r="ER27" s="38">
        <f>(EP27/EQ27)*100</f>
        <v>0</v>
      </c>
      <c r="ES27" s="42">
        <v>0</v>
      </c>
      <c r="ET27" s="20">
        <f>ES6</f>
        <v>1500</v>
      </c>
      <c r="EU27" s="38">
        <f>(ES27/ET27)*100</f>
        <v>0</v>
      </c>
      <c r="EV27" s="42">
        <v>0</v>
      </c>
      <c r="EW27" s="20">
        <f>EV6</f>
        <v>2837</v>
      </c>
      <c r="EX27" s="38">
        <f>(EV27/EW27)*100</f>
        <v>0</v>
      </c>
    </row>
    <row r="28" spans="1:154">
      <c r="A28" s="2"/>
      <c r="B28" s="2"/>
      <c r="C28" s="2" t="s">
        <v>189</v>
      </c>
      <c r="D28" s="41"/>
      <c r="E28" s="42"/>
      <c r="F28" s="20"/>
      <c r="G28" s="38"/>
      <c r="H28" s="42"/>
      <c r="I28" s="20"/>
      <c r="J28" s="38"/>
      <c r="K28" s="42"/>
      <c r="L28" s="20"/>
      <c r="M28" s="38"/>
      <c r="N28" s="42"/>
      <c r="O28" s="20"/>
      <c r="P28" s="38"/>
      <c r="Q28" s="42"/>
      <c r="R28" s="20"/>
      <c r="S28" s="38"/>
      <c r="T28" s="42"/>
      <c r="U28" s="20"/>
      <c r="V28" s="38"/>
      <c r="W28" s="42"/>
      <c r="X28" s="20"/>
      <c r="Y28" s="38"/>
      <c r="Z28" s="42"/>
      <c r="AA28" s="20"/>
      <c r="AB28" s="38"/>
      <c r="AC28" s="42"/>
      <c r="AD28" s="20"/>
      <c r="AE28" s="38"/>
      <c r="AF28" s="42"/>
      <c r="AG28" s="20"/>
      <c r="AH28" s="38"/>
      <c r="AI28" s="42"/>
      <c r="AJ28" s="20"/>
      <c r="AK28" s="38"/>
      <c r="AL28" s="42"/>
      <c r="AM28" s="20"/>
      <c r="AN28" s="38"/>
      <c r="AO28" s="42"/>
      <c r="AP28" s="20"/>
      <c r="AQ28" s="38"/>
      <c r="AR28" s="42"/>
      <c r="AS28" s="20"/>
      <c r="AT28" s="38"/>
      <c r="AU28" s="42"/>
      <c r="AV28" s="20"/>
      <c r="AW28" s="38"/>
      <c r="AX28" s="42"/>
      <c r="AY28" s="20"/>
      <c r="AZ28" s="38"/>
      <c r="BA28" s="42"/>
      <c r="BB28" s="20"/>
      <c r="BC28" s="38"/>
      <c r="BD28" s="42"/>
      <c r="BE28" s="20"/>
      <c r="BF28" s="38"/>
      <c r="BG28" s="42"/>
      <c r="BH28" s="20"/>
      <c r="BI28" s="38"/>
      <c r="BJ28" s="42"/>
      <c r="BK28" s="20"/>
      <c r="BL28" s="38"/>
      <c r="BM28" s="42"/>
      <c r="BN28" s="20"/>
      <c r="BO28" s="38"/>
      <c r="BP28" s="42"/>
      <c r="BQ28" s="20"/>
      <c r="BR28" s="38"/>
      <c r="BS28" s="42"/>
      <c r="BT28" s="20"/>
      <c r="BU28" s="38"/>
      <c r="BV28" s="42"/>
      <c r="BW28" s="20"/>
      <c r="BX28" s="38"/>
      <c r="BY28" s="42"/>
      <c r="BZ28" s="20"/>
      <c r="CA28" s="38"/>
      <c r="CB28" s="42"/>
      <c r="CC28" s="20"/>
      <c r="CD28" s="38"/>
      <c r="CE28" s="42"/>
      <c r="CF28" s="20"/>
      <c r="CG28" s="38"/>
      <c r="CH28" s="42"/>
      <c r="CI28" s="20"/>
      <c r="CJ28" s="38"/>
      <c r="CK28" s="42"/>
      <c r="CL28" s="20"/>
      <c r="CM28" s="38"/>
      <c r="CN28" s="42"/>
      <c r="CO28" s="20"/>
      <c r="CP28" s="38"/>
      <c r="CQ28" s="42"/>
      <c r="CR28" s="20"/>
      <c r="CS28" s="38"/>
      <c r="CT28" s="42"/>
      <c r="CU28" s="20"/>
      <c r="CV28" s="38"/>
      <c r="CW28" s="42"/>
      <c r="CX28" s="20"/>
      <c r="CY28" s="38"/>
      <c r="CZ28" s="42"/>
      <c r="DA28" s="20"/>
      <c r="DB28" s="38"/>
      <c r="DC28" s="42"/>
      <c r="DD28" s="20"/>
      <c r="DE28" s="38"/>
      <c r="DF28" s="42"/>
      <c r="DG28" s="20"/>
      <c r="DH28" s="38"/>
      <c r="DI28" s="42"/>
      <c r="DJ28" s="20"/>
      <c r="DK28" s="38"/>
      <c r="DL28" s="42"/>
      <c r="DM28" s="20"/>
      <c r="DN28" s="38"/>
      <c r="DO28" s="42"/>
      <c r="DP28" s="20"/>
      <c r="DQ28" s="38"/>
      <c r="DR28" s="42"/>
      <c r="DS28" s="20"/>
      <c r="DT28" s="38"/>
      <c r="DU28" s="42"/>
      <c r="DV28" s="20"/>
      <c r="DW28" s="38"/>
      <c r="DX28" s="42"/>
      <c r="DY28" s="20"/>
      <c r="DZ28" s="38"/>
      <c r="EA28" s="42"/>
      <c r="EB28" s="20"/>
      <c r="EC28" s="38"/>
      <c r="ED28" s="42"/>
      <c r="EE28" s="20"/>
      <c r="EF28" s="38"/>
      <c r="EG28" s="42"/>
      <c r="EH28" s="20"/>
      <c r="EI28" s="38"/>
      <c r="EJ28" s="42"/>
      <c r="EK28" s="20"/>
      <c r="EL28" s="38"/>
      <c r="EM28" s="42"/>
      <c r="EN28" s="20"/>
      <c r="EO28" s="38"/>
      <c r="EP28" s="42"/>
      <c r="EQ28" s="20"/>
      <c r="ER28" s="38"/>
      <c r="ES28" s="42"/>
      <c r="ET28" s="20"/>
      <c r="EU28" s="38"/>
      <c r="EV28" s="42"/>
      <c r="EW28" s="20"/>
      <c r="EX28" s="38"/>
    </row>
    <row r="29" spans="1:154">
      <c r="A29" s="2"/>
      <c r="B29" s="2"/>
      <c r="C29" s="2"/>
      <c r="D29" s="41"/>
      <c r="E29" s="86"/>
      <c r="F29" s="20"/>
      <c r="G29" s="38"/>
      <c r="H29" s="86"/>
      <c r="I29" s="20"/>
      <c r="J29" s="38"/>
      <c r="K29" s="86"/>
      <c r="L29" s="20"/>
      <c r="M29" s="38"/>
      <c r="N29" s="86"/>
      <c r="O29" s="20"/>
      <c r="P29" s="38"/>
      <c r="Q29" s="86"/>
      <c r="R29" s="20"/>
      <c r="S29" s="38"/>
      <c r="T29" s="86"/>
      <c r="U29" s="20"/>
      <c r="V29" s="38"/>
      <c r="W29" s="86"/>
      <c r="X29" s="20"/>
      <c r="Y29" s="38"/>
      <c r="Z29" s="86"/>
      <c r="AA29" s="20"/>
      <c r="AB29" s="38"/>
      <c r="AC29" s="86"/>
      <c r="AD29" s="20"/>
      <c r="AE29" s="38"/>
      <c r="AF29" s="86"/>
      <c r="AG29" s="20"/>
      <c r="AH29" s="38"/>
      <c r="AI29" s="86"/>
      <c r="AJ29" s="20"/>
      <c r="AK29" s="38"/>
      <c r="AL29" s="233" t="s">
        <v>190</v>
      </c>
      <c r="AM29" s="20"/>
      <c r="AN29" s="38"/>
      <c r="AO29" s="233"/>
      <c r="AP29" s="20"/>
      <c r="AQ29" s="38"/>
      <c r="AR29" s="86" t="s">
        <v>191</v>
      </c>
      <c r="AS29" s="20"/>
      <c r="AT29" s="38"/>
      <c r="AU29" s="86"/>
      <c r="AV29" s="20"/>
      <c r="AW29" s="38"/>
      <c r="AX29" s="86"/>
      <c r="AY29" s="20"/>
      <c r="AZ29" s="38"/>
      <c r="BA29" s="86"/>
      <c r="BB29" s="20"/>
      <c r="BC29" s="38"/>
      <c r="BD29" s="86"/>
      <c r="BE29" s="20"/>
      <c r="BF29" s="38"/>
      <c r="BG29" s="86"/>
      <c r="BH29" s="20"/>
      <c r="BI29" s="38"/>
      <c r="BJ29" s="86"/>
      <c r="BK29" s="20"/>
      <c r="BL29" s="38"/>
      <c r="BM29" s="86"/>
      <c r="BN29" s="20"/>
      <c r="BO29" s="38"/>
      <c r="BP29" s="86"/>
      <c r="BQ29" s="20"/>
      <c r="BR29" s="38"/>
      <c r="BS29" s="86"/>
      <c r="BT29" s="20"/>
      <c r="BU29" s="38"/>
      <c r="BV29" s="86"/>
      <c r="BW29" s="20"/>
      <c r="BX29" s="38"/>
      <c r="BY29" s="86"/>
      <c r="BZ29" s="20"/>
      <c r="CA29" s="38"/>
      <c r="CB29" s="86"/>
      <c r="CC29" s="20"/>
      <c r="CD29" s="38"/>
      <c r="CE29" s="86"/>
      <c r="CF29" s="20"/>
      <c r="CG29" s="38"/>
      <c r="CH29" s="86"/>
      <c r="CI29" s="20"/>
      <c r="CJ29" s="38"/>
      <c r="CK29" s="86"/>
      <c r="CL29" s="20"/>
      <c r="CM29" s="38"/>
      <c r="CN29" s="86"/>
      <c r="CO29" s="20"/>
      <c r="CP29" s="38"/>
      <c r="CQ29" s="86"/>
      <c r="CR29" s="20"/>
      <c r="CS29" s="38"/>
      <c r="CT29" s="86"/>
      <c r="CU29" s="20"/>
      <c r="CV29" s="38"/>
      <c r="CW29" s="86"/>
      <c r="CX29" s="20"/>
      <c r="CY29" s="38"/>
      <c r="CZ29" s="86"/>
      <c r="DA29" s="20"/>
      <c r="DB29" s="38"/>
      <c r="DC29" s="86"/>
      <c r="DD29" s="20"/>
      <c r="DE29" s="38"/>
      <c r="DF29" s="86"/>
      <c r="DG29" s="20"/>
      <c r="DH29" s="38"/>
      <c r="DI29" s="86"/>
      <c r="DJ29" s="20"/>
      <c r="DK29" s="38"/>
      <c r="DL29" s="86"/>
      <c r="DM29" s="20"/>
      <c r="DN29" s="38"/>
      <c r="DO29" s="86"/>
      <c r="DP29" s="20"/>
      <c r="DQ29" s="38"/>
      <c r="DR29" s="86"/>
      <c r="DS29" s="20"/>
      <c r="DT29" s="38"/>
      <c r="DU29" s="86"/>
      <c r="DV29" s="20"/>
      <c r="DW29" s="38"/>
      <c r="DX29" s="86"/>
      <c r="DY29" s="20"/>
      <c r="DZ29" s="38"/>
      <c r="EA29" s="86"/>
      <c r="EB29" s="20"/>
      <c r="EC29" s="38"/>
      <c r="ED29" s="86"/>
      <c r="EE29" s="20"/>
      <c r="EF29" s="38"/>
      <c r="EG29" s="86"/>
      <c r="EH29" s="20"/>
      <c r="EI29" s="38"/>
      <c r="EJ29" s="86"/>
      <c r="EK29" s="20"/>
      <c r="EL29" s="38"/>
      <c r="EM29" s="86"/>
      <c r="EN29" s="20"/>
      <c r="EO29" s="38"/>
      <c r="EP29" s="86"/>
      <c r="EQ29" s="20"/>
      <c r="ER29" s="38"/>
      <c r="ES29" s="86"/>
      <c r="ET29" s="20"/>
      <c r="EU29" s="38"/>
      <c r="EV29" s="86"/>
      <c r="EW29" s="20"/>
      <c r="EX29" s="38"/>
    </row>
    <row r="30" ht="30" spans="1:154">
      <c r="A30" s="2">
        <v>11</v>
      </c>
      <c r="B30" s="2" t="s">
        <v>192</v>
      </c>
      <c r="C30" s="41" t="s">
        <v>193</v>
      </c>
      <c r="D30" s="2" t="s">
        <v>194</v>
      </c>
      <c r="E30" s="2">
        <v>16.02</v>
      </c>
      <c r="F30" s="42">
        <v>14.71</v>
      </c>
      <c r="G30" s="232">
        <f>E30</f>
        <v>16.02</v>
      </c>
      <c r="H30" s="2">
        <v>17.51</v>
      </c>
      <c r="I30" s="42">
        <v>17.86</v>
      </c>
      <c r="J30" s="232">
        <f>H30</f>
        <v>17.51</v>
      </c>
      <c r="K30" s="2">
        <v>14.44</v>
      </c>
      <c r="L30" s="42">
        <v>12.46</v>
      </c>
      <c r="M30" s="232">
        <f>K30</f>
        <v>14.44</v>
      </c>
      <c r="N30" s="2">
        <v>16.62</v>
      </c>
      <c r="O30" s="42">
        <v>13.53</v>
      </c>
      <c r="P30" s="232">
        <f>N30</f>
        <v>16.62</v>
      </c>
      <c r="Q30" s="2">
        <v>11.33</v>
      </c>
      <c r="R30" s="42">
        <v>11.3</v>
      </c>
      <c r="S30" s="232">
        <f>Q30</f>
        <v>11.33</v>
      </c>
      <c r="T30" s="2">
        <v>13.2</v>
      </c>
      <c r="U30" s="42">
        <v>11.11</v>
      </c>
      <c r="V30" s="232">
        <f>T30</f>
        <v>13.2</v>
      </c>
      <c r="W30" s="2">
        <v>11.56</v>
      </c>
      <c r="X30" s="42">
        <v>11.93</v>
      </c>
      <c r="Y30" s="232">
        <f>W30</f>
        <v>11.56</v>
      </c>
      <c r="Z30" s="2">
        <v>11.56</v>
      </c>
      <c r="AA30" s="42">
        <v>11.93</v>
      </c>
      <c r="AB30" s="232">
        <f>Z30</f>
        <v>11.56</v>
      </c>
      <c r="AC30" s="2">
        <v>26.85</v>
      </c>
      <c r="AD30" s="42">
        <v>20.92</v>
      </c>
      <c r="AE30" s="232">
        <f>AC30</f>
        <v>26.85</v>
      </c>
      <c r="AF30" s="2">
        <v>13.35</v>
      </c>
      <c r="AG30" s="42">
        <v>12.74</v>
      </c>
      <c r="AH30" s="232">
        <f>AF30</f>
        <v>13.35</v>
      </c>
      <c r="AI30" s="2">
        <v>13.35</v>
      </c>
      <c r="AJ30" s="42">
        <v>12.74</v>
      </c>
      <c r="AK30" s="232">
        <f>AI30</f>
        <v>13.35</v>
      </c>
      <c r="AL30" s="2">
        <v>10.07</v>
      </c>
      <c r="AM30" s="42">
        <v>8.02</v>
      </c>
      <c r="AN30" s="232">
        <f>AL30</f>
        <v>10.07</v>
      </c>
      <c r="AO30" s="2">
        <v>12.24</v>
      </c>
      <c r="AP30" s="42">
        <v>11.51</v>
      </c>
      <c r="AQ30" s="232">
        <f>AO30</f>
        <v>12.24</v>
      </c>
      <c r="AR30" s="2">
        <v>10.91</v>
      </c>
      <c r="AS30" s="42">
        <v>10.38</v>
      </c>
      <c r="AT30" s="232">
        <f>AR30</f>
        <v>10.91</v>
      </c>
      <c r="AU30" s="2">
        <v>11.59</v>
      </c>
      <c r="AV30" s="42">
        <v>10.1</v>
      </c>
      <c r="AW30" s="232">
        <f>AU30</f>
        <v>11.59</v>
      </c>
      <c r="AX30" s="2">
        <v>11.88</v>
      </c>
      <c r="AY30" s="42">
        <v>11.48</v>
      </c>
      <c r="AZ30" s="232">
        <f>AX30</f>
        <v>11.88</v>
      </c>
      <c r="BA30" s="2">
        <v>9.97</v>
      </c>
      <c r="BB30" s="42">
        <v>10.11</v>
      </c>
      <c r="BC30" s="232">
        <f>BA30</f>
        <v>9.97</v>
      </c>
      <c r="BD30" s="2">
        <v>18.45</v>
      </c>
      <c r="BE30" s="42">
        <v>18.49</v>
      </c>
      <c r="BF30" s="232">
        <f>BD30</f>
        <v>18.45</v>
      </c>
      <c r="BG30" s="2">
        <v>18.45</v>
      </c>
      <c r="BH30" s="42">
        <v>18.49</v>
      </c>
      <c r="BI30" s="232">
        <f>BG30</f>
        <v>18.45</v>
      </c>
      <c r="BJ30" s="2">
        <v>9.23</v>
      </c>
      <c r="BK30" s="42">
        <v>8.15</v>
      </c>
      <c r="BL30" s="232">
        <f>BJ30</f>
        <v>9.23</v>
      </c>
      <c r="BM30" s="2">
        <v>10.71</v>
      </c>
      <c r="BN30" s="42">
        <v>10.91</v>
      </c>
      <c r="BO30" s="232">
        <f>BM30</f>
        <v>10.71</v>
      </c>
      <c r="BP30" s="2">
        <v>11.28</v>
      </c>
      <c r="BQ30" s="42">
        <v>10.82</v>
      </c>
      <c r="BR30" s="232">
        <f>BP30</f>
        <v>11.28</v>
      </c>
      <c r="BS30" s="2">
        <v>14.05</v>
      </c>
      <c r="BT30" s="42">
        <v>15.18</v>
      </c>
      <c r="BU30" s="232">
        <f>BS30</f>
        <v>14.05</v>
      </c>
      <c r="BV30" s="2">
        <v>13.82</v>
      </c>
      <c r="BW30" s="42">
        <v>15.94</v>
      </c>
      <c r="BX30" s="232">
        <f>BV30</f>
        <v>13.82</v>
      </c>
      <c r="BY30" s="2">
        <v>8.37</v>
      </c>
      <c r="BZ30" s="42">
        <v>8.04</v>
      </c>
      <c r="CA30" s="232">
        <f>BY30</f>
        <v>8.37</v>
      </c>
      <c r="CB30" s="2">
        <v>11.46</v>
      </c>
      <c r="CC30" s="42">
        <v>9.72</v>
      </c>
      <c r="CD30" s="232">
        <f>CB30</f>
        <v>11.46</v>
      </c>
      <c r="CE30" s="2">
        <v>9.14</v>
      </c>
      <c r="CF30" s="42">
        <v>8.25</v>
      </c>
      <c r="CG30" s="232">
        <f>CE30</f>
        <v>9.14</v>
      </c>
      <c r="CH30" s="2">
        <v>9.14</v>
      </c>
      <c r="CI30" s="42">
        <v>8.25</v>
      </c>
      <c r="CJ30" s="232">
        <f>CH30</f>
        <v>9.14</v>
      </c>
      <c r="CK30" s="2">
        <v>9.31</v>
      </c>
      <c r="CL30" s="42">
        <v>8.85</v>
      </c>
      <c r="CM30" s="232">
        <f>CK30</f>
        <v>9.31</v>
      </c>
      <c r="CN30" s="2">
        <v>9.31</v>
      </c>
      <c r="CO30" s="42">
        <v>8.85</v>
      </c>
      <c r="CP30" s="232">
        <f>CN30</f>
        <v>9.31</v>
      </c>
      <c r="CQ30" s="2">
        <v>17.33</v>
      </c>
      <c r="CR30" s="42">
        <v>16.45</v>
      </c>
      <c r="CS30" s="232">
        <f>CQ30</f>
        <v>17.33</v>
      </c>
      <c r="CT30" s="2">
        <v>11.08</v>
      </c>
      <c r="CU30" s="42">
        <v>12.31</v>
      </c>
      <c r="CV30" s="232">
        <f>CT30</f>
        <v>11.08</v>
      </c>
      <c r="CW30" s="2">
        <v>11.08</v>
      </c>
      <c r="CX30" s="42">
        <v>12.31</v>
      </c>
      <c r="CY30" s="232">
        <f>CW30</f>
        <v>11.08</v>
      </c>
      <c r="CZ30" s="2">
        <v>8.68</v>
      </c>
      <c r="DA30" s="42">
        <v>8.03</v>
      </c>
      <c r="DB30" s="232">
        <f>CZ30</f>
        <v>8.68</v>
      </c>
      <c r="DC30" s="2">
        <v>9.3</v>
      </c>
      <c r="DD30" s="42">
        <v>11.02</v>
      </c>
      <c r="DE30" s="232">
        <f>DC30</f>
        <v>9.3</v>
      </c>
      <c r="DF30" s="2">
        <v>12.82</v>
      </c>
      <c r="DG30" s="42">
        <v>10.55</v>
      </c>
      <c r="DH30" s="232">
        <f>DF30</f>
        <v>12.82</v>
      </c>
      <c r="DI30" s="2">
        <v>8.8</v>
      </c>
      <c r="DJ30" s="42">
        <v>8.24</v>
      </c>
      <c r="DK30" s="232">
        <f>DI30</f>
        <v>8.8</v>
      </c>
      <c r="DL30" s="2">
        <v>9.49</v>
      </c>
      <c r="DM30" s="42">
        <v>10.71</v>
      </c>
      <c r="DN30" s="232">
        <f>DL30</f>
        <v>9.49</v>
      </c>
      <c r="DO30" s="2">
        <v>10.09</v>
      </c>
      <c r="DP30" s="42">
        <v>8.73</v>
      </c>
      <c r="DQ30" s="232">
        <f>DO30</f>
        <v>10.09</v>
      </c>
      <c r="DR30" s="2">
        <v>8.88</v>
      </c>
      <c r="DS30" s="42">
        <v>8.3</v>
      </c>
      <c r="DT30" s="232">
        <f>DR30</f>
        <v>8.88</v>
      </c>
      <c r="DU30" s="2">
        <v>8.72</v>
      </c>
      <c r="DV30" s="42">
        <v>8.03</v>
      </c>
      <c r="DW30" s="232">
        <f>DU30</f>
        <v>8.72</v>
      </c>
      <c r="DX30" s="2">
        <v>8.99</v>
      </c>
      <c r="DY30" s="42">
        <v>8.3</v>
      </c>
      <c r="DZ30" s="232">
        <f>DX30</f>
        <v>8.99</v>
      </c>
      <c r="EA30" s="2">
        <v>8.99</v>
      </c>
      <c r="EB30" s="42">
        <v>8.3</v>
      </c>
      <c r="EC30" s="232">
        <f>EA30</f>
        <v>8.99</v>
      </c>
      <c r="ED30" s="2">
        <v>8.68</v>
      </c>
      <c r="EE30" s="42">
        <v>8.09</v>
      </c>
      <c r="EF30" s="232">
        <f>ED30</f>
        <v>8.68</v>
      </c>
      <c r="EG30" s="2">
        <v>10.55</v>
      </c>
      <c r="EH30" s="42">
        <v>10.99</v>
      </c>
      <c r="EI30" s="232">
        <f>EG30</f>
        <v>10.55</v>
      </c>
      <c r="EJ30" s="2">
        <v>8.97</v>
      </c>
      <c r="EK30" s="42">
        <v>8.72</v>
      </c>
      <c r="EL30" s="232">
        <f>EJ30</f>
        <v>8.97</v>
      </c>
      <c r="EM30" s="2">
        <v>9.69</v>
      </c>
      <c r="EN30" s="42">
        <v>9.15</v>
      </c>
      <c r="EO30" s="232">
        <f>EM30</f>
        <v>9.69</v>
      </c>
      <c r="EP30" s="2">
        <v>9.69</v>
      </c>
      <c r="EQ30" s="42">
        <v>9.15</v>
      </c>
      <c r="ER30" s="232">
        <f>EP30</f>
        <v>9.69</v>
      </c>
      <c r="ES30" s="2">
        <v>9.69</v>
      </c>
      <c r="ET30" s="42">
        <v>9.15</v>
      </c>
      <c r="EU30" s="232">
        <f>ES30</f>
        <v>9.69</v>
      </c>
      <c r="EV30" s="2">
        <v>15</v>
      </c>
      <c r="EW30" s="42">
        <v>11.68</v>
      </c>
      <c r="EX30" s="232">
        <f>EV30</f>
        <v>15</v>
      </c>
    </row>
    <row r="31" spans="1:154">
      <c r="A31" s="2"/>
      <c r="B31" s="2"/>
      <c r="D31" s="41"/>
      <c r="E31" s="42"/>
      <c r="F31" s="20"/>
      <c r="G31" s="38"/>
      <c r="H31" s="42"/>
      <c r="I31" s="20"/>
      <c r="J31" s="38"/>
      <c r="K31" s="42"/>
      <c r="L31" s="20"/>
      <c r="M31" s="38"/>
      <c r="N31" s="42"/>
      <c r="O31" s="20"/>
      <c r="P31" s="38"/>
      <c r="Q31" s="42"/>
      <c r="R31" s="20"/>
      <c r="S31" s="38"/>
      <c r="T31" s="42"/>
      <c r="U31" s="20"/>
      <c r="V31" s="38"/>
      <c r="W31" s="42"/>
      <c r="X31" s="20"/>
      <c r="Y31" s="38"/>
      <c r="Z31" s="42"/>
      <c r="AA31" s="20"/>
      <c r="AB31" s="38"/>
      <c r="AC31" s="42"/>
      <c r="AD31" s="20"/>
      <c r="AE31" s="38"/>
      <c r="AF31" s="42"/>
      <c r="AG31" s="20"/>
      <c r="AH31" s="38"/>
      <c r="AI31" s="42"/>
      <c r="AJ31" s="20"/>
      <c r="AK31" s="38"/>
      <c r="AL31" s="42"/>
      <c r="AM31" s="20"/>
      <c r="AN31" s="38"/>
      <c r="AO31" s="42"/>
      <c r="AP31" s="20"/>
      <c r="AQ31" s="38"/>
      <c r="AR31" s="42"/>
      <c r="AS31" s="20"/>
      <c r="AT31" s="38"/>
      <c r="AU31" s="42"/>
      <c r="AV31" s="20"/>
      <c r="AW31" s="38"/>
      <c r="AX31" s="42"/>
      <c r="AY31" s="20"/>
      <c r="AZ31" s="38"/>
      <c r="BA31" s="42"/>
      <c r="BB31" s="20"/>
      <c r="BC31" s="38"/>
      <c r="BD31" s="42"/>
      <c r="BE31" s="20"/>
      <c r="BF31" s="38"/>
      <c r="BG31" s="42"/>
      <c r="BH31" s="20"/>
      <c r="BI31" s="38"/>
      <c r="BJ31" s="42"/>
      <c r="BK31" s="20"/>
      <c r="BL31" s="38"/>
      <c r="BM31" s="42"/>
      <c r="BN31" s="20"/>
      <c r="BO31" s="38"/>
      <c r="BP31" s="42"/>
      <c r="BQ31" s="20"/>
      <c r="BR31" s="38"/>
      <c r="BS31" s="42"/>
      <c r="BT31" s="20"/>
      <c r="BU31" s="38"/>
      <c r="BV31" s="42"/>
      <c r="BW31" s="20"/>
      <c r="BX31" s="38"/>
      <c r="BY31" s="42"/>
      <c r="BZ31" s="20"/>
      <c r="CA31" s="38"/>
      <c r="CB31" s="42"/>
      <c r="CC31" s="20"/>
      <c r="CD31" s="38"/>
      <c r="CE31" s="42"/>
      <c r="CF31" s="20"/>
      <c r="CG31" s="38"/>
      <c r="CH31" s="42"/>
      <c r="CI31" s="20"/>
      <c r="CJ31" s="38"/>
      <c r="CK31" s="42"/>
      <c r="CL31" s="20"/>
      <c r="CM31" s="38"/>
      <c r="CN31" s="42"/>
      <c r="CO31" s="20"/>
      <c r="CP31" s="38"/>
      <c r="CQ31" s="42"/>
      <c r="CR31" s="20"/>
      <c r="CS31" s="38"/>
      <c r="CT31" s="42"/>
      <c r="CU31" s="20"/>
      <c r="CV31" s="38"/>
      <c r="CW31" s="42"/>
      <c r="CX31" s="20"/>
      <c r="CY31" s="38"/>
      <c r="CZ31" s="42"/>
      <c r="DA31" s="20"/>
      <c r="DB31" s="38"/>
      <c r="DC31" s="42"/>
      <c r="DD31" s="20"/>
      <c r="DE31" s="38"/>
      <c r="DF31" s="42"/>
      <c r="DG31" s="20"/>
      <c r="DH31" s="38"/>
      <c r="DI31" s="42"/>
      <c r="DJ31" s="20"/>
      <c r="DK31" s="38"/>
      <c r="DL31" s="42"/>
      <c r="DM31" s="20"/>
      <c r="DN31" s="38"/>
      <c r="DO31" s="42"/>
      <c r="DP31" s="20"/>
      <c r="DQ31" s="38"/>
      <c r="DR31" s="42"/>
      <c r="DS31" s="20"/>
      <c r="DT31" s="38"/>
      <c r="DU31" s="42"/>
      <c r="DV31" s="20"/>
      <c r="DW31" s="38"/>
      <c r="DX31" s="42"/>
      <c r="DY31" s="20"/>
      <c r="DZ31" s="38"/>
      <c r="EA31" s="42"/>
      <c r="EB31" s="20"/>
      <c r="EC31" s="38"/>
      <c r="ED31" s="42"/>
      <c r="EE31" s="20"/>
      <c r="EF31" s="38"/>
      <c r="EG31" s="42"/>
      <c r="EH31" s="20"/>
      <c r="EI31" s="38"/>
      <c r="EJ31" s="42"/>
      <c r="EK31" s="20"/>
      <c r="EL31" s="38"/>
      <c r="EM31" s="42"/>
      <c r="EN31" s="20"/>
      <c r="EO31" s="38"/>
      <c r="EP31" s="42"/>
      <c r="EQ31" s="20"/>
      <c r="ER31" s="38"/>
      <c r="ES31" s="42"/>
      <c r="ET31" s="20"/>
      <c r="EU31" s="38"/>
      <c r="EV31" s="42"/>
      <c r="EW31" s="20"/>
      <c r="EX31" s="38"/>
    </row>
    <row r="32" ht="30" spans="1:154">
      <c r="A32" s="2">
        <v>12</v>
      </c>
      <c r="B32" s="23" t="s">
        <v>196</v>
      </c>
      <c r="C32" s="2" t="s">
        <v>197</v>
      </c>
      <c r="D32" s="2" t="s">
        <v>198</v>
      </c>
      <c r="E32" s="42">
        <v>2.65</v>
      </c>
      <c r="F32" s="42">
        <v>2.18</v>
      </c>
      <c r="G32" s="38">
        <f>E32</f>
        <v>2.65</v>
      </c>
      <c r="H32" s="42">
        <v>2.55</v>
      </c>
      <c r="I32" s="42">
        <v>3</v>
      </c>
      <c r="J32" s="38">
        <f>H32</f>
        <v>2.55</v>
      </c>
      <c r="K32" s="42">
        <v>4.87</v>
      </c>
      <c r="L32" s="42">
        <v>4.66</v>
      </c>
      <c r="M32" s="38">
        <f>K32</f>
        <v>4.87</v>
      </c>
      <c r="N32" s="42">
        <v>8.44</v>
      </c>
      <c r="O32" s="42">
        <v>10.6</v>
      </c>
      <c r="P32" s="38">
        <f>N32</f>
        <v>8.44</v>
      </c>
      <c r="Q32" s="42">
        <v>4.11</v>
      </c>
      <c r="R32" s="42">
        <v>3.69</v>
      </c>
      <c r="S32" s="38">
        <f>Q32</f>
        <v>4.11</v>
      </c>
      <c r="T32" s="42">
        <v>7.73</v>
      </c>
      <c r="U32" s="42">
        <v>5.89</v>
      </c>
      <c r="V32" s="38">
        <f>T32</f>
        <v>7.73</v>
      </c>
      <c r="W32" s="42">
        <v>9.49</v>
      </c>
      <c r="X32" s="42">
        <v>7.92</v>
      </c>
      <c r="Y32" s="38">
        <f>W32</f>
        <v>9.49</v>
      </c>
      <c r="Z32" s="42">
        <v>9.49</v>
      </c>
      <c r="AA32" s="42">
        <v>7.92</v>
      </c>
      <c r="AB32" s="38">
        <f>Z32</f>
        <v>9.49</v>
      </c>
      <c r="AC32" s="42">
        <v>3.84</v>
      </c>
      <c r="AD32" s="42">
        <v>3.16</v>
      </c>
      <c r="AE32" s="38">
        <f>AC32</f>
        <v>3.84</v>
      </c>
      <c r="AF32" s="42">
        <v>9.99</v>
      </c>
      <c r="AG32" s="42">
        <v>8.23</v>
      </c>
      <c r="AH32" s="38">
        <f>AF32</f>
        <v>9.99</v>
      </c>
      <c r="AI32" s="42">
        <v>9.99</v>
      </c>
      <c r="AJ32" s="42">
        <v>8.23</v>
      </c>
      <c r="AK32" s="38">
        <f>AI32</f>
        <v>9.99</v>
      </c>
      <c r="AL32" s="234">
        <v>11.32</v>
      </c>
      <c r="AM32" s="234">
        <v>10.41</v>
      </c>
      <c r="AN32" s="38">
        <f>AL32</f>
        <v>11.32</v>
      </c>
      <c r="AO32" s="42">
        <v>4.7</v>
      </c>
      <c r="AP32" s="42">
        <v>6.11</v>
      </c>
      <c r="AQ32" s="38">
        <f>AO32</f>
        <v>4.7</v>
      </c>
      <c r="AR32" s="42">
        <v>3.62</v>
      </c>
      <c r="AS32" s="42">
        <v>4.07</v>
      </c>
      <c r="AT32" s="38">
        <f>AR32</f>
        <v>3.62</v>
      </c>
      <c r="AU32" s="42">
        <v>4.7</v>
      </c>
      <c r="AV32" s="42">
        <v>7.25</v>
      </c>
      <c r="AW32" s="38">
        <f>AU32</f>
        <v>4.7</v>
      </c>
      <c r="AX32" s="42">
        <v>7.54</v>
      </c>
      <c r="AY32" s="42">
        <v>5.56</v>
      </c>
      <c r="AZ32" s="38">
        <f>AX32</f>
        <v>7.54</v>
      </c>
      <c r="BA32" s="42">
        <v>64</v>
      </c>
      <c r="BB32" s="42">
        <v>58.99</v>
      </c>
      <c r="BC32" s="38">
        <f>BA32</f>
        <v>64</v>
      </c>
      <c r="BD32" s="42">
        <v>3.34</v>
      </c>
      <c r="BE32" s="42">
        <v>3.31</v>
      </c>
      <c r="BF32" s="38">
        <f>BD32</f>
        <v>3.34</v>
      </c>
      <c r="BG32" s="42">
        <v>3.34</v>
      </c>
      <c r="BH32" s="42">
        <v>3.31</v>
      </c>
      <c r="BI32" s="38">
        <f>BG32</f>
        <v>3.34</v>
      </c>
      <c r="BJ32" s="42">
        <v>6</v>
      </c>
      <c r="BK32" s="42">
        <v>4.8</v>
      </c>
      <c r="BL32" s="38">
        <f>BJ32</f>
        <v>6</v>
      </c>
      <c r="BM32" s="42">
        <v>9.6</v>
      </c>
      <c r="BN32" s="235">
        <v>20.5</v>
      </c>
      <c r="BO32" s="38">
        <f>BM32</f>
        <v>9.6</v>
      </c>
      <c r="BP32" s="42">
        <v>7.43</v>
      </c>
      <c r="BQ32" s="42">
        <v>10.19</v>
      </c>
      <c r="BR32" s="38">
        <f>BP32</f>
        <v>7.43</v>
      </c>
      <c r="BS32" s="42">
        <v>6.87</v>
      </c>
      <c r="BT32" s="42">
        <v>10.48</v>
      </c>
      <c r="BU32" s="38">
        <f>BS32</f>
        <v>6.87</v>
      </c>
      <c r="BV32" s="42">
        <v>4.43</v>
      </c>
      <c r="BW32" s="42">
        <v>6.35</v>
      </c>
      <c r="BX32" s="38">
        <f>BV32</f>
        <v>4.43</v>
      </c>
      <c r="BY32" s="42">
        <v>4.73</v>
      </c>
      <c r="BZ32" s="42">
        <v>3.03</v>
      </c>
      <c r="CA32" s="38">
        <f>BY32</f>
        <v>4.73</v>
      </c>
      <c r="CB32" s="42">
        <v>4.8</v>
      </c>
      <c r="CC32" s="42">
        <v>3.94</v>
      </c>
      <c r="CD32" s="38">
        <f>CB32</f>
        <v>4.8</v>
      </c>
      <c r="CE32" s="42">
        <v>1.96</v>
      </c>
      <c r="CF32" s="42">
        <v>3.77</v>
      </c>
      <c r="CG32" s="38">
        <f>CE32</f>
        <v>1.96</v>
      </c>
      <c r="CH32" s="42">
        <v>1.96</v>
      </c>
      <c r="CI32" s="42">
        <v>3.77</v>
      </c>
      <c r="CJ32" s="38">
        <f>CH32</f>
        <v>1.96</v>
      </c>
      <c r="CK32" s="42">
        <v>4.54</v>
      </c>
      <c r="CL32" s="42">
        <v>4.95</v>
      </c>
      <c r="CM32" s="38">
        <f>CK32</f>
        <v>4.54</v>
      </c>
      <c r="CN32" s="42">
        <v>4.54</v>
      </c>
      <c r="CO32" s="42">
        <v>4.95</v>
      </c>
      <c r="CP32" s="38">
        <f>CN32</f>
        <v>4.54</v>
      </c>
      <c r="CQ32" s="42">
        <v>12.8</v>
      </c>
      <c r="CR32" s="42">
        <v>13.22</v>
      </c>
      <c r="CS32" s="38">
        <f>CQ32</f>
        <v>12.8</v>
      </c>
      <c r="CT32" s="42">
        <v>4.67</v>
      </c>
      <c r="CU32" s="42">
        <v>3.79</v>
      </c>
      <c r="CV32" s="38">
        <f>CT32</f>
        <v>4.67</v>
      </c>
      <c r="CW32" s="42">
        <v>4.67</v>
      </c>
      <c r="CX32" s="42">
        <v>3.79</v>
      </c>
      <c r="CY32" s="38">
        <f>CW32</f>
        <v>4.67</v>
      </c>
      <c r="CZ32" s="42">
        <v>2.13</v>
      </c>
      <c r="DA32" s="42">
        <v>4.21</v>
      </c>
      <c r="DB32" s="38">
        <f>CZ32</f>
        <v>2.13</v>
      </c>
      <c r="DC32" s="42">
        <v>4.85</v>
      </c>
      <c r="DD32" s="42">
        <v>2.13</v>
      </c>
      <c r="DE32" s="38">
        <f>DC32</f>
        <v>4.85</v>
      </c>
      <c r="DF32" s="42">
        <v>4.69</v>
      </c>
      <c r="DG32" s="42">
        <v>3.39</v>
      </c>
      <c r="DH32" s="38">
        <f>DF32</f>
        <v>4.69</v>
      </c>
      <c r="DI32" s="42">
        <v>12.21</v>
      </c>
      <c r="DJ32" s="42">
        <v>17.42</v>
      </c>
      <c r="DK32" s="38">
        <f>DI32</f>
        <v>12.21</v>
      </c>
      <c r="DL32" s="42">
        <v>5.33</v>
      </c>
      <c r="DM32" s="42">
        <v>3.49</v>
      </c>
      <c r="DN32" s="38">
        <f>DL32</f>
        <v>5.33</v>
      </c>
      <c r="DO32" s="42">
        <v>1.58</v>
      </c>
      <c r="DP32" s="42">
        <v>1.82</v>
      </c>
      <c r="DQ32" s="38">
        <f>DO32</f>
        <v>1.58</v>
      </c>
      <c r="DR32" s="42">
        <v>4.2</v>
      </c>
      <c r="DS32" s="42">
        <v>7.35</v>
      </c>
      <c r="DT32" s="38">
        <f>DR32</f>
        <v>4.2</v>
      </c>
      <c r="DU32" s="42">
        <v>2.91</v>
      </c>
      <c r="DV32" s="42">
        <v>3.67</v>
      </c>
      <c r="DW32" s="38">
        <f>DU32</f>
        <v>2.91</v>
      </c>
      <c r="DX32" s="42">
        <v>4</v>
      </c>
      <c r="DY32" s="42">
        <v>4.98</v>
      </c>
      <c r="DZ32" s="38">
        <f>DX32</f>
        <v>4</v>
      </c>
      <c r="EA32" s="42">
        <v>4</v>
      </c>
      <c r="EB32" s="42">
        <v>4.98</v>
      </c>
      <c r="EC32" s="38">
        <f>EA32</f>
        <v>4</v>
      </c>
      <c r="ED32" s="42">
        <v>4.51</v>
      </c>
      <c r="EE32" s="42">
        <v>5.84</v>
      </c>
      <c r="EF32" s="38">
        <f>ED32</f>
        <v>4.51</v>
      </c>
      <c r="EG32" s="42">
        <v>6.16</v>
      </c>
      <c r="EH32" s="42">
        <v>6.65</v>
      </c>
      <c r="EI32" s="38">
        <f>EG32</f>
        <v>6.16</v>
      </c>
      <c r="EJ32" s="42">
        <v>9.79</v>
      </c>
      <c r="EK32" s="42">
        <v>6.49</v>
      </c>
      <c r="EL32" s="38">
        <f>EJ32</f>
        <v>9.79</v>
      </c>
      <c r="EM32" s="42">
        <v>3.93</v>
      </c>
      <c r="EN32" s="42">
        <v>8.67</v>
      </c>
      <c r="EO32" s="38">
        <f>EM32</f>
        <v>3.93</v>
      </c>
      <c r="EP32" s="42">
        <v>3.93</v>
      </c>
      <c r="EQ32" s="42">
        <v>8.67</v>
      </c>
      <c r="ER32" s="38">
        <f>EP32</f>
        <v>3.93</v>
      </c>
      <c r="ES32" s="42">
        <v>3.93</v>
      </c>
      <c r="ET32" s="42">
        <v>8.67</v>
      </c>
      <c r="EU32" s="38">
        <f>ES32</f>
        <v>3.93</v>
      </c>
      <c r="EV32" s="42">
        <v>4.76</v>
      </c>
      <c r="EW32" s="42">
        <v>4.82</v>
      </c>
      <c r="EX32" s="38">
        <f>EV32</f>
        <v>4.76</v>
      </c>
    </row>
    <row r="33" spans="1:154">
      <c r="A33" s="2"/>
      <c r="B33" s="23"/>
      <c r="C33" s="2"/>
      <c r="D33" s="2"/>
      <c r="E33" s="82"/>
      <c r="F33" s="82"/>
      <c r="G33" s="38"/>
      <c r="H33" s="82"/>
      <c r="I33" s="82"/>
      <c r="J33" s="38"/>
      <c r="K33" s="82"/>
      <c r="L33" s="82"/>
      <c r="M33" s="38"/>
      <c r="N33" s="82"/>
      <c r="O33" s="82"/>
      <c r="P33" s="38"/>
      <c r="Q33" s="82"/>
      <c r="R33" s="82"/>
      <c r="S33" s="38"/>
      <c r="T33" s="82"/>
      <c r="U33" s="82"/>
      <c r="V33" s="38"/>
      <c r="W33" s="82"/>
      <c r="X33" s="82"/>
      <c r="Y33" s="38"/>
      <c r="Z33" s="82"/>
      <c r="AA33" s="82"/>
      <c r="AB33" s="38"/>
      <c r="AC33" s="82"/>
      <c r="AD33" s="82"/>
      <c r="AE33" s="38"/>
      <c r="AF33" s="82"/>
      <c r="AG33" s="82"/>
      <c r="AH33" s="38"/>
      <c r="AI33" s="82"/>
      <c r="AJ33" s="82"/>
      <c r="AK33" s="38"/>
      <c r="AL33" s="82"/>
      <c r="AM33" s="82"/>
      <c r="AN33" s="38"/>
      <c r="AO33" s="82"/>
      <c r="AP33" s="82"/>
      <c r="AQ33" s="38"/>
      <c r="AR33" s="82"/>
      <c r="AS33" s="82"/>
      <c r="AT33" s="38"/>
      <c r="AU33" s="82"/>
      <c r="AV33" s="82"/>
      <c r="AW33" s="38"/>
      <c r="AX33" s="82"/>
      <c r="AY33" s="82"/>
      <c r="AZ33" s="38"/>
      <c r="BA33" s="82"/>
      <c r="BB33" s="82"/>
      <c r="BC33" s="38"/>
      <c r="BD33" s="82"/>
      <c r="BE33" s="82"/>
      <c r="BF33" s="38"/>
      <c r="BG33" s="82"/>
      <c r="BH33" s="82"/>
      <c r="BI33" s="38"/>
      <c r="BJ33" s="82"/>
      <c r="BK33" s="82"/>
      <c r="BL33" s="38"/>
      <c r="BM33" s="82"/>
      <c r="BN33" s="82"/>
      <c r="BO33" s="38"/>
      <c r="BP33" s="82"/>
      <c r="BQ33" s="82"/>
      <c r="BR33" s="38"/>
      <c r="BS33" s="82"/>
      <c r="BT33" s="82"/>
      <c r="BU33" s="38"/>
      <c r="BV33" s="82"/>
      <c r="BW33" s="82"/>
      <c r="BX33" s="38"/>
      <c r="BY33" s="82"/>
      <c r="BZ33" s="82"/>
      <c r="CA33" s="38"/>
      <c r="CB33" s="82"/>
      <c r="CC33" s="82"/>
      <c r="CD33" s="38"/>
      <c r="CE33" s="82"/>
      <c r="CF33" s="82"/>
      <c r="CG33" s="38"/>
      <c r="CH33" s="236" t="s">
        <v>625</v>
      </c>
      <c r="CI33" s="82"/>
      <c r="CJ33" s="38"/>
      <c r="CK33" s="82"/>
      <c r="CL33" s="82"/>
      <c r="CM33" s="38"/>
      <c r="CN33" s="82"/>
      <c r="CO33" s="82"/>
      <c r="CP33" s="38"/>
      <c r="CQ33" s="82"/>
      <c r="CR33" s="82"/>
      <c r="CS33" s="38"/>
      <c r="CT33" s="82"/>
      <c r="CU33" s="82"/>
      <c r="CV33" s="38"/>
      <c r="CW33" s="82"/>
      <c r="CX33" s="82"/>
      <c r="CY33" s="38"/>
      <c r="CZ33" s="82"/>
      <c r="DA33" s="82"/>
      <c r="DB33" s="38"/>
      <c r="DC33" s="82"/>
      <c r="DD33" s="82"/>
      <c r="DE33" s="38"/>
      <c r="DF33" s="82"/>
      <c r="DG33" s="82"/>
      <c r="DH33" s="38"/>
      <c r="DI33" s="82"/>
      <c r="DJ33" s="82"/>
      <c r="DK33" s="38"/>
      <c r="DL33" s="82"/>
      <c r="DM33" s="82"/>
      <c r="DN33" s="38"/>
      <c r="DO33" s="82"/>
      <c r="DP33" s="82"/>
      <c r="DQ33" s="38"/>
      <c r="DR33" s="82"/>
      <c r="DS33" s="82"/>
      <c r="DT33" s="38"/>
      <c r="DU33" s="82"/>
      <c r="DV33" s="82"/>
      <c r="DW33" s="38"/>
      <c r="DX33" s="82"/>
      <c r="DY33" s="82"/>
      <c r="DZ33" s="38"/>
      <c r="EA33" s="82"/>
      <c r="EB33" s="82"/>
      <c r="EC33" s="38"/>
      <c r="ED33" s="82"/>
      <c r="EE33" s="82"/>
      <c r="EF33" s="38"/>
      <c r="EG33" s="82"/>
      <c r="EH33" s="82"/>
      <c r="EI33" s="38"/>
      <c r="EJ33" s="82"/>
      <c r="EK33" s="82"/>
      <c r="EL33" s="38"/>
      <c r="EM33" s="82"/>
      <c r="EN33" s="82"/>
      <c r="EO33" s="38"/>
      <c r="EP33" s="82"/>
      <c r="EQ33" s="82"/>
      <c r="ER33" s="38"/>
      <c r="ES33" s="82"/>
      <c r="ET33" s="82"/>
      <c r="EU33" s="38"/>
      <c r="EV33" s="82"/>
      <c r="EW33" s="82"/>
      <c r="EX33" s="38"/>
    </row>
    <row r="34" ht="30" spans="1:154">
      <c r="A34" s="2">
        <v>13</v>
      </c>
      <c r="B34" s="23" t="s">
        <v>199</v>
      </c>
      <c r="C34" s="41" t="s">
        <v>200</v>
      </c>
      <c r="D34" s="2" t="s">
        <v>558</v>
      </c>
      <c r="E34" s="42">
        <v>116.67</v>
      </c>
      <c r="F34" s="42">
        <v>115.1</v>
      </c>
      <c r="G34" s="38">
        <f>E34</f>
        <v>116.67</v>
      </c>
      <c r="H34" s="42">
        <v>97.13</v>
      </c>
      <c r="I34" s="42">
        <v>95.39</v>
      </c>
      <c r="J34" s="38">
        <f>H34</f>
        <v>97.13</v>
      </c>
      <c r="K34" s="42">
        <v>124.23</v>
      </c>
      <c r="L34" s="42">
        <v>121.42</v>
      </c>
      <c r="M34" s="38">
        <f>K34</f>
        <v>124.23</v>
      </c>
      <c r="N34" s="42">
        <v>121.14</v>
      </c>
      <c r="O34" s="42">
        <v>111.93</v>
      </c>
      <c r="P34" s="38">
        <f>N34</f>
        <v>121.14</v>
      </c>
      <c r="Q34" s="235">
        <v>389.29</v>
      </c>
      <c r="R34" s="235">
        <v>369.78</v>
      </c>
      <c r="S34" s="38">
        <f>Q34</f>
        <v>389.29</v>
      </c>
      <c r="T34" s="42">
        <v>112.97</v>
      </c>
      <c r="U34" s="42">
        <v>112.67</v>
      </c>
      <c r="V34" s="38">
        <f>T34</f>
        <v>112.97</v>
      </c>
      <c r="W34" s="42">
        <v>111.01</v>
      </c>
      <c r="X34" s="42">
        <v>122.11</v>
      </c>
      <c r="Y34" s="38">
        <f>W34</f>
        <v>111.01</v>
      </c>
      <c r="Z34" s="42">
        <v>111.01</v>
      </c>
      <c r="AA34" s="42">
        <v>122.11</v>
      </c>
      <c r="AB34" s="38">
        <f>Z34</f>
        <v>111.01</v>
      </c>
      <c r="AC34" s="42">
        <v>110.81</v>
      </c>
      <c r="AD34" s="42">
        <v>129.46</v>
      </c>
      <c r="AE34" s="38">
        <f>AC34</f>
        <v>110.81</v>
      </c>
      <c r="AF34" s="42">
        <v>123.2</v>
      </c>
      <c r="AG34" s="42">
        <v>119.79</v>
      </c>
      <c r="AH34" s="38">
        <f>AF34</f>
        <v>123.2</v>
      </c>
      <c r="AI34" s="42">
        <v>123.2</v>
      </c>
      <c r="AJ34" s="42">
        <v>119.79</v>
      </c>
      <c r="AK34" s="38">
        <f>AI34</f>
        <v>123.2</v>
      </c>
      <c r="AL34" s="42">
        <v>116.33</v>
      </c>
      <c r="AM34" s="42">
        <v>117.19</v>
      </c>
      <c r="AN34" s="38">
        <f>AL34</f>
        <v>116.33</v>
      </c>
      <c r="AO34" s="42">
        <v>111.28</v>
      </c>
      <c r="AP34" s="42">
        <v>108.44</v>
      </c>
      <c r="AQ34" s="38">
        <f>AO34</f>
        <v>111.28</v>
      </c>
      <c r="AR34" s="234">
        <v>272.43</v>
      </c>
      <c r="AS34" s="234">
        <v>276.89</v>
      </c>
      <c r="AT34" s="38">
        <f>AR34</f>
        <v>272.43</v>
      </c>
      <c r="AU34" s="42">
        <v>26.83</v>
      </c>
      <c r="AV34" s="42">
        <v>29.11</v>
      </c>
      <c r="AW34" s="38">
        <f>AU34</f>
        <v>26.83</v>
      </c>
      <c r="AX34" s="42">
        <v>108.56</v>
      </c>
      <c r="AY34" s="42">
        <v>108.34</v>
      </c>
      <c r="AZ34" s="38">
        <f>AX34</f>
        <v>108.56</v>
      </c>
      <c r="BA34" s="42">
        <v>110</v>
      </c>
      <c r="BB34" s="42">
        <v>105.07</v>
      </c>
      <c r="BC34" s="38">
        <f>BA34</f>
        <v>110</v>
      </c>
      <c r="BD34" s="42">
        <v>91.71</v>
      </c>
      <c r="BE34" s="42">
        <v>117.67</v>
      </c>
      <c r="BF34" s="38">
        <f>BD34</f>
        <v>91.71</v>
      </c>
      <c r="BG34" s="42">
        <v>91.71</v>
      </c>
      <c r="BH34" s="42">
        <v>117.67</v>
      </c>
      <c r="BI34" s="38">
        <f>BG34</f>
        <v>91.71</v>
      </c>
      <c r="BJ34" s="42">
        <v>94.23</v>
      </c>
      <c r="BK34" s="42">
        <v>93.36</v>
      </c>
      <c r="BL34" s="38">
        <f>BJ34</f>
        <v>94.23</v>
      </c>
      <c r="BM34" s="42">
        <v>105.05</v>
      </c>
      <c r="BN34" s="42">
        <v>109.99</v>
      </c>
      <c r="BO34" s="38">
        <f>BM34</f>
        <v>105.05</v>
      </c>
      <c r="BP34" s="42">
        <v>109.78</v>
      </c>
      <c r="BQ34" s="42">
        <v>114.59</v>
      </c>
      <c r="BR34" s="38">
        <f>BP34</f>
        <v>109.78</v>
      </c>
      <c r="BS34" s="42">
        <v>112.11</v>
      </c>
      <c r="BT34" s="42">
        <v>117.95</v>
      </c>
      <c r="BU34" s="38">
        <f>BS34</f>
        <v>112.11</v>
      </c>
      <c r="BV34" s="248">
        <v>430.71</v>
      </c>
      <c r="BW34" s="248">
        <v>412.61</v>
      </c>
      <c r="BX34" s="38">
        <f>BV34</f>
        <v>430.71</v>
      </c>
      <c r="BY34" s="42">
        <v>105.56</v>
      </c>
      <c r="BZ34" s="42">
        <v>102.86</v>
      </c>
      <c r="CA34" s="38">
        <f>BY34</f>
        <v>105.56</v>
      </c>
      <c r="CB34" s="42">
        <v>110.71</v>
      </c>
      <c r="CC34" s="42">
        <v>112.71</v>
      </c>
      <c r="CD34" s="38">
        <f>CB34</f>
        <v>110.71</v>
      </c>
      <c r="CE34" s="42">
        <v>109.03</v>
      </c>
      <c r="CF34" s="42">
        <v>107.41</v>
      </c>
      <c r="CG34" s="38">
        <f>CE34</f>
        <v>109.03</v>
      </c>
      <c r="CH34" s="42">
        <v>109.03</v>
      </c>
      <c r="CI34" s="42">
        <v>107.41</v>
      </c>
      <c r="CJ34" s="38">
        <f>CH34</f>
        <v>109.03</v>
      </c>
      <c r="CK34" s="42">
        <v>106.64</v>
      </c>
      <c r="CL34" s="42">
        <v>114.36</v>
      </c>
      <c r="CM34" s="38">
        <f>CK34</f>
        <v>106.64</v>
      </c>
      <c r="CN34" s="42">
        <v>106.64</v>
      </c>
      <c r="CO34" s="42">
        <v>114.36</v>
      </c>
      <c r="CP34" s="38">
        <f>CN34</f>
        <v>106.64</v>
      </c>
      <c r="CQ34" s="42">
        <v>0</v>
      </c>
      <c r="CR34" s="42">
        <v>0</v>
      </c>
      <c r="CS34" s="38">
        <f>CQ34</f>
        <v>0</v>
      </c>
      <c r="CT34" s="42">
        <v>110.7</v>
      </c>
      <c r="CU34" s="42">
        <v>114.51</v>
      </c>
      <c r="CV34" s="38">
        <f>CT34</f>
        <v>110.7</v>
      </c>
      <c r="CW34" s="42">
        <v>110.7</v>
      </c>
      <c r="CX34" s="42">
        <v>114.51</v>
      </c>
      <c r="CY34" s="38">
        <f>CW34</f>
        <v>110.7</v>
      </c>
      <c r="CZ34" s="42">
        <v>215.9</v>
      </c>
      <c r="DA34" s="42">
        <v>199.45</v>
      </c>
      <c r="DB34" s="38">
        <f>CZ34</f>
        <v>215.9</v>
      </c>
      <c r="DC34" s="42">
        <v>175.25</v>
      </c>
      <c r="DD34" s="42">
        <v>182</v>
      </c>
      <c r="DE34" s="38">
        <f>DC34</f>
        <v>175.25</v>
      </c>
      <c r="DF34" s="42">
        <v>249.94</v>
      </c>
      <c r="DG34" s="42">
        <v>264.22</v>
      </c>
      <c r="DH34" s="38">
        <f>DF34</f>
        <v>249.94</v>
      </c>
      <c r="DI34" s="42">
        <v>142.17</v>
      </c>
      <c r="DJ34" s="42">
        <v>140.36</v>
      </c>
      <c r="DK34" s="38">
        <f>DI34</f>
        <v>142.17</v>
      </c>
      <c r="DL34" s="42">
        <v>99.83</v>
      </c>
      <c r="DM34" s="42">
        <v>106.75</v>
      </c>
      <c r="DN34" s="38">
        <f>DL34</f>
        <v>99.83</v>
      </c>
      <c r="DO34" s="234">
        <v>417.94</v>
      </c>
      <c r="DP34" s="234">
        <v>477.66</v>
      </c>
      <c r="DQ34" s="38">
        <f>DO34</f>
        <v>417.94</v>
      </c>
      <c r="DR34" s="42">
        <v>152.32</v>
      </c>
      <c r="DS34" s="42">
        <v>148.82</v>
      </c>
      <c r="DT34" s="38">
        <f>DR34</f>
        <v>152.32</v>
      </c>
      <c r="DU34" s="234">
        <v>427.56</v>
      </c>
      <c r="DV34" s="234">
        <v>481.31</v>
      </c>
      <c r="DW34" s="38">
        <f>DU34</f>
        <v>427.56</v>
      </c>
      <c r="DX34" s="42">
        <v>103.35</v>
      </c>
      <c r="DY34" s="237">
        <v>893.15</v>
      </c>
      <c r="DZ34" s="38">
        <f>DX34</f>
        <v>103.35</v>
      </c>
      <c r="EA34" s="42">
        <v>103.35</v>
      </c>
      <c r="EB34" s="42">
        <v>103.35</v>
      </c>
      <c r="EC34" s="38">
        <f>EA34</f>
        <v>103.35</v>
      </c>
      <c r="ED34" s="42">
        <v>101.02</v>
      </c>
      <c r="EE34" s="42">
        <v>105.54</v>
      </c>
      <c r="EF34" s="38">
        <f>ED34</f>
        <v>101.02</v>
      </c>
      <c r="EG34" s="42">
        <v>107.68</v>
      </c>
      <c r="EH34" s="42">
        <v>106.29</v>
      </c>
      <c r="EI34" s="38">
        <f>EG34</f>
        <v>107.68</v>
      </c>
      <c r="EJ34" s="234">
        <v>345</v>
      </c>
      <c r="EK34" s="234">
        <v>281.28</v>
      </c>
      <c r="EL34" s="38">
        <f>EJ34</f>
        <v>345</v>
      </c>
      <c r="EM34" s="234">
        <v>0</v>
      </c>
      <c r="EN34" s="234">
        <v>0</v>
      </c>
      <c r="EO34" s="38">
        <f>EM34</f>
        <v>0</v>
      </c>
      <c r="EP34" s="234">
        <v>0</v>
      </c>
      <c r="EQ34" s="234">
        <v>0</v>
      </c>
      <c r="ER34" s="38">
        <f>EP34</f>
        <v>0</v>
      </c>
      <c r="ES34" s="234">
        <v>0</v>
      </c>
      <c r="ET34" s="234">
        <v>0</v>
      </c>
      <c r="EU34" s="38">
        <f>ES34</f>
        <v>0</v>
      </c>
      <c r="EV34" s="234">
        <v>359.27</v>
      </c>
      <c r="EW34" s="234">
        <v>275.69</v>
      </c>
      <c r="EX34" s="38">
        <f>EV34</f>
        <v>359.27</v>
      </c>
    </row>
    <row r="35" spans="1:154">
      <c r="A35" s="2"/>
      <c r="B35" s="2"/>
      <c r="C35" s="2"/>
      <c r="D35" s="41"/>
      <c r="E35" s="42"/>
      <c r="F35" s="20"/>
      <c r="G35" s="38"/>
      <c r="H35" s="42"/>
      <c r="I35" s="20"/>
      <c r="J35" s="38"/>
      <c r="K35" s="42"/>
      <c r="L35" s="20"/>
      <c r="M35" s="38"/>
      <c r="N35" s="42"/>
      <c r="O35" s="20"/>
      <c r="P35" s="38"/>
      <c r="Q35" s="42"/>
      <c r="R35" s="20"/>
      <c r="S35" s="38"/>
      <c r="T35" s="42"/>
      <c r="U35" s="20"/>
      <c r="V35" s="38"/>
      <c r="W35" s="42"/>
      <c r="X35" s="20"/>
      <c r="Y35" s="38"/>
      <c r="Z35" s="42"/>
      <c r="AA35" s="20"/>
      <c r="AB35" s="38"/>
      <c r="AC35" s="42"/>
      <c r="AD35" s="20"/>
      <c r="AE35" s="38"/>
      <c r="AF35" s="42"/>
      <c r="AG35" s="20"/>
      <c r="AH35" s="38"/>
      <c r="AI35" s="42"/>
      <c r="AJ35" s="20"/>
      <c r="AK35" s="38"/>
      <c r="AL35" s="42"/>
      <c r="AM35" s="20"/>
      <c r="AN35" s="38"/>
      <c r="AO35" s="42"/>
      <c r="AP35" s="20"/>
      <c r="AQ35" s="38"/>
      <c r="AR35" s="42"/>
      <c r="AS35" s="20"/>
      <c r="AT35" s="38"/>
      <c r="AU35" s="42"/>
      <c r="AV35" s="20"/>
      <c r="AW35" s="38"/>
      <c r="AX35" s="42"/>
      <c r="AY35" s="20"/>
      <c r="AZ35" s="38"/>
      <c r="BA35" s="42"/>
      <c r="BB35" s="20"/>
      <c r="BC35" s="38"/>
      <c r="BD35" s="42"/>
      <c r="BE35" s="20"/>
      <c r="BF35" s="38"/>
      <c r="BG35" s="42"/>
      <c r="BH35" s="20"/>
      <c r="BI35" s="38"/>
      <c r="BJ35" s="42"/>
      <c r="BK35" s="20"/>
      <c r="BL35" s="38"/>
      <c r="BM35" s="42"/>
      <c r="BN35" s="20"/>
      <c r="BO35" s="38"/>
      <c r="BP35" s="42"/>
      <c r="BQ35" s="20"/>
      <c r="BR35" s="38"/>
      <c r="BS35" s="42"/>
      <c r="BT35" s="20"/>
      <c r="BU35" s="38"/>
      <c r="BV35" s="42"/>
      <c r="BW35" s="20"/>
      <c r="BX35" s="38"/>
      <c r="BY35" s="42"/>
      <c r="BZ35" s="20"/>
      <c r="CA35" s="38"/>
      <c r="CB35" s="42"/>
      <c r="CC35" s="20"/>
      <c r="CD35" s="38"/>
      <c r="CE35" s="42"/>
      <c r="CF35" s="20"/>
      <c r="CG35" s="38"/>
      <c r="CH35" s="42"/>
      <c r="CI35" s="20"/>
      <c r="CJ35" s="38"/>
      <c r="CK35" s="42"/>
      <c r="CL35" s="20"/>
      <c r="CM35" s="38"/>
      <c r="CN35" s="42"/>
      <c r="CO35" s="20"/>
      <c r="CP35" s="38"/>
      <c r="CQ35" s="42"/>
      <c r="CR35" s="20"/>
      <c r="CS35" s="38"/>
      <c r="CT35" s="42"/>
      <c r="CU35" s="20"/>
      <c r="CV35" s="38"/>
      <c r="CW35" s="238" t="s">
        <v>626</v>
      </c>
      <c r="CX35" s="20"/>
      <c r="CY35" s="38"/>
      <c r="CZ35" s="20"/>
      <c r="DA35" s="20"/>
      <c r="DB35" s="38"/>
      <c r="DC35" s="20"/>
      <c r="DD35" s="20"/>
      <c r="DE35" s="38"/>
      <c r="DF35" s="20"/>
      <c r="DG35" s="20"/>
      <c r="DH35" s="38"/>
      <c r="DI35" s="20"/>
      <c r="DJ35" s="20"/>
      <c r="DK35" s="38"/>
      <c r="DL35" s="20"/>
      <c r="DM35" s="20"/>
      <c r="DN35" s="38"/>
      <c r="DO35" s="20"/>
      <c r="DP35" s="20"/>
      <c r="DQ35" s="38"/>
      <c r="DR35" s="20"/>
      <c r="DS35" s="20"/>
      <c r="DT35" s="38"/>
      <c r="DU35" s="20"/>
      <c r="DV35" s="20"/>
      <c r="DW35" s="38"/>
      <c r="DX35" s="20"/>
      <c r="DY35" s="20"/>
      <c r="DZ35" s="38"/>
      <c r="EA35" s="20"/>
      <c r="EB35" s="20"/>
      <c r="EC35" s="38"/>
      <c r="ED35" s="20"/>
      <c r="EE35" s="20"/>
      <c r="EF35" s="38"/>
      <c r="EG35" s="20"/>
      <c r="EH35" s="20"/>
      <c r="EI35" s="38"/>
      <c r="EJ35" s="20"/>
      <c r="EK35" s="20"/>
      <c r="EL35" s="38"/>
      <c r="EM35" s="20"/>
      <c r="EN35" s="20"/>
      <c r="EO35" s="38"/>
      <c r="EP35" s="20"/>
      <c r="EQ35" s="20"/>
      <c r="ER35" s="38"/>
      <c r="ES35" s="20"/>
      <c r="ET35" s="20"/>
      <c r="EU35" s="38"/>
      <c r="EV35" s="20"/>
      <c r="EW35" s="20"/>
      <c r="EX35" s="38"/>
    </row>
    <row r="36" spans="1:154">
      <c r="A36" s="2">
        <v>14</v>
      </c>
      <c r="B36" s="2" t="s">
        <v>297</v>
      </c>
      <c r="C36" s="37" t="s">
        <v>298</v>
      </c>
      <c r="D36" s="2" t="s">
        <v>299</v>
      </c>
      <c r="E36" s="239"/>
      <c r="F36" s="239"/>
      <c r="G36" s="44">
        <v>2.6027</v>
      </c>
      <c r="H36" s="239"/>
      <c r="I36" s="239"/>
      <c r="J36" s="44">
        <v>0.2303</v>
      </c>
      <c r="K36" s="239"/>
      <c r="L36" s="239"/>
      <c r="M36" s="44">
        <v>0.0838</v>
      </c>
      <c r="N36" s="239"/>
      <c r="O36" s="239"/>
      <c r="P36" s="44">
        <v>0.0768</v>
      </c>
      <c r="Q36" s="239"/>
      <c r="R36" s="239"/>
      <c r="S36" s="44">
        <v>0.203</v>
      </c>
      <c r="T36" s="239"/>
      <c r="U36" s="239"/>
      <c r="V36" s="44">
        <v>0.0609</v>
      </c>
      <c r="W36" s="239"/>
      <c r="X36" s="239"/>
      <c r="Y36" s="44">
        <v>0.0509</v>
      </c>
      <c r="Z36" s="239"/>
      <c r="AA36" s="239"/>
      <c r="AB36" s="44">
        <v>0.0509</v>
      </c>
      <c r="AC36" s="239"/>
      <c r="AD36" s="239"/>
      <c r="AE36" s="44">
        <v>0.1151</v>
      </c>
      <c r="AF36" s="239"/>
      <c r="AG36" s="239"/>
      <c r="AH36" s="44">
        <v>0.0169</v>
      </c>
      <c r="AI36" s="239"/>
      <c r="AJ36" s="239"/>
      <c r="AK36" s="44">
        <v>0.0169</v>
      </c>
      <c r="AL36" s="239"/>
      <c r="AM36" s="239"/>
      <c r="AN36" s="44">
        <v>0.1104</v>
      </c>
      <c r="AO36" s="239"/>
      <c r="AP36" s="239"/>
      <c r="AQ36" s="44">
        <v>0.0827</v>
      </c>
      <c r="AR36" s="239"/>
      <c r="AS36" s="239"/>
      <c r="AT36" s="44">
        <v>0.0437</v>
      </c>
      <c r="AU36" s="239"/>
      <c r="AV36" s="239"/>
      <c r="AW36" s="44">
        <v>0.1648</v>
      </c>
      <c r="AX36" s="239"/>
      <c r="AY36" s="239"/>
      <c r="AZ36" s="44">
        <v>0.1627</v>
      </c>
      <c r="BA36" s="239"/>
      <c r="BB36" s="239"/>
      <c r="BC36" s="44">
        <v>0.0621</v>
      </c>
      <c r="BD36" s="239"/>
      <c r="BE36" s="239"/>
      <c r="BF36" s="44">
        <v>0.2691</v>
      </c>
      <c r="BG36" s="239"/>
      <c r="BH36" s="239"/>
      <c r="BI36" s="44">
        <v>0.2691</v>
      </c>
      <c r="BJ36" s="239"/>
      <c r="BK36" s="239"/>
      <c r="BL36" s="44">
        <v>0.0721</v>
      </c>
      <c r="BM36" s="239"/>
      <c r="BN36" s="239"/>
      <c r="BO36" s="44">
        <v>0.0672</v>
      </c>
      <c r="BP36" s="239"/>
      <c r="BQ36" s="239"/>
      <c r="BR36" s="44">
        <v>0.1128</v>
      </c>
      <c r="BS36" s="239"/>
      <c r="BT36" s="239"/>
      <c r="BU36" s="44">
        <v>0.2497</v>
      </c>
      <c r="BV36" s="239"/>
      <c r="BW36" s="239"/>
      <c r="BX36" s="44">
        <v>0.1008</v>
      </c>
      <c r="BY36" s="239"/>
      <c r="BZ36" s="239"/>
      <c r="CA36" s="44">
        <v>0.0393</v>
      </c>
      <c r="CB36" s="239"/>
      <c r="CC36" s="239"/>
      <c r="CD36" s="44">
        <v>0.1517</v>
      </c>
      <c r="CE36" s="239"/>
      <c r="CF36" s="239"/>
      <c r="CG36" s="44">
        <v>0.0538</v>
      </c>
      <c r="CH36" s="239"/>
      <c r="CI36" s="239"/>
      <c r="CJ36" s="44">
        <v>0.0538</v>
      </c>
      <c r="CK36" s="239"/>
      <c r="CL36" s="239"/>
      <c r="CM36" s="44">
        <v>0.1435</v>
      </c>
      <c r="CN36" s="239"/>
      <c r="CO36" s="239"/>
      <c r="CP36" s="44">
        <v>0.1435</v>
      </c>
      <c r="CQ36" s="239"/>
      <c r="CR36" s="239"/>
      <c r="CS36" s="44">
        <v>0</v>
      </c>
      <c r="CT36" s="239"/>
      <c r="CU36" s="239"/>
      <c r="CV36" s="44">
        <v>0.1025</v>
      </c>
      <c r="CW36" s="239"/>
      <c r="CX36" s="239"/>
      <c r="CY36" s="44">
        <v>0.1025</v>
      </c>
      <c r="CZ36" s="239"/>
      <c r="DA36" s="239"/>
      <c r="DB36" s="44">
        <v>0.1025</v>
      </c>
      <c r="DC36" s="239"/>
      <c r="DD36" s="239"/>
      <c r="DE36" s="44">
        <v>0.2405</v>
      </c>
      <c r="DF36" s="239"/>
      <c r="DG36" s="239"/>
      <c r="DH36" s="44">
        <v>0.1555</v>
      </c>
      <c r="DI36" s="239"/>
      <c r="DJ36" s="239"/>
      <c r="DK36" s="44">
        <v>0.1251</v>
      </c>
      <c r="DL36" s="239"/>
      <c r="DM36" s="239"/>
      <c r="DN36" s="44">
        <v>0.1343</v>
      </c>
      <c r="DO36" s="239"/>
      <c r="DP36" s="239"/>
      <c r="DQ36" s="44">
        <v>0.2039</v>
      </c>
      <c r="DR36" s="239"/>
      <c r="DS36" s="239"/>
      <c r="DT36" s="44">
        <v>0.1181</v>
      </c>
      <c r="DU36" s="239"/>
      <c r="DV36" s="239"/>
      <c r="DW36" s="44">
        <v>0.0769</v>
      </c>
      <c r="DX36" s="239"/>
      <c r="DY36" s="239"/>
      <c r="DZ36" s="44">
        <v>0.0769</v>
      </c>
      <c r="EA36" s="239"/>
      <c r="EB36" s="239"/>
      <c r="EC36" s="44">
        <v>0.0769</v>
      </c>
      <c r="ED36" s="239"/>
      <c r="EE36" s="239"/>
      <c r="EF36" s="44">
        <v>0.1179</v>
      </c>
      <c r="EG36" s="239"/>
      <c r="EH36" s="239"/>
      <c r="EI36" s="44">
        <v>0.1156</v>
      </c>
      <c r="EJ36" s="239"/>
      <c r="EK36" s="239"/>
      <c r="EL36" s="44">
        <v>0.3264</v>
      </c>
      <c r="EM36" s="239"/>
      <c r="EN36" s="239"/>
      <c r="EO36" s="44">
        <v>0.3632</v>
      </c>
      <c r="EP36" s="239"/>
      <c r="EQ36" s="239"/>
      <c r="ER36" s="44">
        <v>0.3632</v>
      </c>
      <c r="ES36" s="239"/>
      <c r="ET36" s="239"/>
      <c r="EU36" s="44">
        <v>0.3632</v>
      </c>
      <c r="EV36" s="239"/>
      <c r="EW36" s="239"/>
      <c r="EX36" s="44">
        <v>0.0864</v>
      </c>
    </row>
    <row r="37" spans="1:154">
      <c r="A37" s="2"/>
      <c r="B37" s="2"/>
      <c r="C37" s="6" t="s">
        <v>300</v>
      </c>
      <c r="D37" s="2"/>
      <c r="E37" s="239"/>
      <c r="F37" s="240"/>
      <c r="G37" s="44"/>
      <c r="H37" s="239"/>
      <c r="I37" s="240"/>
      <c r="J37" s="44"/>
      <c r="K37" s="239"/>
      <c r="L37" s="240"/>
      <c r="M37" s="44"/>
      <c r="N37" s="239"/>
      <c r="O37" s="240"/>
      <c r="P37" s="44"/>
      <c r="Q37" s="239"/>
      <c r="R37" s="240"/>
      <c r="S37" s="44"/>
      <c r="T37" s="239"/>
      <c r="U37" s="240"/>
      <c r="V37" s="44"/>
      <c r="W37" s="239"/>
      <c r="X37" s="240"/>
      <c r="Y37" s="44"/>
      <c r="Z37" s="239"/>
      <c r="AA37" s="240"/>
      <c r="AB37" s="44"/>
      <c r="AC37" s="239"/>
      <c r="AD37" s="240"/>
      <c r="AE37" s="44"/>
      <c r="AF37" s="239"/>
      <c r="AG37" s="240"/>
      <c r="AH37" s="44"/>
      <c r="AI37" s="239"/>
      <c r="AJ37" s="240"/>
      <c r="AK37" s="44"/>
      <c r="AL37" s="239"/>
      <c r="AM37" s="240"/>
      <c r="AN37" s="44"/>
      <c r="AO37" s="239"/>
      <c r="AP37" s="240"/>
      <c r="AQ37" s="44"/>
      <c r="AR37" s="239"/>
      <c r="AS37" s="240"/>
      <c r="AT37" s="44"/>
      <c r="AU37" s="239"/>
      <c r="AV37" s="240"/>
      <c r="AW37" s="44"/>
      <c r="AX37" s="239"/>
      <c r="AY37" s="240"/>
      <c r="AZ37" s="44"/>
      <c r="BA37" s="239"/>
      <c r="BB37" s="240"/>
      <c r="BC37" s="44"/>
      <c r="BD37" s="239"/>
      <c r="BE37" s="240"/>
      <c r="BF37" s="44"/>
      <c r="BG37" s="239"/>
      <c r="BH37" s="240"/>
      <c r="BI37" s="44"/>
      <c r="BJ37" s="239"/>
      <c r="BK37" s="240"/>
      <c r="BL37" s="44"/>
      <c r="BM37" s="239"/>
      <c r="BN37" s="240"/>
      <c r="BO37" s="44"/>
      <c r="BP37" s="239"/>
      <c r="BQ37" s="240"/>
      <c r="BR37" s="44"/>
      <c r="BS37" s="239"/>
      <c r="BT37" s="240"/>
      <c r="BU37" s="44"/>
      <c r="BV37" s="239"/>
      <c r="BW37" s="240"/>
      <c r="BX37" s="44"/>
      <c r="BY37" s="239"/>
      <c r="BZ37" s="240"/>
      <c r="CA37" s="44"/>
      <c r="CB37" s="239"/>
      <c r="CC37" s="240"/>
      <c r="CD37" s="44"/>
      <c r="CE37" s="239"/>
      <c r="CF37" s="240"/>
      <c r="CG37" s="44"/>
      <c r="CH37" s="239"/>
      <c r="CI37" s="240"/>
      <c r="CJ37" s="44"/>
      <c r="CK37" s="239"/>
      <c r="CL37" s="240"/>
      <c r="CM37" s="44"/>
      <c r="CN37" s="239"/>
      <c r="CO37" s="240"/>
      <c r="CP37" s="44"/>
      <c r="CQ37" s="239"/>
      <c r="CR37" s="240"/>
      <c r="CS37" s="44"/>
      <c r="CT37" s="239"/>
      <c r="CU37" s="240"/>
      <c r="CV37" s="44"/>
      <c r="CW37" s="239"/>
      <c r="CX37" s="240"/>
      <c r="CY37" s="44"/>
      <c r="CZ37" s="239"/>
      <c r="DA37" s="240"/>
      <c r="DB37" s="44"/>
      <c r="DC37" s="239"/>
      <c r="DD37" s="240"/>
      <c r="DE37" s="44"/>
      <c r="DF37" s="239"/>
      <c r="DG37" s="240"/>
      <c r="DH37" s="44"/>
      <c r="DI37" s="239"/>
      <c r="DJ37" s="240"/>
      <c r="DK37" s="44"/>
      <c r="DL37" s="239"/>
      <c r="DM37" s="240"/>
      <c r="DN37" s="44"/>
      <c r="DO37" s="239"/>
      <c r="DP37" s="240"/>
      <c r="DQ37" s="44"/>
      <c r="DR37" s="239"/>
      <c r="DS37" s="240"/>
      <c r="DT37" s="44"/>
      <c r="DU37" s="239"/>
      <c r="DV37" s="240"/>
      <c r="DW37" s="44"/>
      <c r="DX37" s="239"/>
      <c r="DY37" s="240"/>
      <c r="DZ37" s="44"/>
      <c r="EA37" s="239"/>
      <c r="EB37" s="240"/>
      <c r="EC37" s="44"/>
      <c r="ED37" s="239"/>
      <c r="EE37" s="240"/>
      <c r="EF37" s="44"/>
      <c r="EG37" s="239"/>
      <c r="EH37" s="240"/>
      <c r="EI37" s="44"/>
      <c r="EJ37" s="239"/>
      <c r="EK37" s="240"/>
      <c r="EL37" s="44"/>
      <c r="EM37" s="239"/>
      <c r="EN37" s="240"/>
      <c r="EO37" s="44"/>
      <c r="EP37" s="239"/>
      <c r="EQ37" s="240"/>
      <c r="ER37" s="44"/>
      <c r="ES37" s="239"/>
      <c r="ET37" s="240"/>
      <c r="EU37" s="44"/>
      <c r="EV37" s="239"/>
      <c r="EW37" s="240"/>
      <c r="EX37" s="44"/>
    </row>
  </sheetData>
  <mergeCells count="1279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  <mergeCell ref="EG1:EI1"/>
    <mergeCell ref="EJ1:EL1"/>
    <mergeCell ref="EM1:EO1"/>
    <mergeCell ref="EP1:ER1"/>
    <mergeCell ref="ES1:EU1"/>
    <mergeCell ref="EV1:EX1"/>
    <mergeCell ref="Z10:AA10"/>
    <mergeCell ref="AI10:AJ10"/>
    <mergeCell ref="Z13:AA13"/>
    <mergeCell ref="A3:A4"/>
    <mergeCell ref="A6:A7"/>
    <mergeCell ref="A11:A12"/>
    <mergeCell ref="A14:A15"/>
    <mergeCell ref="A21:A22"/>
    <mergeCell ref="A24:A25"/>
    <mergeCell ref="A27:A28"/>
    <mergeCell ref="A36:A37"/>
    <mergeCell ref="B3:B4"/>
    <mergeCell ref="B6:B7"/>
    <mergeCell ref="B11:B12"/>
    <mergeCell ref="B14:B15"/>
    <mergeCell ref="B21:B22"/>
    <mergeCell ref="B24:B25"/>
    <mergeCell ref="B27:B28"/>
    <mergeCell ref="B36:B37"/>
    <mergeCell ref="C11:C12"/>
    <mergeCell ref="D3:D4"/>
    <mergeCell ref="D6:D7"/>
    <mergeCell ref="D11:D12"/>
    <mergeCell ref="D14:D15"/>
    <mergeCell ref="D21:D22"/>
    <mergeCell ref="D24:D25"/>
    <mergeCell ref="D27:D28"/>
    <mergeCell ref="D36:D37"/>
    <mergeCell ref="E3:E4"/>
    <mergeCell ref="E6:E7"/>
    <mergeCell ref="E11:E12"/>
    <mergeCell ref="E14:E15"/>
    <mergeCell ref="E21:E22"/>
    <mergeCell ref="E24:E25"/>
    <mergeCell ref="E27:E28"/>
    <mergeCell ref="E36:E37"/>
    <mergeCell ref="F3:F4"/>
    <mergeCell ref="F6:F7"/>
    <mergeCell ref="F11:F12"/>
    <mergeCell ref="F14:F15"/>
    <mergeCell ref="F21:F22"/>
    <mergeCell ref="F24:F25"/>
    <mergeCell ref="F27:F28"/>
    <mergeCell ref="F36:F37"/>
    <mergeCell ref="G3:G4"/>
    <mergeCell ref="G6:G7"/>
    <mergeCell ref="G11:G12"/>
    <mergeCell ref="G14:G15"/>
    <mergeCell ref="G21:G22"/>
    <mergeCell ref="G24:G25"/>
    <mergeCell ref="G27:G28"/>
    <mergeCell ref="G36:G37"/>
    <mergeCell ref="H3:H4"/>
    <mergeCell ref="H6:H7"/>
    <mergeCell ref="H11:H12"/>
    <mergeCell ref="H14:H15"/>
    <mergeCell ref="H21:H22"/>
    <mergeCell ref="H24:H25"/>
    <mergeCell ref="H27:H28"/>
    <mergeCell ref="H36:H37"/>
    <mergeCell ref="I3:I4"/>
    <mergeCell ref="I6:I7"/>
    <mergeCell ref="I11:I12"/>
    <mergeCell ref="I14:I15"/>
    <mergeCell ref="I21:I22"/>
    <mergeCell ref="I24:I25"/>
    <mergeCell ref="I27:I28"/>
    <mergeCell ref="I36:I37"/>
    <mergeCell ref="J3:J4"/>
    <mergeCell ref="J6:J7"/>
    <mergeCell ref="J11:J12"/>
    <mergeCell ref="J14:J15"/>
    <mergeCell ref="J21:J22"/>
    <mergeCell ref="J24:J25"/>
    <mergeCell ref="J27:J28"/>
    <mergeCell ref="J36:J37"/>
    <mergeCell ref="K3:K4"/>
    <mergeCell ref="K6:K7"/>
    <mergeCell ref="K11:K12"/>
    <mergeCell ref="K14:K15"/>
    <mergeCell ref="K21:K22"/>
    <mergeCell ref="K24:K25"/>
    <mergeCell ref="K27:K28"/>
    <mergeCell ref="K36:K37"/>
    <mergeCell ref="L3:L4"/>
    <mergeCell ref="L6:L7"/>
    <mergeCell ref="L11:L12"/>
    <mergeCell ref="L14:L15"/>
    <mergeCell ref="L21:L22"/>
    <mergeCell ref="L24:L25"/>
    <mergeCell ref="L27:L28"/>
    <mergeCell ref="L36:L37"/>
    <mergeCell ref="M3:M4"/>
    <mergeCell ref="M6:M7"/>
    <mergeCell ref="M11:M12"/>
    <mergeCell ref="M14:M15"/>
    <mergeCell ref="M21:M22"/>
    <mergeCell ref="M24:M25"/>
    <mergeCell ref="M27:M28"/>
    <mergeCell ref="M36:M37"/>
    <mergeCell ref="N3:N4"/>
    <mergeCell ref="N6:N7"/>
    <mergeCell ref="N11:N12"/>
    <mergeCell ref="N14:N15"/>
    <mergeCell ref="N21:N22"/>
    <mergeCell ref="N24:N25"/>
    <mergeCell ref="N27:N28"/>
    <mergeCell ref="N36:N37"/>
    <mergeCell ref="O3:O4"/>
    <mergeCell ref="O6:O7"/>
    <mergeCell ref="O11:O12"/>
    <mergeCell ref="O14:O15"/>
    <mergeCell ref="O21:O22"/>
    <mergeCell ref="O24:O25"/>
    <mergeCell ref="O27:O28"/>
    <mergeCell ref="O36:O37"/>
    <mergeCell ref="P3:P4"/>
    <mergeCell ref="P6:P7"/>
    <mergeCell ref="P11:P12"/>
    <mergeCell ref="P14:P15"/>
    <mergeCell ref="P21:P22"/>
    <mergeCell ref="P24:P25"/>
    <mergeCell ref="P27:P28"/>
    <mergeCell ref="P36:P37"/>
    <mergeCell ref="Q3:Q4"/>
    <mergeCell ref="Q6:Q7"/>
    <mergeCell ref="Q11:Q12"/>
    <mergeCell ref="Q14:Q15"/>
    <mergeCell ref="Q21:Q22"/>
    <mergeCell ref="Q24:Q25"/>
    <mergeCell ref="Q27:Q28"/>
    <mergeCell ref="Q36:Q37"/>
    <mergeCell ref="R3:R4"/>
    <mergeCell ref="R6:R7"/>
    <mergeCell ref="R11:R12"/>
    <mergeCell ref="R14:R15"/>
    <mergeCell ref="R21:R22"/>
    <mergeCell ref="R24:R25"/>
    <mergeCell ref="R27:R28"/>
    <mergeCell ref="R36:R37"/>
    <mergeCell ref="S3:S4"/>
    <mergeCell ref="S6:S7"/>
    <mergeCell ref="S11:S12"/>
    <mergeCell ref="S14:S15"/>
    <mergeCell ref="S21:S22"/>
    <mergeCell ref="S24:S25"/>
    <mergeCell ref="S27:S28"/>
    <mergeCell ref="S36:S37"/>
    <mergeCell ref="T3:T4"/>
    <mergeCell ref="T6:T7"/>
    <mergeCell ref="T11:T12"/>
    <mergeCell ref="T14:T15"/>
    <mergeCell ref="T21:T22"/>
    <mergeCell ref="T24:T25"/>
    <mergeCell ref="T27:T28"/>
    <mergeCell ref="T36:T37"/>
    <mergeCell ref="U3:U4"/>
    <mergeCell ref="U6:U7"/>
    <mergeCell ref="U11:U12"/>
    <mergeCell ref="U14:U15"/>
    <mergeCell ref="U21:U22"/>
    <mergeCell ref="U24:U25"/>
    <mergeCell ref="U27:U28"/>
    <mergeCell ref="U36:U37"/>
    <mergeCell ref="V3:V4"/>
    <mergeCell ref="V6:V7"/>
    <mergeCell ref="V11:V12"/>
    <mergeCell ref="V14:V15"/>
    <mergeCell ref="V21:V22"/>
    <mergeCell ref="V24:V25"/>
    <mergeCell ref="V27:V28"/>
    <mergeCell ref="V36:V37"/>
    <mergeCell ref="W3:W4"/>
    <mergeCell ref="W6:W7"/>
    <mergeCell ref="W11:W12"/>
    <mergeCell ref="W14:W15"/>
    <mergeCell ref="W21:W22"/>
    <mergeCell ref="W24:W25"/>
    <mergeCell ref="W27:W28"/>
    <mergeCell ref="W36:W37"/>
    <mergeCell ref="X3:X4"/>
    <mergeCell ref="X6:X7"/>
    <mergeCell ref="X11:X12"/>
    <mergeCell ref="X14:X15"/>
    <mergeCell ref="X21:X22"/>
    <mergeCell ref="X24:X25"/>
    <mergeCell ref="X27:X28"/>
    <mergeCell ref="X36:X37"/>
    <mergeCell ref="Y3:Y4"/>
    <mergeCell ref="Y6:Y7"/>
    <mergeCell ref="Y11:Y12"/>
    <mergeCell ref="Y14:Y15"/>
    <mergeCell ref="Y21:Y22"/>
    <mergeCell ref="Y24:Y25"/>
    <mergeCell ref="Y27:Y28"/>
    <mergeCell ref="Y36:Y37"/>
    <mergeCell ref="Z3:Z4"/>
    <mergeCell ref="Z6:Z7"/>
    <mergeCell ref="Z11:Z12"/>
    <mergeCell ref="Z14:Z15"/>
    <mergeCell ref="Z21:Z22"/>
    <mergeCell ref="Z24:Z25"/>
    <mergeCell ref="Z27:Z28"/>
    <mergeCell ref="Z36:Z37"/>
    <mergeCell ref="AA3:AA4"/>
    <mergeCell ref="AA6:AA7"/>
    <mergeCell ref="AA11:AA12"/>
    <mergeCell ref="AA14:AA15"/>
    <mergeCell ref="AA21:AA22"/>
    <mergeCell ref="AA24:AA25"/>
    <mergeCell ref="AA27:AA28"/>
    <mergeCell ref="AA36:AA37"/>
    <mergeCell ref="AB3:AB4"/>
    <mergeCell ref="AB6:AB7"/>
    <mergeCell ref="AB11:AB12"/>
    <mergeCell ref="AB14:AB15"/>
    <mergeCell ref="AB21:AB22"/>
    <mergeCell ref="AB24:AB25"/>
    <mergeCell ref="AB27:AB28"/>
    <mergeCell ref="AB36:AB37"/>
    <mergeCell ref="AC3:AC4"/>
    <mergeCell ref="AC6:AC7"/>
    <mergeCell ref="AC11:AC12"/>
    <mergeCell ref="AC14:AC15"/>
    <mergeCell ref="AC21:AC22"/>
    <mergeCell ref="AC24:AC25"/>
    <mergeCell ref="AC27:AC28"/>
    <mergeCell ref="AC36:AC37"/>
    <mergeCell ref="AD3:AD4"/>
    <mergeCell ref="AD6:AD7"/>
    <mergeCell ref="AD11:AD12"/>
    <mergeCell ref="AD14:AD15"/>
    <mergeCell ref="AD21:AD22"/>
    <mergeCell ref="AD24:AD25"/>
    <mergeCell ref="AD27:AD28"/>
    <mergeCell ref="AD36:AD37"/>
    <mergeCell ref="AE3:AE4"/>
    <mergeCell ref="AE6:AE7"/>
    <mergeCell ref="AE11:AE12"/>
    <mergeCell ref="AE14:AE15"/>
    <mergeCell ref="AE21:AE22"/>
    <mergeCell ref="AE24:AE25"/>
    <mergeCell ref="AE27:AE28"/>
    <mergeCell ref="AE36:AE37"/>
    <mergeCell ref="AF3:AF4"/>
    <mergeCell ref="AF6:AF7"/>
    <mergeCell ref="AF11:AF12"/>
    <mergeCell ref="AF14:AF15"/>
    <mergeCell ref="AF21:AF22"/>
    <mergeCell ref="AF24:AF25"/>
    <mergeCell ref="AF27:AF28"/>
    <mergeCell ref="AF36:AF37"/>
    <mergeCell ref="AG3:AG4"/>
    <mergeCell ref="AG6:AG7"/>
    <mergeCell ref="AG11:AG12"/>
    <mergeCell ref="AG14:AG15"/>
    <mergeCell ref="AG21:AG22"/>
    <mergeCell ref="AG24:AG25"/>
    <mergeCell ref="AG27:AG28"/>
    <mergeCell ref="AG36:AG37"/>
    <mergeCell ref="AH3:AH4"/>
    <mergeCell ref="AH6:AH7"/>
    <mergeCell ref="AH11:AH12"/>
    <mergeCell ref="AH14:AH15"/>
    <mergeCell ref="AH21:AH22"/>
    <mergeCell ref="AH24:AH25"/>
    <mergeCell ref="AH27:AH28"/>
    <mergeCell ref="AH36:AH37"/>
    <mergeCell ref="AI3:AI4"/>
    <mergeCell ref="AI6:AI7"/>
    <mergeCell ref="AI11:AI12"/>
    <mergeCell ref="AI14:AI15"/>
    <mergeCell ref="AI21:AI22"/>
    <mergeCell ref="AI24:AI25"/>
    <mergeCell ref="AI27:AI28"/>
    <mergeCell ref="AI36:AI37"/>
    <mergeCell ref="AJ3:AJ4"/>
    <mergeCell ref="AJ6:AJ7"/>
    <mergeCell ref="AJ11:AJ12"/>
    <mergeCell ref="AJ14:AJ15"/>
    <mergeCell ref="AJ21:AJ22"/>
    <mergeCell ref="AJ24:AJ25"/>
    <mergeCell ref="AJ27:AJ28"/>
    <mergeCell ref="AJ36:AJ37"/>
    <mergeCell ref="AK3:AK4"/>
    <mergeCell ref="AK6:AK7"/>
    <mergeCell ref="AK11:AK12"/>
    <mergeCell ref="AK14:AK15"/>
    <mergeCell ref="AK21:AK22"/>
    <mergeCell ref="AK24:AK25"/>
    <mergeCell ref="AK27:AK28"/>
    <mergeCell ref="AK36:AK37"/>
    <mergeCell ref="AL3:AL4"/>
    <mergeCell ref="AL6:AL7"/>
    <mergeCell ref="AL11:AL12"/>
    <mergeCell ref="AL14:AL15"/>
    <mergeCell ref="AL21:AL22"/>
    <mergeCell ref="AL24:AL25"/>
    <mergeCell ref="AL27:AL28"/>
    <mergeCell ref="AL36:AL37"/>
    <mergeCell ref="AM3:AM4"/>
    <mergeCell ref="AM6:AM7"/>
    <mergeCell ref="AM11:AM12"/>
    <mergeCell ref="AM14:AM15"/>
    <mergeCell ref="AM21:AM22"/>
    <mergeCell ref="AM24:AM25"/>
    <mergeCell ref="AM27:AM28"/>
    <mergeCell ref="AM36:AM37"/>
    <mergeCell ref="AN3:AN4"/>
    <mergeCell ref="AN6:AN7"/>
    <mergeCell ref="AN11:AN12"/>
    <mergeCell ref="AN14:AN15"/>
    <mergeCell ref="AN21:AN22"/>
    <mergeCell ref="AN24:AN25"/>
    <mergeCell ref="AN27:AN28"/>
    <mergeCell ref="AN36:AN37"/>
    <mergeCell ref="AO3:AO4"/>
    <mergeCell ref="AO6:AO7"/>
    <mergeCell ref="AO11:AO12"/>
    <mergeCell ref="AO14:AO15"/>
    <mergeCell ref="AO21:AO22"/>
    <mergeCell ref="AO24:AO25"/>
    <mergeCell ref="AO27:AO28"/>
    <mergeCell ref="AO36:AO37"/>
    <mergeCell ref="AP3:AP4"/>
    <mergeCell ref="AP6:AP7"/>
    <mergeCell ref="AP11:AP12"/>
    <mergeCell ref="AP14:AP15"/>
    <mergeCell ref="AP21:AP22"/>
    <mergeCell ref="AP24:AP25"/>
    <mergeCell ref="AP27:AP28"/>
    <mergeCell ref="AP36:AP37"/>
    <mergeCell ref="AQ3:AQ4"/>
    <mergeCell ref="AQ6:AQ7"/>
    <mergeCell ref="AQ11:AQ12"/>
    <mergeCell ref="AQ14:AQ15"/>
    <mergeCell ref="AQ21:AQ22"/>
    <mergeCell ref="AQ24:AQ25"/>
    <mergeCell ref="AQ27:AQ28"/>
    <mergeCell ref="AQ36:AQ37"/>
    <mergeCell ref="AR3:AR4"/>
    <mergeCell ref="AR6:AR7"/>
    <mergeCell ref="AR11:AR12"/>
    <mergeCell ref="AR14:AR15"/>
    <mergeCell ref="AR21:AR22"/>
    <mergeCell ref="AR24:AR25"/>
    <mergeCell ref="AR27:AR28"/>
    <mergeCell ref="AR36:AR37"/>
    <mergeCell ref="AS3:AS4"/>
    <mergeCell ref="AS6:AS7"/>
    <mergeCell ref="AS11:AS12"/>
    <mergeCell ref="AS14:AS15"/>
    <mergeCell ref="AS21:AS22"/>
    <mergeCell ref="AS24:AS25"/>
    <mergeCell ref="AS27:AS28"/>
    <mergeCell ref="AS36:AS37"/>
    <mergeCell ref="AT3:AT4"/>
    <mergeCell ref="AT6:AT7"/>
    <mergeCell ref="AT11:AT12"/>
    <mergeCell ref="AT14:AT15"/>
    <mergeCell ref="AT21:AT22"/>
    <mergeCell ref="AT24:AT25"/>
    <mergeCell ref="AT27:AT28"/>
    <mergeCell ref="AT36:AT37"/>
    <mergeCell ref="AU3:AU4"/>
    <mergeCell ref="AU6:AU7"/>
    <mergeCell ref="AU11:AU12"/>
    <mergeCell ref="AU14:AU15"/>
    <mergeCell ref="AU21:AU22"/>
    <mergeCell ref="AU24:AU25"/>
    <mergeCell ref="AU27:AU28"/>
    <mergeCell ref="AU36:AU37"/>
    <mergeCell ref="AV3:AV4"/>
    <mergeCell ref="AV6:AV7"/>
    <mergeCell ref="AV11:AV12"/>
    <mergeCell ref="AV14:AV15"/>
    <mergeCell ref="AV21:AV22"/>
    <mergeCell ref="AV24:AV25"/>
    <mergeCell ref="AV27:AV28"/>
    <mergeCell ref="AV36:AV37"/>
    <mergeCell ref="AW3:AW4"/>
    <mergeCell ref="AW6:AW7"/>
    <mergeCell ref="AW11:AW12"/>
    <mergeCell ref="AW14:AW15"/>
    <mergeCell ref="AW21:AW22"/>
    <mergeCell ref="AW24:AW25"/>
    <mergeCell ref="AW27:AW28"/>
    <mergeCell ref="AW36:AW37"/>
    <mergeCell ref="AX3:AX4"/>
    <mergeCell ref="AX6:AX7"/>
    <mergeCell ref="AX11:AX12"/>
    <mergeCell ref="AX14:AX15"/>
    <mergeCell ref="AX21:AX22"/>
    <mergeCell ref="AX24:AX25"/>
    <mergeCell ref="AX27:AX28"/>
    <mergeCell ref="AX36:AX37"/>
    <mergeCell ref="AY3:AY4"/>
    <mergeCell ref="AY6:AY7"/>
    <mergeCell ref="AY11:AY12"/>
    <mergeCell ref="AY14:AY15"/>
    <mergeCell ref="AY21:AY22"/>
    <mergeCell ref="AY24:AY25"/>
    <mergeCell ref="AY27:AY28"/>
    <mergeCell ref="AY36:AY37"/>
    <mergeCell ref="AZ3:AZ4"/>
    <mergeCell ref="AZ6:AZ7"/>
    <mergeCell ref="AZ11:AZ12"/>
    <mergeCell ref="AZ14:AZ15"/>
    <mergeCell ref="AZ21:AZ22"/>
    <mergeCell ref="AZ24:AZ25"/>
    <mergeCell ref="AZ27:AZ28"/>
    <mergeCell ref="AZ36:AZ37"/>
    <mergeCell ref="BA3:BA4"/>
    <mergeCell ref="BA6:BA7"/>
    <mergeCell ref="BA11:BA12"/>
    <mergeCell ref="BA14:BA15"/>
    <mergeCell ref="BA21:BA22"/>
    <mergeCell ref="BA24:BA25"/>
    <mergeCell ref="BA27:BA28"/>
    <mergeCell ref="BA36:BA37"/>
    <mergeCell ref="BB3:BB4"/>
    <mergeCell ref="BB6:BB7"/>
    <mergeCell ref="BB11:BB12"/>
    <mergeCell ref="BB14:BB15"/>
    <mergeCell ref="BB21:BB22"/>
    <mergeCell ref="BB24:BB25"/>
    <mergeCell ref="BB27:BB28"/>
    <mergeCell ref="BB36:BB37"/>
    <mergeCell ref="BC3:BC4"/>
    <mergeCell ref="BC6:BC7"/>
    <mergeCell ref="BC11:BC12"/>
    <mergeCell ref="BC14:BC15"/>
    <mergeCell ref="BC21:BC22"/>
    <mergeCell ref="BC24:BC25"/>
    <mergeCell ref="BC27:BC28"/>
    <mergeCell ref="BC36:BC37"/>
    <mergeCell ref="BD3:BD4"/>
    <mergeCell ref="BD6:BD7"/>
    <mergeCell ref="BD11:BD12"/>
    <mergeCell ref="BD14:BD15"/>
    <mergeCell ref="BD21:BD22"/>
    <mergeCell ref="BD24:BD25"/>
    <mergeCell ref="BD27:BD28"/>
    <mergeCell ref="BD36:BD37"/>
    <mergeCell ref="BE3:BE4"/>
    <mergeCell ref="BE6:BE7"/>
    <mergeCell ref="BE11:BE12"/>
    <mergeCell ref="BE14:BE15"/>
    <mergeCell ref="BE21:BE22"/>
    <mergeCell ref="BE24:BE25"/>
    <mergeCell ref="BE27:BE28"/>
    <mergeCell ref="BE36:BE37"/>
    <mergeCell ref="BF3:BF4"/>
    <mergeCell ref="BF6:BF7"/>
    <mergeCell ref="BF11:BF12"/>
    <mergeCell ref="BF14:BF15"/>
    <mergeCell ref="BF21:BF22"/>
    <mergeCell ref="BF24:BF25"/>
    <mergeCell ref="BF27:BF28"/>
    <mergeCell ref="BF36:BF37"/>
    <mergeCell ref="BG3:BG4"/>
    <mergeCell ref="BG6:BG7"/>
    <mergeCell ref="BG11:BG12"/>
    <mergeCell ref="BG14:BG15"/>
    <mergeCell ref="BG21:BG22"/>
    <mergeCell ref="BG24:BG25"/>
    <mergeCell ref="BG27:BG28"/>
    <mergeCell ref="BG36:BG37"/>
    <mergeCell ref="BH3:BH4"/>
    <mergeCell ref="BH6:BH7"/>
    <mergeCell ref="BH11:BH12"/>
    <mergeCell ref="BH14:BH15"/>
    <mergeCell ref="BH21:BH22"/>
    <mergeCell ref="BH24:BH25"/>
    <mergeCell ref="BH27:BH28"/>
    <mergeCell ref="BH36:BH37"/>
    <mergeCell ref="BI3:BI4"/>
    <mergeCell ref="BI6:BI7"/>
    <mergeCell ref="BI11:BI12"/>
    <mergeCell ref="BI14:BI15"/>
    <mergeCell ref="BI21:BI22"/>
    <mergeCell ref="BI24:BI25"/>
    <mergeCell ref="BI27:BI28"/>
    <mergeCell ref="BI36:BI37"/>
    <mergeCell ref="BJ3:BJ4"/>
    <mergeCell ref="BJ6:BJ7"/>
    <mergeCell ref="BJ11:BJ12"/>
    <mergeCell ref="BJ14:BJ15"/>
    <mergeCell ref="BJ21:BJ22"/>
    <mergeCell ref="BJ24:BJ25"/>
    <mergeCell ref="BJ27:BJ28"/>
    <mergeCell ref="BJ36:BJ37"/>
    <mergeCell ref="BK3:BK4"/>
    <mergeCell ref="BK6:BK7"/>
    <mergeCell ref="BK11:BK12"/>
    <mergeCell ref="BK14:BK15"/>
    <mergeCell ref="BK21:BK22"/>
    <mergeCell ref="BK24:BK25"/>
    <mergeCell ref="BK27:BK28"/>
    <mergeCell ref="BK36:BK37"/>
    <mergeCell ref="BL3:BL4"/>
    <mergeCell ref="BL6:BL7"/>
    <mergeCell ref="BL11:BL12"/>
    <mergeCell ref="BL14:BL15"/>
    <mergeCell ref="BL21:BL22"/>
    <mergeCell ref="BL24:BL25"/>
    <mergeCell ref="BL27:BL28"/>
    <mergeCell ref="BL36:BL37"/>
    <mergeCell ref="BM3:BM4"/>
    <mergeCell ref="BM6:BM7"/>
    <mergeCell ref="BM11:BM12"/>
    <mergeCell ref="BM14:BM15"/>
    <mergeCell ref="BM21:BM22"/>
    <mergeCell ref="BM24:BM25"/>
    <mergeCell ref="BM27:BM28"/>
    <mergeCell ref="BM36:BM37"/>
    <mergeCell ref="BN3:BN4"/>
    <mergeCell ref="BN6:BN7"/>
    <mergeCell ref="BN11:BN12"/>
    <mergeCell ref="BN14:BN15"/>
    <mergeCell ref="BN21:BN22"/>
    <mergeCell ref="BN24:BN25"/>
    <mergeCell ref="BN27:BN28"/>
    <mergeCell ref="BN36:BN37"/>
    <mergeCell ref="BO3:BO4"/>
    <mergeCell ref="BO6:BO7"/>
    <mergeCell ref="BO11:BO12"/>
    <mergeCell ref="BO14:BO15"/>
    <mergeCell ref="BO21:BO22"/>
    <mergeCell ref="BO24:BO25"/>
    <mergeCell ref="BO27:BO28"/>
    <mergeCell ref="BO36:BO37"/>
    <mergeCell ref="BP3:BP4"/>
    <mergeCell ref="BP6:BP7"/>
    <mergeCell ref="BP11:BP12"/>
    <mergeCell ref="BP14:BP15"/>
    <mergeCell ref="BP21:BP22"/>
    <mergeCell ref="BP24:BP25"/>
    <mergeCell ref="BP27:BP28"/>
    <mergeCell ref="BP36:BP37"/>
    <mergeCell ref="BQ3:BQ4"/>
    <mergeCell ref="BQ6:BQ7"/>
    <mergeCell ref="BQ11:BQ12"/>
    <mergeCell ref="BQ14:BQ15"/>
    <mergeCell ref="BQ21:BQ22"/>
    <mergeCell ref="BQ24:BQ25"/>
    <mergeCell ref="BQ27:BQ28"/>
    <mergeCell ref="BQ36:BQ37"/>
    <mergeCell ref="BR3:BR4"/>
    <mergeCell ref="BR6:BR7"/>
    <mergeCell ref="BR11:BR12"/>
    <mergeCell ref="BR14:BR15"/>
    <mergeCell ref="BR21:BR22"/>
    <mergeCell ref="BR24:BR25"/>
    <mergeCell ref="BR27:BR28"/>
    <mergeCell ref="BR36:BR37"/>
    <mergeCell ref="BS3:BS4"/>
    <mergeCell ref="BS6:BS7"/>
    <mergeCell ref="BS11:BS12"/>
    <mergeCell ref="BS14:BS15"/>
    <mergeCell ref="BS21:BS22"/>
    <mergeCell ref="BS24:BS25"/>
    <mergeCell ref="BS27:BS28"/>
    <mergeCell ref="BS36:BS37"/>
    <mergeCell ref="BT3:BT4"/>
    <mergeCell ref="BT6:BT7"/>
    <mergeCell ref="BT11:BT12"/>
    <mergeCell ref="BT14:BT15"/>
    <mergeCell ref="BT21:BT22"/>
    <mergeCell ref="BT24:BT25"/>
    <mergeCell ref="BT27:BT28"/>
    <mergeCell ref="BT36:BT37"/>
    <mergeCell ref="BU3:BU4"/>
    <mergeCell ref="BU6:BU7"/>
    <mergeCell ref="BU11:BU12"/>
    <mergeCell ref="BU14:BU15"/>
    <mergeCell ref="BU21:BU22"/>
    <mergeCell ref="BU24:BU25"/>
    <mergeCell ref="BU27:BU28"/>
    <mergeCell ref="BU36:BU37"/>
    <mergeCell ref="BV3:BV4"/>
    <mergeCell ref="BV6:BV7"/>
    <mergeCell ref="BV11:BV12"/>
    <mergeCell ref="BV14:BV15"/>
    <mergeCell ref="BV21:BV22"/>
    <mergeCell ref="BV24:BV25"/>
    <mergeCell ref="BV27:BV28"/>
    <mergeCell ref="BV36:BV37"/>
    <mergeCell ref="BW3:BW4"/>
    <mergeCell ref="BW6:BW7"/>
    <mergeCell ref="BW11:BW12"/>
    <mergeCell ref="BW14:BW15"/>
    <mergeCell ref="BW21:BW22"/>
    <mergeCell ref="BW24:BW25"/>
    <mergeCell ref="BW27:BW28"/>
    <mergeCell ref="BW36:BW37"/>
    <mergeCell ref="BX3:BX4"/>
    <mergeCell ref="BX6:BX7"/>
    <mergeCell ref="BX11:BX12"/>
    <mergeCell ref="BX14:BX15"/>
    <mergeCell ref="BX21:BX22"/>
    <mergeCell ref="BX24:BX25"/>
    <mergeCell ref="BX27:BX28"/>
    <mergeCell ref="BX36:BX37"/>
    <mergeCell ref="BY3:BY4"/>
    <mergeCell ref="BY6:BY7"/>
    <mergeCell ref="BY11:BY12"/>
    <mergeCell ref="BY14:BY15"/>
    <mergeCell ref="BY21:BY22"/>
    <mergeCell ref="BY24:BY25"/>
    <mergeCell ref="BY27:BY28"/>
    <mergeCell ref="BY36:BY37"/>
    <mergeCell ref="BZ3:BZ4"/>
    <mergeCell ref="BZ6:BZ7"/>
    <mergeCell ref="BZ11:BZ12"/>
    <mergeCell ref="BZ14:BZ15"/>
    <mergeCell ref="BZ21:BZ22"/>
    <mergeCell ref="BZ24:BZ25"/>
    <mergeCell ref="BZ27:BZ28"/>
    <mergeCell ref="BZ36:BZ37"/>
    <mergeCell ref="CA3:CA4"/>
    <mergeCell ref="CA6:CA7"/>
    <mergeCell ref="CA11:CA12"/>
    <mergeCell ref="CA14:CA15"/>
    <mergeCell ref="CA21:CA22"/>
    <mergeCell ref="CA24:CA25"/>
    <mergeCell ref="CA27:CA28"/>
    <mergeCell ref="CA36:CA37"/>
    <mergeCell ref="CB3:CB4"/>
    <mergeCell ref="CB6:CB7"/>
    <mergeCell ref="CB11:CB12"/>
    <mergeCell ref="CB14:CB15"/>
    <mergeCell ref="CB21:CB22"/>
    <mergeCell ref="CB24:CB25"/>
    <mergeCell ref="CB27:CB28"/>
    <mergeCell ref="CB36:CB37"/>
    <mergeCell ref="CC3:CC4"/>
    <mergeCell ref="CC6:CC7"/>
    <mergeCell ref="CC11:CC12"/>
    <mergeCell ref="CC14:CC15"/>
    <mergeCell ref="CC21:CC22"/>
    <mergeCell ref="CC24:CC25"/>
    <mergeCell ref="CC27:CC28"/>
    <mergeCell ref="CC36:CC37"/>
    <mergeCell ref="CD3:CD4"/>
    <mergeCell ref="CD6:CD7"/>
    <mergeCell ref="CD11:CD12"/>
    <mergeCell ref="CD14:CD15"/>
    <mergeCell ref="CD21:CD22"/>
    <mergeCell ref="CD24:CD25"/>
    <mergeCell ref="CD27:CD28"/>
    <mergeCell ref="CD36:CD37"/>
    <mergeCell ref="CE3:CE4"/>
    <mergeCell ref="CE6:CE7"/>
    <mergeCell ref="CE11:CE12"/>
    <mergeCell ref="CE14:CE15"/>
    <mergeCell ref="CE21:CE22"/>
    <mergeCell ref="CE24:CE25"/>
    <mergeCell ref="CE27:CE28"/>
    <mergeCell ref="CE36:CE37"/>
    <mergeCell ref="CF3:CF4"/>
    <mergeCell ref="CF6:CF7"/>
    <mergeCell ref="CF11:CF12"/>
    <mergeCell ref="CF14:CF15"/>
    <mergeCell ref="CF21:CF22"/>
    <mergeCell ref="CF24:CF25"/>
    <mergeCell ref="CF27:CF28"/>
    <mergeCell ref="CF36:CF37"/>
    <mergeCell ref="CG3:CG4"/>
    <mergeCell ref="CG6:CG7"/>
    <mergeCell ref="CG11:CG12"/>
    <mergeCell ref="CG14:CG15"/>
    <mergeCell ref="CG21:CG22"/>
    <mergeCell ref="CG24:CG25"/>
    <mergeCell ref="CG27:CG28"/>
    <mergeCell ref="CG36:CG37"/>
    <mergeCell ref="CH3:CH4"/>
    <mergeCell ref="CH6:CH7"/>
    <mergeCell ref="CH11:CH12"/>
    <mergeCell ref="CH14:CH15"/>
    <mergeCell ref="CH21:CH22"/>
    <mergeCell ref="CH24:CH25"/>
    <mergeCell ref="CH27:CH28"/>
    <mergeCell ref="CH36:CH37"/>
    <mergeCell ref="CI3:CI4"/>
    <mergeCell ref="CI6:CI7"/>
    <mergeCell ref="CI11:CI12"/>
    <mergeCell ref="CI14:CI15"/>
    <mergeCell ref="CI21:CI22"/>
    <mergeCell ref="CI24:CI25"/>
    <mergeCell ref="CI27:CI28"/>
    <mergeCell ref="CI36:CI37"/>
    <mergeCell ref="CJ3:CJ4"/>
    <mergeCell ref="CJ6:CJ7"/>
    <mergeCell ref="CJ11:CJ12"/>
    <mergeCell ref="CJ14:CJ15"/>
    <mergeCell ref="CJ21:CJ22"/>
    <mergeCell ref="CJ24:CJ25"/>
    <mergeCell ref="CJ27:CJ28"/>
    <mergeCell ref="CJ36:CJ37"/>
    <mergeCell ref="CK3:CK4"/>
    <mergeCell ref="CK6:CK7"/>
    <mergeCell ref="CK11:CK12"/>
    <mergeCell ref="CK14:CK15"/>
    <mergeCell ref="CK21:CK22"/>
    <mergeCell ref="CK24:CK25"/>
    <mergeCell ref="CK27:CK28"/>
    <mergeCell ref="CK36:CK37"/>
    <mergeCell ref="CL3:CL4"/>
    <mergeCell ref="CL6:CL7"/>
    <mergeCell ref="CL11:CL12"/>
    <mergeCell ref="CL14:CL15"/>
    <mergeCell ref="CL21:CL22"/>
    <mergeCell ref="CL24:CL25"/>
    <mergeCell ref="CL27:CL28"/>
    <mergeCell ref="CL36:CL37"/>
    <mergeCell ref="CM3:CM4"/>
    <mergeCell ref="CM6:CM7"/>
    <mergeCell ref="CM11:CM12"/>
    <mergeCell ref="CM14:CM15"/>
    <mergeCell ref="CM21:CM22"/>
    <mergeCell ref="CM24:CM25"/>
    <mergeCell ref="CM27:CM28"/>
    <mergeCell ref="CM36:CM37"/>
    <mergeCell ref="CN3:CN4"/>
    <mergeCell ref="CN6:CN7"/>
    <mergeCell ref="CN11:CN12"/>
    <mergeCell ref="CN14:CN15"/>
    <mergeCell ref="CN21:CN22"/>
    <mergeCell ref="CN24:CN25"/>
    <mergeCell ref="CN27:CN28"/>
    <mergeCell ref="CN36:CN37"/>
    <mergeCell ref="CO3:CO4"/>
    <mergeCell ref="CO6:CO7"/>
    <mergeCell ref="CO11:CO12"/>
    <mergeCell ref="CO14:CO15"/>
    <mergeCell ref="CO21:CO22"/>
    <mergeCell ref="CO24:CO25"/>
    <mergeCell ref="CO27:CO28"/>
    <mergeCell ref="CO36:CO37"/>
    <mergeCell ref="CP3:CP4"/>
    <mergeCell ref="CP6:CP7"/>
    <mergeCell ref="CP11:CP12"/>
    <mergeCell ref="CP14:CP15"/>
    <mergeCell ref="CP21:CP22"/>
    <mergeCell ref="CP24:CP25"/>
    <mergeCell ref="CP27:CP28"/>
    <mergeCell ref="CP36:CP37"/>
    <mergeCell ref="CQ3:CQ4"/>
    <mergeCell ref="CQ6:CQ7"/>
    <mergeCell ref="CQ11:CQ12"/>
    <mergeCell ref="CQ14:CQ15"/>
    <mergeCell ref="CQ21:CQ22"/>
    <mergeCell ref="CQ24:CQ25"/>
    <mergeCell ref="CQ27:CQ28"/>
    <mergeCell ref="CQ36:CQ37"/>
    <mergeCell ref="CR3:CR4"/>
    <mergeCell ref="CR6:CR7"/>
    <mergeCell ref="CR11:CR12"/>
    <mergeCell ref="CR14:CR15"/>
    <mergeCell ref="CR21:CR22"/>
    <mergeCell ref="CR24:CR25"/>
    <mergeCell ref="CR27:CR28"/>
    <mergeCell ref="CR36:CR37"/>
    <mergeCell ref="CS3:CS4"/>
    <mergeCell ref="CS6:CS7"/>
    <mergeCell ref="CS11:CS12"/>
    <mergeCell ref="CS14:CS15"/>
    <mergeCell ref="CS21:CS22"/>
    <mergeCell ref="CS24:CS25"/>
    <mergeCell ref="CS27:CS28"/>
    <mergeCell ref="CS36:CS37"/>
    <mergeCell ref="CT3:CT4"/>
    <mergeCell ref="CT6:CT7"/>
    <mergeCell ref="CT11:CT12"/>
    <mergeCell ref="CT14:CT15"/>
    <mergeCell ref="CT21:CT22"/>
    <mergeCell ref="CT24:CT25"/>
    <mergeCell ref="CT27:CT28"/>
    <mergeCell ref="CT36:CT37"/>
    <mergeCell ref="CU3:CU4"/>
    <mergeCell ref="CU6:CU7"/>
    <mergeCell ref="CU11:CU12"/>
    <mergeCell ref="CU14:CU15"/>
    <mergeCell ref="CU21:CU22"/>
    <mergeCell ref="CU24:CU25"/>
    <mergeCell ref="CU27:CU28"/>
    <mergeCell ref="CU36:CU37"/>
    <mergeCell ref="CV3:CV4"/>
    <mergeCell ref="CV6:CV7"/>
    <mergeCell ref="CV11:CV12"/>
    <mergeCell ref="CV14:CV15"/>
    <mergeCell ref="CV21:CV22"/>
    <mergeCell ref="CV24:CV25"/>
    <mergeCell ref="CV27:CV28"/>
    <mergeCell ref="CV36:CV37"/>
    <mergeCell ref="CW3:CW4"/>
    <mergeCell ref="CW6:CW7"/>
    <mergeCell ref="CW11:CW12"/>
    <mergeCell ref="CW14:CW15"/>
    <mergeCell ref="CW21:CW22"/>
    <mergeCell ref="CW24:CW25"/>
    <mergeCell ref="CW27:CW28"/>
    <mergeCell ref="CW36:CW37"/>
    <mergeCell ref="CX3:CX4"/>
    <mergeCell ref="CX6:CX7"/>
    <mergeCell ref="CX11:CX12"/>
    <mergeCell ref="CX14:CX15"/>
    <mergeCell ref="CX21:CX22"/>
    <mergeCell ref="CX24:CX25"/>
    <mergeCell ref="CX27:CX28"/>
    <mergeCell ref="CX36:CX37"/>
    <mergeCell ref="CY3:CY4"/>
    <mergeCell ref="CY6:CY7"/>
    <mergeCell ref="CY11:CY12"/>
    <mergeCell ref="CY14:CY15"/>
    <mergeCell ref="CY21:CY22"/>
    <mergeCell ref="CY24:CY25"/>
    <mergeCell ref="CY27:CY28"/>
    <mergeCell ref="CY36:CY37"/>
    <mergeCell ref="CZ3:CZ4"/>
    <mergeCell ref="CZ6:CZ7"/>
    <mergeCell ref="CZ11:CZ12"/>
    <mergeCell ref="CZ14:CZ15"/>
    <mergeCell ref="CZ21:CZ22"/>
    <mergeCell ref="CZ24:CZ25"/>
    <mergeCell ref="CZ27:CZ28"/>
    <mergeCell ref="CZ36:CZ37"/>
    <mergeCell ref="DA3:DA4"/>
    <mergeCell ref="DA6:DA7"/>
    <mergeCell ref="DA11:DA12"/>
    <mergeCell ref="DA14:DA15"/>
    <mergeCell ref="DA21:DA22"/>
    <mergeCell ref="DA24:DA25"/>
    <mergeCell ref="DA27:DA28"/>
    <mergeCell ref="DA36:DA37"/>
    <mergeCell ref="DB3:DB4"/>
    <mergeCell ref="DB6:DB7"/>
    <mergeCell ref="DB11:DB12"/>
    <mergeCell ref="DB14:DB15"/>
    <mergeCell ref="DB21:DB22"/>
    <mergeCell ref="DB24:DB25"/>
    <mergeCell ref="DB27:DB28"/>
    <mergeCell ref="DB36:DB37"/>
    <mergeCell ref="DC3:DC4"/>
    <mergeCell ref="DC6:DC7"/>
    <mergeCell ref="DC11:DC12"/>
    <mergeCell ref="DC14:DC15"/>
    <mergeCell ref="DC21:DC22"/>
    <mergeCell ref="DC24:DC25"/>
    <mergeCell ref="DC27:DC28"/>
    <mergeCell ref="DC36:DC37"/>
    <mergeCell ref="DD3:DD4"/>
    <mergeCell ref="DD6:DD7"/>
    <mergeCell ref="DD11:DD12"/>
    <mergeCell ref="DD14:DD15"/>
    <mergeCell ref="DD21:DD22"/>
    <mergeCell ref="DD24:DD25"/>
    <mergeCell ref="DD27:DD28"/>
    <mergeCell ref="DD36:DD37"/>
    <mergeCell ref="DE3:DE4"/>
    <mergeCell ref="DE6:DE7"/>
    <mergeCell ref="DE11:DE12"/>
    <mergeCell ref="DE14:DE15"/>
    <mergeCell ref="DE21:DE22"/>
    <mergeCell ref="DE24:DE25"/>
    <mergeCell ref="DE27:DE28"/>
    <mergeCell ref="DE36:DE37"/>
    <mergeCell ref="DF3:DF4"/>
    <mergeCell ref="DF6:DF7"/>
    <mergeCell ref="DF11:DF12"/>
    <mergeCell ref="DF14:DF15"/>
    <mergeCell ref="DF21:DF22"/>
    <mergeCell ref="DF24:DF25"/>
    <mergeCell ref="DF27:DF28"/>
    <mergeCell ref="DF36:DF37"/>
    <mergeCell ref="DG3:DG4"/>
    <mergeCell ref="DG6:DG7"/>
    <mergeCell ref="DG11:DG12"/>
    <mergeCell ref="DG14:DG15"/>
    <mergeCell ref="DG21:DG22"/>
    <mergeCell ref="DG24:DG25"/>
    <mergeCell ref="DG27:DG28"/>
    <mergeCell ref="DG36:DG37"/>
    <mergeCell ref="DH3:DH4"/>
    <mergeCell ref="DH6:DH7"/>
    <mergeCell ref="DH11:DH12"/>
    <mergeCell ref="DH14:DH15"/>
    <mergeCell ref="DH21:DH22"/>
    <mergeCell ref="DH24:DH25"/>
    <mergeCell ref="DH27:DH28"/>
    <mergeCell ref="DH36:DH37"/>
    <mergeCell ref="DI3:DI4"/>
    <mergeCell ref="DI6:DI7"/>
    <mergeCell ref="DI11:DI12"/>
    <mergeCell ref="DI14:DI15"/>
    <mergeCell ref="DI21:DI22"/>
    <mergeCell ref="DI24:DI25"/>
    <mergeCell ref="DI27:DI28"/>
    <mergeCell ref="DI36:DI37"/>
    <mergeCell ref="DJ3:DJ4"/>
    <mergeCell ref="DJ6:DJ7"/>
    <mergeCell ref="DJ11:DJ12"/>
    <mergeCell ref="DJ14:DJ15"/>
    <mergeCell ref="DJ21:DJ22"/>
    <mergeCell ref="DJ24:DJ25"/>
    <mergeCell ref="DJ27:DJ28"/>
    <mergeCell ref="DJ36:DJ37"/>
    <mergeCell ref="DK3:DK4"/>
    <mergeCell ref="DK6:DK7"/>
    <mergeCell ref="DK11:DK12"/>
    <mergeCell ref="DK14:DK15"/>
    <mergeCell ref="DK21:DK22"/>
    <mergeCell ref="DK24:DK25"/>
    <mergeCell ref="DK27:DK28"/>
    <mergeCell ref="DK36:DK37"/>
    <mergeCell ref="DL3:DL4"/>
    <mergeCell ref="DL6:DL7"/>
    <mergeCell ref="DL11:DL12"/>
    <mergeCell ref="DL14:DL15"/>
    <mergeCell ref="DL21:DL22"/>
    <mergeCell ref="DL24:DL25"/>
    <mergeCell ref="DL27:DL28"/>
    <mergeCell ref="DL36:DL37"/>
    <mergeCell ref="DM3:DM4"/>
    <mergeCell ref="DM6:DM7"/>
    <mergeCell ref="DM11:DM12"/>
    <mergeCell ref="DM14:DM15"/>
    <mergeCell ref="DM21:DM22"/>
    <mergeCell ref="DM24:DM25"/>
    <mergeCell ref="DM27:DM28"/>
    <mergeCell ref="DM36:DM37"/>
    <mergeCell ref="DN3:DN4"/>
    <mergeCell ref="DN6:DN7"/>
    <mergeCell ref="DN11:DN12"/>
    <mergeCell ref="DN14:DN15"/>
    <mergeCell ref="DN21:DN22"/>
    <mergeCell ref="DN24:DN25"/>
    <mergeCell ref="DN27:DN28"/>
    <mergeCell ref="DN36:DN37"/>
    <mergeCell ref="DO3:DO4"/>
    <mergeCell ref="DO6:DO7"/>
    <mergeCell ref="DO11:DO12"/>
    <mergeCell ref="DO14:DO15"/>
    <mergeCell ref="DO21:DO22"/>
    <mergeCell ref="DO24:DO25"/>
    <mergeCell ref="DO27:DO28"/>
    <mergeCell ref="DO36:DO37"/>
    <mergeCell ref="DP3:DP4"/>
    <mergeCell ref="DP6:DP7"/>
    <mergeCell ref="DP11:DP12"/>
    <mergeCell ref="DP14:DP15"/>
    <mergeCell ref="DP21:DP22"/>
    <mergeCell ref="DP24:DP25"/>
    <mergeCell ref="DP27:DP28"/>
    <mergeCell ref="DP36:DP37"/>
    <mergeCell ref="DQ3:DQ4"/>
    <mergeCell ref="DQ6:DQ7"/>
    <mergeCell ref="DQ11:DQ12"/>
    <mergeCell ref="DQ14:DQ15"/>
    <mergeCell ref="DQ21:DQ22"/>
    <mergeCell ref="DQ24:DQ25"/>
    <mergeCell ref="DQ27:DQ28"/>
    <mergeCell ref="DQ36:DQ37"/>
    <mergeCell ref="DR3:DR4"/>
    <mergeCell ref="DR6:DR7"/>
    <mergeCell ref="DR11:DR12"/>
    <mergeCell ref="DR14:DR15"/>
    <mergeCell ref="DR21:DR22"/>
    <mergeCell ref="DR24:DR25"/>
    <mergeCell ref="DR27:DR28"/>
    <mergeCell ref="DR36:DR37"/>
    <mergeCell ref="DS3:DS4"/>
    <mergeCell ref="DS6:DS7"/>
    <mergeCell ref="DS11:DS12"/>
    <mergeCell ref="DS14:DS15"/>
    <mergeCell ref="DS21:DS22"/>
    <mergeCell ref="DS24:DS25"/>
    <mergeCell ref="DS27:DS28"/>
    <mergeCell ref="DS36:DS37"/>
    <mergeCell ref="DT3:DT4"/>
    <mergeCell ref="DT6:DT7"/>
    <mergeCell ref="DT11:DT12"/>
    <mergeCell ref="DT14:DT15"/>
    <mergeCell ref="DT21:DT22"/>
    <mergeCell ref="DT24:DT25"/>
    <mergeCell ref="DT27:DT28"/>
    <mergeCell ref="DT36:DT37"/>
    <mergeCell ref="DU3:DU4"/>
    <mergeCell ref="DU6:DU7"/>
    <mergeCell ref="DU11:DU12"/>
    <mergeCell ref="DU14:DU15"/>
    <mergeCell ref="DU21:DU22"/>
    <mergeCell ref="DU24:DU25"/>
    <mergeCell ref="DU27:DU28"/>
    <mergeCell ref="DU36:DU37"/>
    <mergeCell ref="DV3:DV4"/>
    <mergeCell ref="DV6:DV7"/>
    <mergeCell ref="DV11:DV12"/>
    <mergeCell ref="DV14:DV15"/>
    <mergeCell ref="DV21:DV22"/>
    <mergeCell ref="DV24:DV25"/>
    <mergeCell ref="DV27:DV28"/>
    <mergeCell ref="DV36:DV37"/>
    <mergeCell ref="DW3:DW4"/>
    <mergeCell ref="DW6:DW7"/>
    <mergeCell ref="DW11:DW12"/>
    <mergeCell ref="DW14:DW15"/>
    <mergeCell ref="DW21:DW22"/>
    <mergeCell ref="DW24:DW25"/>
    <mergeCell ref="DW27:DW28"/>
    <mergeCell ref="DW36:DW37"/>
    <mergeCell ref="DX3:DX4"/>
    <mergeCell ref="DX6:DX7"/>
    <mergeCell ref="DX11:DX12"/>
    <mergeCell ref="DX14:DX15"/>
    <mergeCell ref="DX21:DX22"/>
    <mergeCell ref="DX24:DX25"/>
    <mergeCell ref="DX27:DX28"/>
    <mergeCell ref="DX36:DX37"/>
    <mergeCell ref="DY3:DY4"/>
    <mergeCell ref="DY6:DY7"/>
    <mergeCell ref="DY11:DY12"/>
    <mergeCell ref="DY14:DY15"/>
    <mergeCell ref="DY21:DY22"/>
    <mergeCell ref="DY24:DY25"/>
    <mergeCell ref="DY27:DY28"/>
    <mergeCell ref="DY36:DY37"/>
    <mergeCell ref="DZ3:DZ4"/>
    <mergeCell ref="DZ6:DZ7"/>
    <mergeCell ref="DZ11:DZ12"/>
    <mergeCell ref="DZ14:DZ15"/>
    <mergeCell ref="DZ21:DZ22"/>
    <mergeCell ref="DZ24:DZ25"/>
    <mergeCell ref="DZ27:DZ28"/>
    <mergeCell ref="DZ36:DZ37"/>
    <mergeCell ref="EA3:EA4"/>
    <mergeCell ref="EA6:EA7"/>
    <mergeCell ref="EA11:EA12"/>
    <mergeCell ref="EA14:EA15"/>
    <mergeCell ref="EA21:EA22"/>
    <mergeCell ref="EA24:EA25"/>
    <mergeCell ref="EA27:EA28"/>
    <mergeCell ref="EA36:EA37"/>
    <mergeCell ref="EB3:EB4"/>
    <mergeCell ref="EB6:EB7"/>
    <mergeCell ref="EB11:EB12"/>
    <mergeCell ref="EB14:EB15"/>
    <mergeCell ref="EB21:EB22"/>
    <mergeCell ref="EB24:EB25"/>
    <mergeCell ref="EB27:EB28"/>
    <mergeCell ref="EB36:EB37"/>
    <mergeCell ref="EC3:EC4"/>
    <mergeCell ref="EC6:EC7"/>
    <mergeCell ref="EC11:EC12"/>
    <mergeCell ref="EC14:EC15"/>
    <mergeCell ref="EC21:EC22"/>
    <mergeCell ref="EC24:EC25"/>
    <mergeCell ref="EC27:EC28"/>
    <mergeCell ref="EC36:EC37"/>
    <mergeCell ref="ED3:ED4"/>
    <mergeCell ref="ED6:ED7"/>
    <mergeCell ref="ED11:ED12"/>
    <mergeCell ref="ED14:ED15"/>
    <mergeCell ref="ED21:ED22"/>
    <mergeCell ref="ED24:ED25"/>
    <mergeCell ref="ED27:ED28"/>
    <mergeCell ref="ED36:ED37"/>
    <mergeCell ref="EE3:EE4"/>
    <mergeCell ref="EE6:EE7"/>
    <mergeCell ref="EE11:EE12"/>
    <mergeCell ref="EE14:EE15"/>
    <mergeCell ref="EE21:EE22"/>
    <mergeCell ref="EE24:EE25"/>
    <mergeCell ref="EE27:EE28"/>
    <mergeCell ref="EE36:EE37"/>
    <mergeCell ref="EF3:EF4"/>
    <mergeCell ref="EF6:EF7"/>
    <mergeCell ref="EF11:EF12"/>
    <mergeCell ref="EF14:EF15"/>
    <mergeCell ref="EF21:EF22"/>
    <mergeCell ref="EF24:EF25"/>
    <mergeCell ref="EF27:EF28"/>
    <mergeCell ref="EF36:EF37"/>
    <mergeCell ref="EG3:EG4"/>
    <mergeCell ref="EG6:EG7"/>
    <mergeCell ref="EG11:EG12"/>
    <mergeCell ref="EG14:EG15"/>
    <mergeCell ref="EG21:EG22"/>
    <mergeCell ref="EG24:EG25"/>
    <mergeCell ref="EG27:EG28"/>
    <mergeCell ref="EG36:EG37"/>
    <mergeCell ref="EH3:EH4"/>
    <mergeCell ref="EH6:EH7"/>
    <mergeCell ref="EH11:EH12"/>
    <mergeCell ref="EH14:EH15"/>
    <mergeCell ref="EH21:EH22"/>
    <mergeCell ref="EH24:EH25"/>
    <mergeCell ref="EH27:EH28"/>
    <mergeCell ref="EH36:EH37"/>
    <mergeCell ref="EI3:EI4"/>
    <mergeCell ref="EI6:EI7"/>
    <mergeCell ref="EI11:EI12"/>
    <mergeCell ref="EI14:EI15"/>
    <mergeCell ref="EI21:EI22"/>
    <mergeCell ref="EI24:EI25"/>
    <mergeCell ref="EI27:EI28"/>
    <mergeCell ref="EI36:EI37"/>
    <mergeCell ref="EJ3:EJ4"/>
    <mergeCell ref="EJ6:EJ7"/>
    <mergeCell ref="EJ11:EJ12"/>
    <mergeCell ref="EJ14:EJ15"/>
    <mergeCell ref="EJ21:EJ22"/>
    <mergeCell ref="EJ24:EJ25"/>
    <mergeCell ref="EJ27:EJ28"/>
    <mergeCell ref="EJ36:EJ37"/>
    <mergeCell ref="EK3:EK4"/>
    <mergeCell ref="EK6:EK7"/>
    <mergeCell ref="EK11:EK12"/>
    <mergeCell ref="EK14:EK15"/>
    <mergeCell ref="EK21:EK22"/>
    <mergeCell ref="EK24:EK25"/>
    <mergeCell ref="EK27:EK28"/>
    <mergeCell ref="EK36:EK37"/>
    <mergeCell ref="EL3:EL4"/>
    <mergeCell ref="EL6:EL7"/>
    <mergeCell ref="EL11:EL12"/>
    <mergeCell ref="EL14:EL15"/>
    <mergeCell ref="EL21:EL22"/>
    <mergeCell ref="EL24:EL25"/>
    <mergeCell ref="EL27:EL28"/>
    <mergeCell ref="EL36:EL37"/>
    <mergeCell ref="EM3:EM4"/>
    <mergeCell ref="EM6:EM7"/>
    <mergeCell ref="EM11:EM12"/>
    <mergeCell ref="EM14:EM15"/>
    <mergeCell ref="EM21:EM22"/>
    <mergeCell ref="EM24:EM25"/>
    <mergeCell ref="EM27:EM28"/>
    <mergeCell ref="EM36:EM37"/>
    <mergeCell ref="EN3:EN4"/>
    <mergeCell ref="EN6:EN7"/>
    <mergeCell ref="EN11:EN12"/>
    <mergeCell ref="EN14:EN15"/>
    <mergeCell ref="EN21:EN22"/>
    <mergeCell ref="EN24:EN25"/>
    <mergeCell ref="EN27:EN28"/>
    <mergeCell ref="EN36:EN37"/>
    <mergeCell ref="EO3:EO4"/>
    <mergeCell ref="EO6:EO7"/>
    <mergeCell ref="EO11:EO12"/>
    <mergeCell ref="EO14:EO15"/>
    <mergeCell ref="EO21:EO22"/>
    <mergeCell ref="EO24:EO25"/>
    <mergeCell ref="EO27:EO28"/>
    <mergeCell ref="EO36:EO37"/>
    <mergeCell ref="EP3:EP4"/>
    <mergeCell ref="EP6:EP7"/>
    <mergeCell ref="EP11:EP12"/>
    <mergeCell ref="EP14:EP15"/>
    <mergeCell ref="EP21:EP22"/>
    <mergeCell ref="EP24:EP25"/>
    <mergeCell ref="EP27:EP28"/>
    <mergeCell ref="EP36:EP37"/>
    <mergeCell ref="EQ3:EQ4"/>
    <mergeCell ref="EQ6:EQ7"/>
    <mergeCell ref="EQ11:EQ12"/>
    <mergeCell ref="EQ14:EQ15"/>
    <mergeCell ref="EQ21:EQ22"/>
    <mergeCell ref="EQ24:EQ25"/>
    <mergeCell ref="EQ27:EQ28"/>
    <mergeCell ref="EQ36:EQ37"/>
    <mergeCell ref="ER3:ER4"/>
    <mergeCell ref="ER6:ER7"/>
    <mergeCell ref="ER11:ER12"/>
    <mergeCell ref="ER14:ER15"/>
    <mergeCell ref="ER21:ER22"/>
    <mergeCell ref="ER24:ER25"/>
    <mergeCell ref="ER27:ER28"/>
    <mergeCell ref="ER36:ER37"/>
    <mergeCell ref="ES3:ES4"/>
    <mergeCell ref="ES6:ES7"/>
    <mergeCell ref="ES11:ES12"/>
    <mergeCell ref="ES14:ES15"/>
    <mergeCell ref="ES21:ES22"/>
    <mergeCell ref="ES24:ES25"/>
    <mergeCell ref="ES27:ES28"/>
    <mergeCell ref="ES36:ES37"/>
    <mergeCell ref="ET3:ET4"/>
    <mergeCell ref="ET6:ET7"/>
    <mergeCell ref="ET11:ET12"/>
    <mergeCell ref="ET14:ET15"/>
    <mergeCell ref="ET21:ET22"/>
    <mergeCell ref="ET24:ET25"/>
    <mergeCell ref="ET27:ET28"/>
    <mergeCell ref="ET36:ET37"/>
    <mergeCell ref="EU3:EU4"/>
    <mergeCell ref="EU6:EU7"/>
    <mergeCell ref="EU11:EU12"/>
    <mergeCell ref="EU14:EU15"/>
    <mergeCell ref="EU21:EU22"/>
    <mergeCell ref="EU24:EU25"/>
    <mergeCell ref="EU27:EU28"/>
    <mergeCell ref="EU36:EU37"/>
    <mergeCell ref="EV3:EV4"/>
    <mergeCell ref="EV6:EV7"/>
    <mergeCell ref="EV11:EV12"/>
    <mergeCell ref="EV14:EV15"/>
    <mergeCell ref="EV21:EV22"/>
    <mergeCell ref="EV24:EV25"/>
    <mergeCell ref="EV27:EV28"/>
    <mergeCell ref="EV36:EV37"/>
    <mergeCell ref="EW3:EW4"/>
    <mergeCell ref="EW6:EW7"/>
    <mergeCell ref="EW11:EW12"/>
    <mergeCell ref="EW14:EW15"/>
    <mergeCell ref="EW21:EW22"/>
    <mergeCell ref="EW24:EW25"/>
    <mergeCell ref="EW27:EW28"/>
    <mergeCell ref="EW36:EW37"/>
    <mergeCell ref="EX3:EX4"/>
    <mergeCell ref="EX6:EX7"/>
    <mergeCell ref="EX11:EX12"/>
    <mergeCell ref="EX14:EX15"/>
    <mergeCell ref="EX21:EX22"/>
    <mergeCell ref="EX24:EX25"/>
    <mergeCell ref="EX27:EX28"/>
    <mergeCell ref="EX36:EX37"/>
  </mergeCells>
  <pageMargins left="0.7" right="0.7" top="0.75" bottom="0.75" header="0.3" footer="0.3"/>
  <pageSetup paperSize="1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X37"/>
  <sheetViews>
    <sheetView zoomScale="110" zoomScaleNormal="110" zoomScaleSheetLayoutView="110" topLeftCell="B1" workbookViewId="0">
      <selection activeCell="AH39" sqref="AH39"/>
    </sheetView>
  </sheetViews>
  <sheetFormatPr defaultColWidth="9" defaultRowHeight="15"/>
  <cols>
    <col min="1" max="1" width="4.26666666666667" hidden="1" customWidth="1"/>
    <col min="2" max="2" width="22.9047619047619" customWidth="1"/>
    <col min="3" max="3" width="21" hidden="1" customWidth="1"/>
    <col min="4" max="4" width="9.72380952380952" customWidth="1"/>
    <col min="5" max="5" width="14.2666666666667" hidden="1" customWidth="1"/>
    <col min="6" max="6" width="14.1809523809524" hidden="1" customWidth="1"/>
    <col min="7" max="7" width="8.90476190476191" style="6" customWidth="1"/>
    <col min="8" max="8" width="14.2666666666667" hidden="1" customWidth="1"/>
    <col min="9" max="9" width="14.1809523809524" hidden="1" customWidth="1"/>
    <col min="10" max="10" width="7.62857142857143" style="6" customWidth="1"/>
    <col min="11" max="11" width="14.2666666666667" hidden="1" customWidth="1"/>
    <col min="12" max="12" width="14.1809523809524" hidden="1" customWidth="1"/>
    <col min="13" max="13" width="8.36190476190476" style="6" customWidth="1"/>
    <col min="14" max="14" width="14.2666666666667" hidden="1" customWidth="1"/>
    <col min="15" max="15" width="14.1809523809524" hidden="1" customWidth="1"/>
    <col min="16" max="16" width="8.08571428571429" style="6" customWidth="1"/>
    <col min="17" max="17" width="14.2666666666667" hidden="1" customWidth="1"/>
    <col min="18" max="18" width="14.1809523809524" hidden="1" customWidth="1"/>
    <col min="19" max="19" width="7.62857142857143" style="6" customWidth="1"/>
    <col min="20" max="20" width="14.2666666666667" hidden="1" customWidth="1"/>
    <col min="21" max="21" width="14.1809523809524" hidden="1" customWidth="1"/>
    <col min="22" max="22" width="8.36190476190476" style="6" customWidth="1"/>
    <col min="23" max="23" width="14.2666666666667" hidden="1" customWidth="1"/>
    <col min="24" max="24" width="14.1809523809524" hidden="1" customWidth="1"/>
    <col min="25" max="25" width="8" style="6" customWidth="1"/>
    <col min="26" max="26" width="14.2666666666667" hidden="1" customWidth="1"/>
    <col min="27" max="27" width="14.1809523809524" hidden="1" customWidth="1"/>
    <col min="28" max="28" width="9.90476190476191" style="6" hidden="1" customWidth="1"/>
    <col min="29" max="29" width="14.2666666666667" hidden="1" customWidth="1"/>
    <col min="30" max="30" width="14.1809523809524" hidden="1" customWidth="1"/>
    <col min="31" max="31" width="9.90476190476191" style="6" hidden="1" customWidth="1"/>
    <col min="32" max="32" width="14.2666666666667" hidden="1" customWidth="1"/>
    <col min="33" max="33" width="14.1809523809524" hidden="1" customWidth="1"/>
    <col min="34" max="34" width="8" style="6" customWidth="1"/>
    <col min="35" max="35" width="14.2666666666667" hidden="1" customWidth="1"/>
    <col min="36" max="36" width="14.1809523809524" hidden="1" customWidth="1"/>
    <col min="37" max="37" width="9.90476190476191" style="6" hidden="1" customWidth="1"/>
    <col min="38" max="38" width="14.2666666666667" hidden="1" customWidth="1"/>
    <col min="39" max="39" width="14.1809523809524" hidden="1" customWidth="1"/>
    <col min="40" max="40" width="7.36190476190476" style="6" customWidth="1"/>
    <col min="41" max="41" width="14.2666666666667" hidden="1" customWidth="1"/>
    <col min="42" max="42" width="14.1809523809524" hidden="1" customWidth="1"/>
    <col min="43" max="43" width="8" style="6" customWidth="1"/>
    <col min="44" max="44" width="14.2666666666667" hidden="1" customWidth="1"/>
    <col min="45" max="45" width="14.1809523809524" hidden="1" customWidth="1"/>
    <col min="46" max="46" width="8.36190476190476" style="6" customWidth="1"/>
    <col min="47" max="47" width="14.2666666666667" hidden="1" customWidth="1"/>
    <col min="48" max="48" width="14.1809523809524" hidden="1" customWidth="1"/>
    <col min="49" max="49" width="7.45714285714286" style="6" customWidth="1"/>
    <col min="50" max="50" width="14.2666666666667" hidden="1" customWidth="1"/>
    <col min="51" max="51" width="14.1809523809524" hidden="1" customWidth="1"/>
    <col min="52" max="52" width="6.81904761904762" style="6" customWidth="1"/>
    <col min="53" max="53" width="14.2666666666667" hidden="1" customWidth="1"/>
    <col min="54" max="54" width="14.1809523809524" hidden="1" customWidth="1"/>
    <col min="55" max="55" width="6.72380952380952" style="6" customWidth="1"/>
    <col min="56" max="56" width="14.2666666666667" hidden="1" customWidth="1"/>
    <col min="57" max="57" width="14.1809523809524" hidden="1" customWidth="1"/>
    <col min="58" max="58" width="9.90476190476191" style="6" hidden="1" customWidth="1"/>
    <col min="59" max="59" width="14.2666666666667" hidden="1" customWidth="1"/>
    <col min="60" max="60" width="14.1809523809524" hidden="1" customWidth="1"/>
    <col min="61" max="61" width="9.90476190476191" style="6" hidden="1" customWidth="1"/>
    <col min="62" max="62" width="14.2666666666667" hidden="1" customWidth="1"/>
    <col min="63" max="63" width="14.1809523809524" hidden="1" customWidth="1"/>
    <col min="64" max="64" width="9.90476190476191" style="6" hidden="1" customWidth="1"/>
    <col min="65" max="65" width="14.2666666666667" hidden="1" customWidth="1"/>
    <col min="66" max="66" width="0.0857142857142857" customWidth="1"/>
    <col min="67" max="67" width="7.62857142857143" style="6" customWidth="1"/>
    <col min="68" max="68" width="14.2666666666667" hidden="1" customWidth="1"/>
    <col min="69" max="69" width="14.1809523809524" hidden="1" customWidth="1"/>
    <col min="70" max="70" width="6.62857142857143" style="6" customWidth="1"/>
    <col min="71" max="71" width="14.2666666666667" hidden="1" customWidth="1"/>
    <col min="72" max="72" width="14.1809523809524" hidden="1" customWidth="1"/>
    <col min="73" max="73" width="7.81904761904762" style="6" customWidth="1"/>
    <col min="74" max="74" width="14.2666666666667" hidden="1" customWidth="1"/>
    <col min="75" max="75" width="14.1809523809524" hidden="1" customWidth="1"/>
    <col min="76" max="76" width="9.90476190476191" style="6" hidden="1" customWidth="1"/>
    <col min="77" max="77" width="14.2666666666667" hidden="1" customWidth="1"/>
    <col min="78" max="78" width="14.1809523809524" hidden="1" customWidth="1"/>
    <col min="79" max="79" width="9.90476190476191" style="6" hidden="1" customWidth="1"/>
    <col min="80" max="80" width="14.2666666666667" hidden="1" customWidth="1"/>
    <col min="81" max="81" width="14.1809523809524" hidden="1" customWidth="1"/>
    <col min="82" max="82" width="6.54285714285714" style="6" customWidth="1"/>
    <col min="83" max="83" width="14.2666666666667" hidden="1" customWidth="1"/>
    <col min="84" max="84" width="14.1809523809524" hidden="1" customWidth="1"/>
    <col min="85" max="85" width="7.36190476190476" style="6" customWidth="1"/>
    <col min="86" max="86" width="14.2666666666667" hidden="1" customWidth="1"/>
    <col min="87" max="87" width="14.1809523809524" hidden="1" customWidth="1"/>
    <col min="88" max="88" width="9.90476190476191" style="6" hidden="1" customWidth="1"/>
    <col min="89" max="89" width="14.2666666666667" hidden="1" customWidth="1"/>
    <col min="90" max="90" width="14.1809523809524" hidden="1" customWidth="1"/>
    <col min="91" max="91" width="7.90476190476191" style="6" customWidth="1"/>
    <col min="92" max="92" width="14.2666666666667" hidden="1" customWidth="1"/>
    <col min="93" max="93" width="14.1809523809524" hidden="1" customWidth="1"/>
    <col min="94" max="94" width="9.90476190476191" style="6" hidden="1" customWidth="1"/>
    <col min="95" max="95" width="14.2666666666667" hidden="1" customWidth="1"/>
    <col min="96" max="96" width="14.1809523809524" hidden="1" customWidth="1"/>
    <col min="97" max="97" width="8.18095238095238" style="6" customWidth="1"/>
    <col min="98" max="98" width="14.2666666666667" hidden="1" customWidth="1"/>
    <col min="99" max="99" width="14.1809523809524" hidden="1" customWidth="1"/>
    <col min="100" max="100" width="7.45714285714286" style="6" customWidth="1"/>
    <col min="101" max="101" width="14.2666666666667" hidden="1" customWidth="1"/>
    <col min="102" max="102" width="14.1809523809524" hidden="1" customWidth="1"/>
    <col min="103" max="103" width="9.90476190476191" style="6" hidden="1" customWidth="1"/>
    <col min="104" max="104" width="14.2666666666667" hidden="1" customWidth="1"/>
    <col min="105" max="105" width="14.1809523809524" hidden="1" customWidth="1"/>
    <col min="106" max="106" width="8.18095238095238" style="6" customWidth="1"/>
    <col min="107" max="107" width="14.2666666666667" hidden="1" customWidth="1"/>
    <col min="108" max="108" width="14.1809523809524" hidden="1" customWidth="1"/>
    <col min="109" max="109" width="9.90476190476191" style="6" hidden="1" customWidth="1"/>
    <col min="110" max="110" width="14.2666666666667" hidden="1" customWidth="1"/>
    <col min="111" max="111" width="0.361904761904762" hidden="1" customWidth="1"/>
    <col min="112" max="112" width="7" style="6" customWidth="1"/>
    <col min="113" max="113" width="14.2666666666667" hidden="1" customWidth="1"/>
    <col min="114" max="114" width="14.1809523809524" hidden="1" customWidth="1"/>
    <col min="115" max="115" width="9.90476190476191" style="6" hidden="1" customWidth="1"/>
    <col min="116" max="116" width="14.2666666666667" hidden="1" customWidth="1"/>
    <col min="117" max="117" width="14.1809523809524" hidden="1" customWidth="1"/>
    <col min="118" max="118" width="9.90476190476191" style="6" hidden="1" customWidth="1"/>
    <col min="119" max="119" width="14.2666666666667" hidden="1" customWidth="1"/>
    <col min="120" max="120" width="14.1809523809524" hidden="1" customWidth="1"/>
    <col min="121" max="121" width="7.45714285714286" style="6" customWidth="1"/>
    <col min="122" max="122" width="14.2666666666667" hidden="1" customWidth="1"/>
    <col min="123" max="123" width="14.1809523809524" hidden="1" customWidth="1"/>
    <col min="124" max="124" width="7.18095238095238" style="6" customWidth="1"/>
    <col min="125" max="125" width="14.2666666666667" hidden="1" customWidth="1"/>
    <col min="126" max="126" width="14.1809523809524" hidden="1" customWidth="1"/>
    <col min="127" max="127" width="7.54285714285714" style="6" customWidth="1"/>
    <col min="128" max="128" width="14.2666666666667" hidden="1" customWidth="1"/>
    <col min="129" max="129" width="14.1809523809524" hidden="1" customWidth="1"/>
    <col min="130" max="130" width="9.90476190476191" style="6" hidden="1" customWidth="1"/>
    <col min="131" max="131" width="14.2666666666667" hidden="1" customWidth="1"/>
    <col min="132" max="132" width="14.1809523809524" hidden="1" customWidth="1"/>
    <col min="133" max="133" width="9.90476190476191" style="6" hidden="1" customWidth="1"/>
    <col min="134" max="134" width="14.2666666666667" hidden="1" customWidth="1"/>
    <col min="135" max="135" width="14.1809523809524" hidden="1" customWidth="1"/>
    <col min="136" max="136" width="8.36190476190476" style="6" customWidth="1"/>
    <col min="137" max="137" width="14.2666666666667" hidden="1" customWidth="1"/>
    <col min="138" max="138" width="14.1809523809524" hidden="1" customWidth="1"/>
    <col min="139" max="139" width="9.90476190476191" style="6" hidden="1" customWidth="1"/>
    <col min="140" max="140" width="14.2666666666667" hidden="1" customWidth="1"/>
    <col min="141" max="141" width="14.1809523809524" hidden="1" customWidth="1"/>
    <col min="142" max="142" width="7.90476190476191" style="6" customWidth="1"/>
    <col min="143" max="143" width="14.2666666666667" hidden="1" customWidth="1"/>
    <col min="144" max="144" width="14.1809523809524" hidden="1" customWidth="1"/>
    <col min="145" max="145" width="9.90476190476191" style="6" hidden="1" customWidth="1"/>
    <col min="146" max="146" width="14.2666666666667" hidden="1" customWidth="1"/>
    <col min="147" max="147" width="14.1809523809524" hidden="1" customWidth="1"/>
    <col min="148" max="148" width="9.90476190476191" style="6" hidden="1" customWidth="1"/>
    <col min="149" max="149" width="14.2666666666667" hidden="1" customWidth="1"/>
    <col min="150" max="150" width="14.1809523809524" hidden="1" customWidth="1"/>
    <col min="151" max="151" width="9.90476190476191" style="6" hidden="1" customWidth="1"/>
    <col min="152" max="152" width="14.2666666666667" hidden="1" customWidth="1"/>
    <col min="153" max="153" width="14.1809523809524" hidden="1" customWidth="1"/>
    <col min="154" max="154" width="7.54285714285714" style="6" customWidth="1"/>
  </cols>
  <sheetData>
    <row r="1" s="27" customFormat="1" ht="112.5" customHeight="1" spans="1:154">
      <c r="A1" s="74" t="s">
        <v>563</v>
      </c>
      <c r="B1" s="75"/>
      <c r="C1" s="75"/>
      <c r="D1" s="76"/>
      <c r="E1" s="31" t="s">
        <v>564</v>
      </c>
      <c r="F1" s="32"/>
      <c r="G1" s="33"/>
      <c r="H1" s="31" t="s">
        <v>565</v>
      </c>
      <c r="I1" s="32"/>
      <c r="J1" s="33"/>
      <c r="K1" s="31" t="s">
        <v>566</v>
      </c>
      <c r="L1" s="32"/>
      <c r="M1" s="33"/>
      <c r="N1" s="31" t="s">
        <v>567</v>
      </c>
      <c r="O1" s="32"/>
      <c r="P1" s="33"/>
      <c r="Q1" s="31" t="s">
        <v>568</v>
      </c>
      <c r="R1" s="32"/>
      <c r="S1" s="33"/>
      <c r="T1" s="31" t="s">
        <v>569</v>
      </c>
      <c r="U1" s="32"/>
      <c r="V1" s="33"/>
      <c r="W1" s="31" t="s">
        <v>570</v>
      </c>
      <c r="X1" s="32"/>
      <c r="Y1" s="33"/>
      <c r="Z1" s="213" t="s">
        <v>571</v>
      </c>
      <c r="AA1" s="214"/>
      <c r="AB1" s="215"/>
      <c r="AC1" s="216" t="s">
        <v>572</v>
      </c>
      <c r="AD1" s="217"/>
      <c r="AE1" s="218"/>
      <c r="AF1" s="216" t="s">
        <v>573</v>
      </c>
      <c r="AG1" s="217"/>
      <c r="AH1" s="218"/>
      <c r="AI1" s="216" t="s">
        <v>574</v>
      </c>
      <c r="AJ1" s="217"/>
      <c r="AK1" s="218"/>
      <c r="AL1" s="216" t="s">
        <v>575</v>
      </c>
      <c r="AM1" s="217"/>
      <c r="AN1" s="218"/>
      <c r="AO1" s="216" t="s">
        <v>576</v>
      </c>
      <c r="AP1" s="217"/>
      <c r="AQ1" s="218"/>
      <c r="AR1" s="216" t="s">
        <v>577</v>
      </c>
      <c r="AS1" s="217"/>
      <c r="AT1" s="218"/>
      <c r="AU1" s="216" t="s">
        <v>578</v>
      </c>
      <c r="AV1" s="217"/>
      <c r="AW1" s="218"/>
      <c r="AX1" s="216" t="s">
        <v>579</v>
      </c>
      <c r="AY1" s="217"/>
      <c r="AZ1" s="218"/>
      <c r="BA1" s="216" t="s">
        <v>580</v>
      </c>
      <c r="BB1" s="217"/>
      <c r="BC1" s="218"/>
      <c r="BD1" s="216" t="s">
        <v>581</v>
      </c>
      <c r="BE1" s="217"/>
      <c r="BF1" s="218"/>
      <c r="BG1" s="216" t="s">
        <v>582</v>
      </c>
      <c r="BH1" s="217"/>
      <c r="BI1" s="218"/>
      <c r="BJ1" s="216" t="s">
        <v>583</v>
      </c>
      <c r="BK1" s="217"/>
      <c r="BL1" s="218"/>
      <c r="BM1" s="216" t="s">
        <v>584</v>
      </c>
      <c r="BN1" s="217"/>
      <c r="BO1" s="218"/>
      <c r="BP1" s="216" t="s">
        <v>585</v>
      </c>
      <c r="BQ1" s="217"/>
      <c r="BR1" s="218"/>
      <c r="BS1" s="216" t="s">
        <v>586</v>
      </c>
      <c r="BT1" s="217"/>
      <c r="BU1" s="218"/>
      <c r="BV1" s="216" t="s">
        <v>587</v>
      </c>
      <c r="BW1" s="217"/>
      <c r="BX1" s="218"/>
      <c r="BY1" s="216" t="s">
        <v>588</v>
      </c>
      <c r="BZ1" s="217"/>
      <c r="CA1" s="218"/>
      <c r="CB1" s="216" t="s">
        <v>589</v>
      </c>
      <c r="CC1" s="217"/>
      <c r="CD1" s="218"/>
      <c r="CE1" s="216" t="s">
        <v>590</v>
      </c>
      <c r="CF1" s="217"/>
      <c r="CG1" s="218"/>
      <c r="CH1" s="216" t="s">
        <v>591</v>
      </c>
      <c r="CI1" s="217"/>
      <c r="CJ1" s="218"/>
      <c r="CK1" s="216" t="s">
        <v>592</v>
      </c>
      <c r="CL1" s="217"/>
      <c r="CM1" s="218"/>
      <c r="CN1" s="216" t="s">
        <v>593</v>
      </c>
      <c r="CO1" s="217"/>
      <c r="CP1" s="218"/>
      <c r="CQ1" s="216" t="s">
        <v>594</v>
      </c>
      <c r="CR1" s="217"/>
      <c r="CS1" s="218"/>
      <c r="CT1" s="216" t="s">
        <v>595</v>
      </c>
      <c r="CU1" s="217"/>
      <c r="CV1" s="218"/>
      <c r="CW1" s="216" t="s">
        <v>596</v>
      </c>
      <c r="CX1" s="217"/>
      <c r="CY1" s="218"/>
      <c r="CZ1" s="216" t="s">
        <v>597</v>
      </c>
      <c r="DA1" s="217"/>
      <c r="DB1" s="218"/>
      <c r="DC1" s="216" t="s">
        <v>598</v>
      </c>
      <c r="DD1" s="217"/>
      <c r="DE1" s="218"/>
      <c r="DF1" s="216" t="s">
        <v>599</v>
      </c>
      <c r="DG1" s="217"/>
      <c r="DH1" s="218"/>
      <c r="DI1" s="216" t="s">
        <v>600</v>
      </c>
      <c r="DJ1" s="217"/>
      <c r="DK1" s="218"/>
      <c r="DL1" s="213" t="s">
        <v>601</v>
      </c>
      <c r="DM1" s="214"/>
      <c r="DN1" s="215"/>
      <c r="DO1" s="31" t="s">
        <v>602</v>
      </c>
      <c r="DP1" s="32"/>
      <c r="DQ1" s="33"/>
      <c r="DR1" s="31" t="s">
        <v>603</v>
      </c>
      <c r="DS1" s="32"/>
      <c r="DT1" s="33"/>
      <c r="DU1" s="31" t="s">
        <v>604</v>
      </c>
      <c r="DV1" s="32"/>
      <c r="DW1" s="33"/>
      <c r="DX1" s="31" t="s">
        <v>605</v>
      </c>
      <c r="DY1" s="32"/>
      <c r="DZ1" s="33"/>
      <c r="EA1" s="31" t="s">
        <v>606</v>
      </c>
      <c r="EB1" s="32"/>
      <c r="EC1" s="33"/>
      <c r="ED1" s="31" t="s">
        <v>607</v>
      </c>
      <c r="EE1" s="32"/>
      <c r="EF1" s="33"/>
      <c r="EG1" s="216" t="s">
        <v>608</v>
      </c>
      <c r="EH1" s="217"/>
      <c r="EI1" s="218"/>
      <c r="EJ1" s="216" t="s">
        <v>609</v>
      </c>
      <c r="EK1" s="217"/>
      <c r="EL1" s="218"/>
      <c r="EM1" s="216" t="s">
        <v>610</v>
      </c>
      <c r="EN1" s="217"/>
      <c r="EO1" s="218"/>
      <c r="EP1" s="216" t="s">
        <v>611</v>
      </c>
      <c r="EQ1" s="217"/>
      <c r="ER1" s="218"/>
      <c r="ES1" s="216" t="s">
        <v>612</v>
      </c>
      <c r="ET1" s="217"/>
      <c r="EU1" s="218"/>
      <c r="EV1" s="216" t="s">
        <v>613</v>
      </c>
      <c r="EW1" s="217"/>
      <c r="EX1" s="218"/>
    </row>
    <row r="2" ht="15.75" spans="1:154">
      <c r="A2" s="77" t="s">
        <v>0</v>
      </c>
      <c r="B2" s="77" t="s">
        <v>155</v>
      </c>
      <c r="C2" s="77" t="s">
        <v>156</v>
      </c>
      <c r="D2" s="77"/>
      <c r="E2" s="35" t="s">
        <v>158</v>
      </c>
      <c r="F2" s="35" t="s">
        <v>159</v>
      </c>
      <c r="G2" s="36"/>
      <c r="H2" s="36"/>
      <c r="I2" s="36"/>
      <c r="J2" s="36">
        <v>1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>
        <v>2</v>
      </c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36"/>
      <c r="BJ2" s="36"/>
      <c r="BK2" s="36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6"/>
      <c r="CG2" s="36"/>
      <c r="CH2" s="36"/>
      <c r="CI2" s="36"/>
      <c r="CJ2" s="36"/>
      <c r="CK2" s="36"/>
      <c r="CL2" s="36"/>
      <c r="CM2" s="36"/>
      <c r="CN2" s="36"/>
      <c r="CO2" s="36"/>
      <c r="CP2" s="36"/>
      <c r="CQ2" s="36"/>
      <c r="CR2" s="36"/>
      <c r="CS2" s="36"/>
      <c r="CT2" s="36"/>
      <c r="CU2" s="36"/>
      <c r="CV2" s="36"/>
      <c r="CW2" s="36"/>
      <c r="CX2" s="36"/>
      <c r="CY2" s="36"/>
      <c r="CZ2" s="36"/>
      <c r="DA2" s="36"/>
      <c r="DB2" s="36"/>
      <c r="DC2" s="36"/>
      <c r="DD2" s="36"/>
      <c r="DE2" s="36"/>
      <c r="DF2" s="36"/>
      <c r="DG2" s="36"/>
      <c r="DH2" s="36"/>
      <c r="DI2" s="36"/>
      <c r="DJ2" s="36"/>
      <c r="DK2" s="36"/>
      <c r="DL2" s="36"/>
      <c r="DM2" s="36"/>
      <c r="DN2" s="36"/>
      <c r="DO2" s="36"/>
      <c r="DP2" s="36"/>
      <c r="DQ2" s="36"/>
      <c r="DR2" s="36"/>
      <c r="DS2" s="36"/>
      <c r="DT2" s="36"/>
      <c r="DU2" s="36"/>
      <c r="DV2" s="36"/>
      <c r="DW2" s="36"/>
      <c r="DX2" s="36"/>
      <c r="DY2" s="36"/>
      <c r="DZ2" s="36"/>
      <c r="EA2" s="36"/>
      <c r="EB2" s="36"/>
      <c r="EC2" s="36"/>
      <c r="ED2" s="36"/>
      <c r="EE2" s="36"/>
      <c r="EF2" s="36"/>
      <c r="EG2" s="36"/>
      <c r="EH2" s="36"/>
      <c r="EI2" s="36"/>
      <c r="EJ2" s="36"/>
      <c r="EK2" s="36"/>
      <c r="EL2" s="36"/>
      <c r="EM2" s="35" t="s">
        <v>158</v>
      </c>
      <c r="EN2" s="35" t="s">
        <v>159</v>
      </c>
      <c r="EO2" s="35" t="s">
        <v>160</v>
      </c>
      <c r="EP2" s="35" t="s">
        <v>158</v>
      </c>
      <c r="EQ2" s="35" t="s">
        <v>159</v>
      </c>
      <c r="ER2" s="35" t="s">
        <v>160</v>
      </c>
      <c r="ES2" s="35" t="s">
        <v>158</v>
      </c>
      <c r="ET2" s="35" t="s">
        <v>159</v>
      </c>
      <c r="EU2" s="35" t="s">
        <v>160</v>
      </c>
      <c r="EV2" s="35" t="s">
        <v>158</v>
      </c>
      <c r="EW2" s="35" t="s">
        <v>159</v>
      </c>
      <c r="EX2" s="36"/>
    </row>
    <row r="3" spans="1:154">
      <c r="A3" s="2">
        <v>1</v>
      </c>
      <c r="B3" s="2" t="s">
        <v>65</v>
      </c>
      <c r="C3" s="37" t="s">
        <v>161</v>
      </c>
      <c r="D3" s="2" t="s">
        <v>232</v>
      </c>
      <c r="E3" s="20">
        <v>878701123</v>
      </c>
      <c r="F3" s="20">
        <v>43126215</v>
      </c>
      <c r="G3" s="96">
        <f>E3/F3</f>
        <v>20.3751041680797</v>
      </c>
      <c r="H3" s="20">
        <v>1212874494</v>
      </c>
      <c r="I3" s="20">
        <v>32153458</v>
      </c>
      <c r="J3" s="96">
        <f>H3/I3</f>
        <v>37.7214324505937</v>
      </c>
      <c r="K3" s="20">
        <v>740363756</v>
      </c>
      <c r="L3" s="20">
        <v>15361715</v>
      </c>
      <c r="M3" s="96">
        <f>K3/L3</f>
        <v>48.1953841742279</v>
      </c>
      <c r="N3" s="20">
        <v>836078476</v>
      </c>
      <c r="O3" s="20">
        <v>26120797</v>
      </c>
      <c r="P3" s="96">
        <f>N3/O3</f>
        <v>32.0081533499916</v>
      </c>
      <c r="Q3" s="20">
        <v>474046000</v>
      </c>
      <c r="R3" s="20">
        <v>13316090</v>
      </c>
      <c r="S3" s="96">
        <f>Q3/R3</f>
        <v>35.5994890391999</v>
      </c>
      <c r="T3" s="20">
        <v>691154544</v>
      </c>
      <c r="U3" s="20">
        <v>18682856</v>
      </c>
      <c r="V3" s="96">
        <f>T3/U3</f>
        <v>36.9940518730113</v>
      </c>
      <c r="W3" s="20">
        <v>442674530</v>
      </c>
      <c r="X3" s="20">
        <v>16566250</v>
      </c>
      <c r="Y3" s="96">
        <f>W3/X3</f>
        <v>26.7214686486079</v>
      </c>
      <c r="Z3" s="20">
        <v>65310431</v>
      </c>
      <c r="AA3" s="20">
        <v>11959537</v>
      </c>
      <c r="AB3" s="38">
        <f>Z3/AA3</f>
        <v>5.46094978426004</v>
      </c>
      <c r="AC3" s="20">
        <v>131726807</v>
      </c>
      <c r="AD3" s="20">
        <v>13448713</v>
      </c>
      <c r="AE3" s="38">
        <f>AC3/AD3</f>
        <v>9.79475188443682</v>
      </c>
      <c r="AF3" s="20">
        <v>216090214</v>
      </c>
      <c r="AG3" s="20">
        <v>14190000</v>
      </c>
      <c r="AH3" s="38">
        <f>AF3/AG3</f>
        <v>15.2283448907681</v>
      </c>
      <c r="AI3" s="20">
        <v>-448665262</v>
      </c>
      <c r="AJ3" s="20">
        <v>17394400</v>
      </c>
      <c r="AK3" s="39">
        <f>AI3/AJ3</f>
        <v>-25.7936612932898</v>
      </c>
      <c r="AL3" s="20">
        <v>254017209</v>
      </c>
      <c r="AM3" s="20">
        <v>13977642</v>
      </c>
      <c r="AN3" s="38">
        <f>AL3/AM3</f>
        <v>18.1731088119155</v>
      </c>
      <c r="AO3" s="20">
        <v>138224145</v>
      </c>
      <c r="AP3" s="20">
        <v>11062862</v>
      </c>
      <c r="AQ3" s="38">
        <f>AO3/AP3</f>
        <v>12.4944291088509</v>
      </c>
      <c r="AR3" s="20">
        <v>235872006</v>
      </c>
      <c r="AS3" s="20">
        <v>6189000</v>
      </c>
      <c r="AT3" s="96">
        <f>AR3/AS3</f>
        <v>38.1114890935531</v>
      </c>
      <c r="AU3" s="20">
        <v>314473722</v>
      </c>
      <c r="AV3" s="20">
        <v>9825000</v>
      </c>
      <c r="AW3" s="96">
        <f>AU3/AV3</f>
        <v>32.0075035114504</v>
      </c>
      <c r="AX3" s="20">
        <v>239705800</v>
      </c>
      <c r="AY3" s="20">
        <v>7839244</v>
      </c>
      <c r="AZ3" s="96">
        <f>AX3/AY3</f>
        <v>30.577667948593</v>
      </c>
      <c r="BA3" s="20">
        <v>209277983</v>
      </c>
      <c r="BB3" s="20">
        <v>7330462</v>
      </c>
      <c r="BC3" s="96">
        <f>BA3/BB3</f>
        <v>28.549085037205</v>
      </c>
      <c r="BD3" s="20">
        <v>103196039</v>
      </c>
      <c r="BE3" s="20">
        <v>10340644</v>
      </c>
      <c r="BF3" s="38">
        <f>BD3/BE3</f>
        <v>9.97965300807184</v>
      </c>
      <c r="BG3" s="20">
        <v>-57948682</v>
      </c>
      <c r="BH3" s="20">
        <v>6283573</v>
      </c>
      <c r="BI3" s="219">
        <f>BG3/BH3</f>
        <v>-9.22225014334997</v>
      </c>
      <c r="BJ3" s="20">
        <v>80331085</v>
      </c>
      <c r="BK3" s="20">
        <v>7008583</v>
      </c>
      <c r="BL3" s="38">
        <f>BJ3/BK3</f>
        <v>11.461815462555</v>
      </c>
      <c r="BM3" s="20">
        <v>96778145</v>
      </c>
      <c r="BN3" s="20">
        <v>7450403</v>
      </c>
      <c r="BO3" s="38">
        <f>BM3/BN3</f>
        <v>12.9896523718247</v>
      </c>
      <c r="BP3" s="20">
        <v>93755043</v>
      </c>
      <c r="BQ3" s="20">
        <v>4974159</v>
      </c>
      <c r="BR3" s="38">
        <f>BP3/BQ3</f>
        <v>18.8484210094611</v>
      </c>
      <c r="BS3" s="20">
        <v>84998000</v>
      </c>
      <c r="BT3" s="20">
        <v>6290515</v>
      </c>
      <c r="BU3" s="38">
        <f>BS3/BT3</f>
        <v>13.5120892327576</v>
      </c>
      <c r="BV3" s="20">
        <v>63841571</v>
      </c>
      <c r="BW3" s="20">
        <v>7214491</v>
      </c>
      <c r="BX3" s="38">
        <f>BV3/BW3</f>
        <v>8.84907486889928</v>
      </c>
      <c r="BY3" s="20">
        <v>52431294</v>
      </c>
      <c r="BZ3" s="20">
        <v>2468657</v>
      </c>
      <c r="CA3" s="38">
        <f>BY3/BZ3</f>
        <v>21.2387925904652</v>
      </c>
      <c r="CB3" s="20">
        <v>114529910</v>
      </c>
      <c r="CC3" s="20">
        <v>3699235</v>
      </c>
      <c r="CD3" s="96">
        <f>CB3/CC3</f>
        <v>30.9604310080327</v>
      </c>
      <c r="CE3" s="20">
        <v>84147308</v>
      </c>
      <c r="CF3" s="20">
        <v>2175625</v>
      </c>
      <c r="CG3" s="96">
        <f>CE3/CF3</f>
        <v>38.6773033036484</v>
      </c>
      <c r="CH3" s="20">
        <v>-10099622</v>
      </c>
      <c r="CI3" s="20">
        <v>2913375</v>
      </c>
      <c r="CJ3" s="96">
        <f>CH3/CI3</f>
        <v>-3.4666398935942</v>
      </c>
      <c r="CK3" s="20">
        <v>117478000</v>
      </c>
      <c r="CL3" s="20">
        <v>2664240</v>
      </c>
      <c r="CM3" s="96">
        <f>CK3/CL3</f>
        <v>44.0943758820527</v>
      </c>
      <c r="CN3" s="20">
        <v>19600136</v>
      </c>
      <c r="CO3" s="20">
        <v>4416621</v>
      </c>
      <c r="CP3" s="96">
        <f>CN3/CO3</f>
        <v>4.43781252681632</v>
      </c>
      <c r="CQ3" s="20">
        <v>44711000</v>
      </c>
      <c r="CR3" s="20">
        <v>783432</v>
      </c>
      <c r="CS3" s="96">
        <f>CQ3/CR3</f>
        <v>57.0706838627986</v>
      </c>
      <c r="CT3" s="20">
        <v>108315081</v>
      </c>
      <c r="CU3" s="20">
        <v>4076923</v>
      </c>
      <c r="CV3" s="96">
        <f>CT3/CU3</f>
        <v>26.567850557884</v>
      </c>
      <c r="CW3" s="20">
        <v>53727146</v>
      </c>
      <c r="CX3" s="20">
        <v>4857600</v>
      </c>
      <c r="CY3" s="96">
        <f>CW3/CX3</f>
        <v>11.0604302536232</v>
      </c>
      <c r="CZ3" s="20">
        <v>94418607</v>
      </c>
      <c r="DA3" s="20">
        <v>3671434</v>
      </c>
      <c r="DB3" s="96">
        <f>CZ3/DA3</f>
        <v>25.7170922860114</v>
      </c>
      <c r="DC3" s="20">
        <v>34245000</v>
      </c>
      <c r="DD3" s="20">
        <v>1061480</v>
      </c>
      <c r="DE3" s="96">
        <f>DC3/DD3</f>
        <v>32.2615593322531</v>
      </c>
      <c r="DF3" s="20">
        <v>84153010</v>
      </c>
      <c r="DG3" s="20">
        <v>2239331</v>
      </c>
      <c r="DH3" s="96">
        <f>DF3/DG3</f>
        <v>37.5795315654541</v>
      </c>
      <c r="DI3" s="20">
        <v>40528411</v>
      </c>
      <c r="DJ3" s="20">
        <v>1485750</v>
      </c>
      <c r="DK3" s="96">
        <f>DI3/DJ3</f>
        <v>27.2780824499411</v>
      </c>
      <c r="DL3" s="20">
        <v>91773292</v>
      </c>
      <c r="DM3" s="20">
        <v>3198182</v>
      </c>
      <c r="DN3" s="96">
        <f>DL3/DM3</f>
        <v>28.6954563561423</v>
      </c>
      <c r="DO3" s="20">
        <v>51198600</v>
      </c>
      <c r="DP3" s="20">
        <v>1224434</v>
      </c>
      <c r="DQ3" s="96">
        <f>DO3/DP3</f>
        <v>41.8140953289438</v>
      </c>
      <c r="DR3" s="20">
        <v>72350985</v>
      </c>
      <c r="DS3" s="20">
        <v>1534455</v>
      </c>
      <c r="DT3" s="96">
        <f>DR3/DS3</f>
        <v>47.1509330674409</v>
      </c>
      <c r="DU3" s="20">
        <v>39583450</v>
      </c>
      <c r="DV3" s="20">
        <v>1158495</v>
      </c>
      <c r="DW3" s="96">
        <f>DU3/DV3</f>
        <v>34.1679938195676</v>
      </c>
      <c r="DX3" s="20">
        <v>66050203</v>
      </c>
      <c r="DY3" s="20">
        <v>2500000</v>
      </c>
      <c r="DZ3" s="96">
        <f>DX3/DY3</f>
        <v>26.4200812</v>
      </c>
      <c r="EA3" s="20">
        <v>3988214</v>
      </c>
      <c r="EB3" s="20">
        <v>1708050</v>
      </c>
      <c r="EC3" s="96">
        <f>EA3/EB3</f>
        <v>2.33495155294049</v>
      </c>
      <c r="ED3" s="20">
        <v>42503094</v>
      </c>
      <c r="EE3" s="20">
        <v>1515545</v>
      </c>
      <c r="EF3" s="96">
        <f>ED3/EE3</f>
        <v>28.0447588161354</v>
      </c>
      <c r="EG3" s="20">
        <v>14650470</v>
      </c>
      <c r="EH3" s="20">
        <v>1700919</v>
      </c>
      <c r="EI3" s="96">
        <f>EG3/EH3</f>
        <v>8.61326729844278</v>
      </c>
      <c r="EJ3" s="20">
        <v>45085740</v>
      </c>
      <c r="EK3" s="20">
        <v>1093750</v>
      </c>
      <c r="EL3" s="96">
        <f>EJ3/EK3</f>
        <v>41.221248</v>
      </c>
      <c r="EM3" s="20">
        <v>9697737</v>
      </c>
      <c r="EN3" s="20">
        <v>843405</v>
      </c>
      <c r="EO3" s="96">
        <f>EM3/EN3</f>
        <v>11.4983157557757</v>
      </c>
      <c r="EP3" s="20">
        <v>13034566</v>
      </c>
      <c r="EQ3" s="20">
        <v>1093750</v>
      </c>
      <c r="ER3" s="96">
        <f>EP3/EQ3</f>
        <v>11.9173174857143</v>
      </c>
      <c r="ES3" s="20">
        <v>15208423</v>
      </c>
      <c r="ET3" s="20">
        <v>1331000</v>
      </c>
      <c r="EU3" s="96">
        <f>ES3/ET3</f>
        <v>11.426313298272</v>
      </c>
      <c r="EV3" s="20">
        <v>14190940</v>
      </c>
      <c r="EW3" s="20">
        <v>228500</v>
      </c>
      <c r="EX3" s="96">
        <f>EV3/EW3</f>
        <v>62.1047702407002</v>
      </c>
    </row>
    <row r="4" ht="6.5" customHeight="1" spans="1:154">
      <c r="A4" s="2"/>
      <c r="B4" s="2"/>
      <c r="C4" s="2" t="s">
        <v>163</v>
      </c>
      <c r="D4" s="2"/>
      <c r="E4" s="20"/>
      <c r="F4" s="20"/>
      <c r="G4" s="96"/>
      <c r="H4" s="20"/>
      <c r="I4" s="20"/>
      <c r="J4" s="96"/>
      <c r="K4" s="20"/>
      <c r="L4" s="20"/>
      <c r="M4" s="96"/>
      <c r="N4" s="20"/>
      <c r="O4" s="20"/>
      <c r="P4" s="96"/>
      <c r="Q4" s="20"/>
      <c r="R4" s="20"/>
      <c r="S4" s="96"/>
      <c r="T4" s="20"/>
      <c r="U4" s="20"/>
      <c r="V4" s="96"/>
      <c r="W4" s="20"/>
      <c r="X4" s="20"/>
      <c r="Y4" s="96"/>
      <c r="Z4" s="20"/>
      <c r="AA4" s="20"/>
      <c r="AB4" s="38"/>
      <c r="AC4" s="20"/>
      <c r="AD4" s="20"/>
      <c r="AE4" s="38"/>
      <c r="AF4" s="20"/>
      <c r="AG4" s="20"/>
      <c r="AH4" s="38"/>
      <c r="AI4" s="20"/>
      <c r="AJ4" s="20"/>
      <c r="AK4" s="39"/>
      <c r="AL4" s="20"/>
      <c r="AM4" s="20"/>
      <c r="AN4" s="38"/>
      <c r="AO4" s="20"/>
      <c r="AP4" s="20"/>
      <c r="AQ4" s="38"/>
      <c r="AR4" s="20"/>
      <c r="AS4" s="20"/>
      <c r="AT4" s="96"/>
      <c r="AU4" s="20"/>
      <c r="AV4" s="20"/>
      <c r="AW4" s="96"/>
      <c r="AX4" s="20"/>
      <c r="AY4" s="20"/>
      <c r="AZ4" s="96"/>
      <c r="BA4" s="20"/>
      <c r="BB4" s="20"/>
      <c r="BC4" s="96"/>
      <c r="BD4" s="20"/>
      <c r="BE4" s="20"/>
      <c r="BF4" s="38"/>
      <c r="BG4" s="20"/>
      <c r="BH4" s="20"/>
      <c r="BI4" s="219"/>
      <c r="BJ4" s="20"/>
      <c r="BK4" s="20"/>
      <c r="BL4" s="38"/>
      <c r="BM4" s="20"/>
      <c r="BN4" s="20"/>
      <c r="BO4" s="38"/>
      <c r="BP4" s="20"/>
      <c r="BQ4" s="20"/>
      <c r="BR4" s="38"/>
      <c r="BS4" s="20"/>
      <c r="BT4" s="20"/>
      <c r="BU4" s="38"/>
      <c r="BV4" s="20"/>
      <c r="BW4" s="20"/>
      <c r="BX4" s="38"/>
      <c r="BY4" s="20"/>
      <c r="BZ4" s="20"/>
      <c r="CA4" s="38"/>
      <c r="CB4" s="20"/>
      <c r="CC4" s="20"/>
      <c r="CD4" s="96"/>
      <c r="CE4" s="20"/>
      <c r="CF4" s="20"/>
      <c r="CG4" s="96"/>
      <c r="CH4" s="20"/>
      <c r="CI4" s="20"/>
      <c r="CJ4" s="96"/>
      <c r="CK4" s="20"/>
      <c r="CL4" s="20"/>
      <c r="CM4" s="96"/>
      <c r="CN4" s="20"/>
      <c r="CO4" s="20"/>
      <c r="CP4" s="96"/>
      <c r="CQ4" s="20"/>
      <c r="CR4" s="20"/>
      <c r="CS4" s="96"/>
      <c r="CT4" s="20"/>
      <c r="CU4" s="20"/>
      <c r="CV4" s="96"/>
      <c r="CW4" s="20"/>
      <c r="CX4" s="20"/>
      <c r="CY4" s="96"/>
      <c r="CZ4" s="20"/>
      <c r="DA4" s="20"/>
      <c r="DB4" s="96"/>
      <c r="DC4" s="20"/>
      <c r="DD4" s="20"/>
      <c r="DE4" s="96"/>
      <c r="DF4" s="20"/>
      <c r="DG4" s="20"/>
      <c r="DH4" s="96"/>
      <c r="DI4" s="20"/>
      <c r="DJ4" s="20"/>
      <c r="DK4" s="96"/>
      <c r="DL4" s="20"/>
      <c r="DM4" s="20"/>
      <c r="DN4" s="96"/>
      <c r="DO4" s="20"/>
      <c r="DP4" s="20"/>
      <c r="DQ4" s="96"/>
      <c r="DR4" s="20"/>
      <c r="DS4" s="20"/>
      <c r="DT4" s="96"/>
      <c r="DU4" s="20"/>
      <c r="DV4" s="20"/>
      <c r="DW4" s="96"/>
      <c r="DX4" s="20"/>
      <c r="DY4" s="20"/>
      <c r="DZ4" s="96"/>
      <c r="EA4" s="20"/>
      <c r="EB4" s="20"/>
      <c r="EC4" s="96"/>
      <c r="ED4" s="20"/>
      <c r="EE4" s="20"/>
      <c r="EF4" s="96"/>
      <c r="EG4" s="20"/>
      <c r="EH4" s="20"/>
      <c r="EI4" s="96"/>
      <c r="EJ4" s="20"/>
      <c r="EK4" s="20"/>
      <c r="EL4" s="96"/>
      <c r="EM4" s="20"/>
      <c r="EN4" s="20"/>
      <c r="EO4" s="96"/>
      <c r="EP4" s="20"/>
      <c r="EQ4" s="20"/>
      <c r="ER4" s="96"/>
      <c r="ES4" s="20"/>
      <c r="ET4" s="20"/>
      <c r="EU4" s="96"/>
      <c r="EV4" s="20"/>
      <c r="EW4" s="20"/>
      <c r="EX4" s="96"/>
    </row>
    <row r="5" hidden="1" spans="1:154">
      <c r="A5" s="2"/>
      <c r="D5" s="2"/>
      <c r="E5" s="78"/>
      <c r="F5" s="20"/>
      <c r="G5" s="38"/>
      <c r="H5" s="78"/>
      <c r="I5" s="20"/>
      <c r="J5" s="38"/>
      <c r="K5" s="78" t="s">
        <v>614</v>
      </c>
      <c r="L5" s="20"/>
      <c r="M5" s="38"/>
      <c r="N5" s="78"/>
      <c r="O5" s="20"/>
      <c r="P5" s="38"/>
      <c r="Q5" s="78"/>
      <c r="R5" s="20"/>
      <c r="S5" s="38"/>
      <c r="T5" s="78"/>
      <c r="U5" s="20"/>
      <c r="V5" s="38"/>
      <c r="W5" s="78"/>
      <c r="X5" s="20"/>
      <c r="Y5" s="38"/>
      <c r="Z5" s="78"/>
      <c r="AA5" s="20"/>
      <c r="AB5" s="38"/>
      <c r="AC5" s="78"/>
      <c r="AD5" s="20"/>
      <c r="AE5" s="38"/>
      <c r="AF5" s="78"/>
      <c r="AG5" s="20"/>
      <c r="AH5" s="38"/>
      <c r="AI5" s="78"/>
      <c r="AJ5" s="20"/>
      <c r="AK5" s="38"/>
      <c r="AL5" s="78"/>
      <c r="AM5" s="20"/>
      <c r="AN5" s="38"/>
      <c r="AO5" s="78"/>
      <c r="AP5" s="20"/>
      <c r="AQ5" s="38"/>
      <c r="AR5" s="78"/>
      <c r="AS5" s="20"/>
      <c r="AT5" s="38"/>
      <c r="AU5" s="78"/>
      <c r="AV5" s="20"/>
      <c r="AW5" s="38"/>
      <c r="AX5" s="78"/>
      <c r="AY5" s="20"/>
      <c r="AZ5" s="38"/>
      <c r="BA5" s="78"/>
      <c r="BB5" s="20"/>
      <c r="BC5" s="38"/>
      <c r="BD5" s="78"/>
      <c r="BE5" s="20"/>
      <c r="BF5" s="38"/>
      <c r="BG5" s="78" t="s">
        <v>402</v>
      </c>
      <c r="BH5" s="20"/>
      <c r="BI5" s="38"/>
      <c r="BJ5" s="78" t="s">
        <v>615</v>
      </c>
      <c r="BK5" s="20"/>
      <c r="BL5" s="38"/>
      <c r="BM5" s="78"/>
      <c r="BN5" s="20"/>
      <c r="BO5" s="38"/>
      <c r="BP5" s="78"/>
      <c r="BQ5" s="20"/>
      <c r="BR5" s="38"/>
      <c r="BS5" s="78"/>
      <c r="BT5" s="20"/>
      <c r="BU5" s="38"/>
      <c r="BV5" s="78"/>
      <c r="BW5" s="20"/>
      <c r="BX5" s="38"/>
      <c r="BY5" s="78" t="s">
        <v>544</v>
      </c>
      <c r="BZ5" s="20"/>
      <c r="CA5" s="38"/>
      <c r="CB5" s="78"/>
      <c r="CC5" s="20"/>
      <c r="CD5" s="38"/>
      <c r="CE5" s="78"/>
      <c r="CF5" s="20"/>
      <c r="CG5" s="38"/>
      <c r="CH5" s="78"/>
      <c r="CI5" s="20"/>
      <c r="CJ5" s="38"/>
      <c r="CK5" s="78"/>
      <c r="CL5" s="20"/>
      <c r="CM5" s="38"/>
      <c r="CN5" s="78" t="s">
        <v>616</v>
      </c>
      <c r="CO5" s="20"/>
      <c r="CP5" s="38"/>
      <c r="CQ5" s="78"/>
      <c r="CR5" s="20"/>
      <c r="CS5" s="38"/>
      <c r="CT5" s="78"/>
      <c r="CU5" s="20"/>
      <c r="CV5" s="38"/>
      <c r="CW5" s="220" t="s">
        <v>544</v>
      </c>
      <c r="CX5" s="20"/>
      <c r="CY5" s="38"/>
      <c r="CZ5" s="20"/>
      <c r="DA5" s="20"/>
      <c r="DB5" s="38"/>
      <c r="DC5" s="20"/>
      <c r="DD5" s="20"/>
      <c r="DE5" s="38"/>
      <c r="DF5" s="20"/>
      <c r="DG5" s="20"/>
      <c r="DH5" s="38"/>
      <c r="DI5" s="20"/>
      <c r="DJ5" s="20"/>
      <c r="DK5" s="38"/>
      <c r="DL5" s="20"/>
      <c r="DM5" s="20"/>
      <c r="DN5" s="38"/>
      <c r="DO5" s="20"/>
      <c r="DP5" s="20"/>
      <c r="DQ5" s="38"/>
      <c r="DR5" s="20"/>
      <c r="DS5" s="20"/>
      <c r="DT5" s="38"/>
      <c r="DU5" s="20"/>
      <c r="DV5" s="20"/>
      <c r="DW5" s="38"/>
      <c r="DX5" s="221" t="s">
        <v>545</v>
      </c>
      <c r="DY5" s="221" t="s">
        <v>617</v>
      </c>
      <c r="DZ5" s="38"/>
      <c r="EA5" s="221" t="s">
        <v>545</v>
      </c>
      <c r="EB5" s="20"/>
      <c r="EC5" s="38"/>
      <c r="ED5" s="52"/>
      <c r="EE5" s="20"/>
      <c r="EF5" s="38"/>
      <c r="EG5" s="52"/>
      <c r="EH5" s="20"/>
      <c r="EI5" s="38"/>
      <c r="EJ5" s="52"/>
      <c r="EK5" s="20"/>
      <c r="EL5" s="38"/>
      <c r="EM5" s="52"/>
      <c r="EN5" s="20"/>
      <c r="EO5" s="38"/>
      <c r="EP5" s="221" t="s">
        <v>545</v>
      </c>
      <c r="EQ5" s="20"/>
      <c r="ER5" s="38"/>
      <c r="ES5" s="221" t="s">
        <v>545</v>
      </c>
      <c r="ET5" s="20"/>
      <c r="EU5" s="38"/>
      <c r="EV5" s="20"/>
      <c r="EW5" s="20"/>
      <c r="EX5" s="38"/>
    </row>
    <row r="6" spans="1:154">
      <c r="A6" s="2">
        <v>2</v>
      </c>
      <c r="B6" s="41" t="s">
        <v>166</v>
      </c>
      <c r="C6" s="37" t="s">
        <v>167</v>
      </c>
      <c r="D6" s="2" t="s">
        <v>627</v>
      </c>
      <c r="E6" s="20">
        <v>878</v>
      </c>
      <c r="F6" s="42">
        <f>G3</f>
        <v>20.3751041680797</v>
      </c>
      <c r="G6" s="38">
        <f>E6/F6</f>
        <v>43.0918042311413</v>
      </c>
      <c r="H6" s="20">
        <v>1048</v>
      </c>
      <c r="I6" s="42">
        <f>J3</f>
        <v>37.7214324505937</v>
      </c>
      <c r="J6" s="96">
        <f>H6/I6</f>
        <v>27.7826140715265</v>
      </c>
      <c r="K6" s="20">
        <v>1465</v>
      </c>
      <c r="L6" s="42">
        <f>M3</f>
        <v>48.1953841742279</v>
      </c>
      <c r="M6" s="96">
        <f>K6/L6</f>
        <v>30.397101820041</v>
      </c>
      <c r="N6" s="20">
        <v>790</v>
      </c>
      <c r="O6" s="42">
        <f>P3</f>
        <v>32.0081533499916</v>
      </c>
      <c r="P6" s="96">
        <f>N6/O6</f>
        <v>24.6812114201586</v>
      </c>
      <c r="Q6" s="20">
        <v>1305</v>
      </c>
      <c r="R6" s="42">
        <f>S3</f>
        <v>35.5994890391999</v>
      </c>
      <c r="S6" s="38">
        <f>Q6/R6</f>
        <v>36.6578295144353</v>
      </c>
      <c r="T6" s="20">
        <v>894</v>
      </c>
      <c r="U6" s="42">
        <f>V3</f>
        <v>36.9940518730113</v>
      </c>
      <c r="V6" s="96">
        <f>T6/U6</f>
        <v>24.1660471004586</v>
      </c>
      <c r="W6" s="20">
        <v>894</v>
      </c>
      <c r="X6" s="42">
        <f>Y3</f>
        <v>26.7214686486079</v>
      </c>
      <c r="Y6" s="96">
        <f>W6/X6</f>
        <v>33.456244930107</v>
      </c>
      <c r="Z6" s="20">
        <v>1136</v>
      </c>
      <c r="AA6" s="42">
        <f>AB3</f>
        <v>5.46094978426004</v>
      </c>
      <c r="AB6" s="49">
        <f>Z6/AA6</f>
        <v>208.022421900722</v>
      </c>
      <c r="AC6" s="20">
        <v>870</v>
      </c>
      <c r="AD6" s="42">
        <f>AE3</f>
        <v>9.79475188443682</v>
      </c>
      <c r="AE6" s="38">
        <f>AC6/AD6</f>
        <v>88.8230769155439</v>
      </c>
      <c r="AF6" s="20">
        <v>846</v>
      </c>
      <c r="AG6" s="42">
        <f>AH3</f>
        <v>15.2283448907681</v>
      </c>
      <c r="AH6" s="38">
        <f>AF6/AG6</f>
        <v>55.5542973362042</v>
      </c>
      <c r="AI6" s="20">
        <v>617</v>
      </c>
      <c r="AJ6" s="42">
        <f>AK3</f>
        <v>-25.7936612932898</v>
      </c>
      <c r="AK6" s="39">
        <f>AI6/AJ6</f>
        <v>-23.9206056474236</v>
      </c>
      <c r="AL6" s="20">
        <v>684</v>
      </c>
      <c r="AM6" s="42">
        <f>AN3</f>
        <v>18.1731088119155</v>
      </c>
      <c r="AN6" s="38">
        <f>AL6/AM6</f>
        <v>37.638029193526</v>
      </c>
      <c r="AO6" s="20">
        <v>741</v>
      </c>
      <c r="AP6" s="42">
        <f>AQ3</f>
        <v>12.4944291088509</v>
      </c>
      <c r="AQ6" s="38">
        <f>AO6/AP6</f>
        <v>59.3064311738011</v>
      </c>
      <c r="AR6" s="20">
        <v>1301</v>
      </c>
      <c r="AS6" s="42">
        <f>AT3</f>
        <v>38.1114890935531</v>
      </c>
      <c r="AT6" s="96">
        <f>AR6/AS6</f>
        <v>34.1366876745857</v>
      </c>
      <c r="AU6" s="20">
        <v>786</v>
      </c>
      <c r="AV6" s="42">
        <f>AW3</f>
        <v>32.0075035114504</v>
      </c>
      <c r="AW6" s="96">
        <f>AU6/AV6</f>
        <v>24.5567418189555</v>
      </c>
      <c r="AX6" s="20">
        <v>952</v>
      </c>
      <c r="AY6" s="42">
        <f>AZ3</f>
        <v>30.577667948593</v>
      </c>
      <c r="AZ6" s="96">
        <f>AX6/AY6</f>
        <v>31.1338327566542</v>
      </c>
      <c r="BA6" s="20">
        <v>983</v>
      </c>
      <c r="BB6" s="42">
        <f>BC3</f>
        <v>28.549085037205</v>
      </c>
      <c r="BC6" s="96">
        <f>BA6/BB6</f>
        <v>34.4319265825493</v>
      </c>
      <c r="BD6" s="20">
        <v>686</v>
      </c>
      <c r="BE6" s="42">
        <f>BF3</f>
        <v>9.97965300807184</v>
      </c>
      <c r="BF6" s="38">
        <f>BD6/BE6</f>
        <v>68.7398649477234</v>
      </c>
      <c r="BG6" s="20">
        <v>1138</v>
      </c>
      <c r="BH6" s="42">
        <f>BI3</f>
        <v>-9.22225014334997</v>
      </c>
      <c r="BI6" s="219">
        <f>BG6/BH6</f>
        <v>-123.397216764999</v>
      </c>
      <c r="BJ6" s="20">
        <v>918</v>
      </c>
      <c r="BK6" s="42">
        <f>BL3</f>
        <v>11.461815462555</v>
      </c>
      <c r="BL6" s="38">
        <f>BJ6/BK6</f>
        <v>80.0920240776033</v>
      </c>
      <c r="BM6" s="20">
        <v>826</v>
      </c>
      <c r="BN6" s="42">
        <f>BO3</f>
        <v>12.9896523718247</v>
      </c>
      <c r="BO6" s="38">
        <f>BM6/BN6</f>
        <v>63.5890766246863</v>
      </c>
      <c r="BP6" s="20">
        <v>1219</v>
      </c>
      <c r="BQ6" s="42">
        <f>BR3</f>
        <v>18.8484210094611</v>
      </c>
      <c r="BR6" s="38">
        <f>BP6/BQ6</f>
        <v>64.673852488127</v>
      </c>
      <c r="BS6" s="20">
        <v>923</v>
      </c>
      <c r="BT6" s="42">
        <f>BU3</f>
        <v>13.5120892327576</v>
      </c>
      <c r="BU6" s="38">
        <f>BS6/BT6</f>
        <v>68.3091995694016</v>
      </c>
      <c r="BV6" s="20">
        <v>712</v>
      </c>
      <c r="BW6" s="42">
        <f>BX3</f>
        <v>8.84907486889928</v>
      </c>
      <c r="BX6" s="38">
        <f>BV6/BW6</f>
        <v>80.4603882946427</v>
      </c>
      <c r="BY6" s="20">
        <v>2165</v>
      </c>
      <c r="BZ6" s="42">
        <f>CA3</f>
        <v>21.2387925904652</v>
      </c>
      <c r="CA6" s="38">
        <f>BY6/BZ6</f>
        <v>101.936114813417</v>
      </c>
      <c r="CB6" s="20">
        <v>1527</v>
      </c>
      <c r="CC6" s="42">
        <f>CD3</f>
        <v>30.9604310080327</v>
      </c>
      <c r="CD6" s="38">
        <f>CB6/CC6</f>
        <v>49.3210188063537</v>
      </c>
      <c r="CE6" s="20">
        <v>2194</v>
      </c>
      <c r="CF6" s="42">
        <f>CG3</f>
        <v>38.6773033036484</v>
      </c>
      <c r="CG6" s="38">
        <f>CE6/CF6</f>
        <v>56.7257748756502</v>
      </c>
      <c r="CH6" s="20">
        <v>1605</v>
      </c>
      <c r="CI6" s="42">
        <f>CJ3</f>
        <v>-3.4666398935942</v>
      </c>
      <c r="CJ6" s="39">
        <f>CH6/CI6</f>
        <v>-462.984344859639</v>
      </c>
      <c r="CK6" s="20">
        <v>1738</v>
      </c>
      <c r="CL6" s="42">
        <f>CM3</f>
        <v>44.0943758820527</v>
      </c>
      <c r="CM6" s="38">
        <f>CK6/CL6</f>
        <v>39.4154575324742</v>
      </c>
      <c r="CN6" s="20">
        <v>1063</v>
      </c>
      <c r="CO6" s="42">
        <f>CP3</f>
        <v>4.43781252681632</v>
      </c>
      <c r="CP6" s="49">
        <f>CN6/CO6</f>
        <v>239.532425846433</v>
      </c>
      <c r="CQ6" s="20">
        <v>5833</v>
      </c>
      <c r="CR6" s="42">
        <f>CS3</f>
        <v>57.0706838627986</v>
      </c>
      <c r="CS6" s="38">
        <f>CQ6/CR6</f>
        <v>102.206590235065</v>
      </c>
      <c r="CT6" s="20">
        <v>1077</v>
      </c>
      <c r="CU6" s="42">
        <f>CV3</f>
        <v>26.567850557884</v>
      </c>
      <c r="CV6" s="38">
        <f>CT6/CU6</f>
        <v>40.5377167284766</v>
      </c>
      <c r="CW6" s="20">
        <v>849</v>
      </c>
      <c r="CX6" s="42">
        <f>CY3</f>
        <v>11.0604302536232</v>
      </c>
      <c r="CY6" s="38">
        <f>CW6/CX6</f>
        <v>76.7601242023911</v>
      </c>
      <c r="CZ6" s="20">
        <v>1070</v>
      </c>
      <c r="DA6" s="42">
        <f>DB3</f>
        <v>25.7170922860114</v>
      </c>
      <c r="DB6" s="38">
        <f>CZ6/DA6</f>
        <v>41.6065699846641</v>
      </c>
      <c r="DC6" s="20">
        <v>3575</v>
      </c>
      <c r="DD6" s="42">
        <f>DE3</f>
        <v>32.2615593322531</v>
      </c>
      <c r="DE6" s="49">
        <f>DC6/DD6</f>
        <v>110.812994597751</v>
      </c>
      <c r="DF6" s="20">
        <v>2194</v>
      </c>
      <c r="DG6" s="42">
        <f>DH3</f>
        <v>37.5795315654541</v>
      </c>
      <c r="DH6" s="38">
        <f>DF6/DG6</f>
        <v>58.3828458898856</v>
      </c>
      <c r="DI6" s="20">
        <v>2175</v>
      </c>
      <c r="DJ6" s="42">
        <f>DK3</f>
        <v>27.2780824499411</v>
      </c>
      <c r="DK6" s="38">
        <f>DI6/DJ6</f>
        <v>79.7343436435245</v>
      </c>
      <c r="DL6" s="20">
        <v>988</v>
      </c>
      <c r="DM6" s="42">
        <f>DN3</f>
        <v>28.6954563561423</v>
      </c>
      <c r="DN6" s="38">
        <f>DL6/DM6</f>
        <v>34.4305379826628</v>
      </c>
      <c r="DO6" s="20">
        <v>2289</v>
      </c>
      <c r="DP6" s="42">
        <f>DQ3</f>
        <v>41.8140953289438</v>
      </c>
      <c r="DQ6" s="38">
        <f>DO6/DP6</f>
        <v>54.7423059614911</v>
      </c>
      <c r="DR6" s="20">
        <v>1790</v>
      </c>
      <c r="DS6" s="42">
        <f>DT3</f>
        <v>47.1509330674409</v>
      </c>
      <c r="DT6" s="38">
        <f>DR6/DS6</f>
        <v>37.9631935902462</v>
      </c>
      <c r="DU6" s="20">
        <v>2260</v>
      </c>
      <c r="DV6" s="42">
        <f>DW3</f>
        <v>34.1679938195676</v>
      </c>
      <c r="DW6" s="38">
        <f>DU6/DV6</f>
        <v>66.1437722078293</v>
      </c>
      <c r="DX6" s="222">
        <v>1023</v>
      </c>
      <c r="DY6" s="42">
        <f>DZ3</f>
        <v>26.4200812</v>
      </c>
      <c r="DZ6" s="38">
        <f>DX6/DY6</f>
        <v>38.7205471571374</v>
      </c>
      <c r="EA6" s="20">
        <v>1573</v>
      </c>
      <c r="EB6" s="42">
        <f>EC3</f>
        <v>2.33495155294049</v>
      </c>
      <c r="EC6" s="39">
        <f>EA6/EB6</f>
        <v>673.675647796232</v>
      </c>
      <c r="ED6" s="20">
        <v>1583</v>
      </c>
      <c r="EE6" s="42">
        <f>EF3</f>
        <v>28.0447588161354</v>
      </c>
      <c r="EF6" s="38">
        <f>ED6/EE6</f>
        <v>56.4454845334319</v>
      </c>
      <c r="EG6" s="20">
        <v>1263</v>
      </c>
      <c r="EH6" s="42">
        <f>EI3</f>
        <v>8.61326729844278</v>
      </c>
      <c r="EI6" s="43">
        <f>EG6/EH6</f>
        <v>146.634251119589</v>
      </c>
      <c r="EJ6" s="20">
        <v>1950</v>
      </c>
      <c r="EK6" s="42">
        <f>EL3</f>
        <v>41.221248</v>
      </c>
      <c r="EL6" s="38">
        <f>EJ6/EK6</f>
        <v>47.3057002058744</v>
      </c>
      <c r="EM6" s="20">
        <v>2180</v>
      </c>
      <c r="EN6" s="42">
        <f>EO3</f>
        <v>11.4983157557757</v>
      </c>
      <c r="EO6" s="49">
        <f>EM6/EN6</f>
        <v>189.592984425129</v>
      </c>
      <c r="EP6" s="20">
        <v>1585</v>
      </c>
      <c r="EQ6" s="42">
        <f>ER3</f>
        <v>11.9173174857143</v>
      </c>
      <c r="ER6" s="49">
        <f>EP6/EQ6</f>
        <v>132.999729335062</v>
      </c>
      <c r="ES6" s="20">
        <v>1500</v>
      </c>
      <c r="ET6" s="42">
        <f>EU3</f>
        <v>11.426313298272</v>
      </c>
      <c r="EU6" s="49">
        <f>ES6/ET6</f>
        <v>131.275938340221</v>
      </c>
      <c r="EV6" s="20">
        <v>2837</v>
      </c>
      <c r="EW6" s="42">
        <f>EX3</f>
        <v>62.1047702407002</v>
      </c>
      <c r="EX6" s="38">
        <f>EV6/EW6</f>
        <v>45.6808710346179</v>
      </c>
    </row>
    <row r="7" ht="4.5" customHeight="1" spans="1:154">
      <c r="A7" s="2"/>
      <c r="B7" s="41"/>
      <c r="C7" s="2" t="s">
        <v>169</v>
      </c>
      <c r="D7" s="2"/>
      <c r="E7" s="20"/>
      <c r="F7" s="42"/>
      <c r="G7" s="38"/>
      <c r="H7" s="20"/>
      <c r="I7" s="42"/>
      <c r="J7" s="96"/>
      <c r="K7" s="20"/>
      <c r="L7" s="42"/>
      <c r="M7" s="96"/>
      <c r="N7" s="20"/>
      <c r="O7" s="42"/>
      <c r="P7" s="96"/>
      <c r="Q7" s="20"/>
      <c r="R7" s="42"/>
      <c r="S7" s="38"/>
      <c r="T7" s="20"/>
      <c r="U7" s="42"/>
      <c r="V7" s="96"/>
      <c r="W7" s="20"/>
      <c r="X7" s="42"/>
      <c r="Y7" s="96"/>
      <c r="Z7" s="20"/>
      <c r="AA7" s="42"/>
      <c r="AB7" s="49"/>
      <c r="AC7" s="20"/>
      <c r="AD7" s="42"/>
      <c r="AE7" s="38"/>
      <c r="AF7" s="20"/>
      <c r="AG7" s="42"/>
      <c r="AH7" s="38"/>
      <c r="AI7" s="20"/>
      <c r="AJ7" s="42"/>
      <c r="AK7" s="39"/>
      <c r="AL7" s="20"/>
      <c r="AM7" s="42"/>
      <c r="AN7" s="38"/>
      <c r="AO7" s="20"/>
      <c r="AP7" s="42"/>
      <c r="AQ7" s="38"/>
      <c r="AR7" s="20"/>
      <c r="AS7" s="42"/>
      <c r="AT7" s="96"/>
      <c r="AU7" s="20"/>
      <c r="AV7" s="42"/>
      <c r="AW7" s="96"/>
      <c r="AX7" s="20"/>
      <c r="AY7" s="42"/>
      <c r="AZ7" s="96"/>
      <c r="BA7" s="20"/>
      <c r="BB7" s="42"/>
      <c r="BC7" s="96"/>
      <c r="BD7" s="20"/>
      <c r="BE7" s="42"/>
      <c r="BF7" s="38"/>
      <c r="BG7" s="20"/>
      <c r="BH7" s="42"/>
      <c r="BI7" s="219"/>
      <c r="BJ7" s="20"/>
      <c r="BK7" s="42"/>
      <c r="BL7" s="38"/>
      <c r="BM7" s="20"/>
      <c r="BN7" s="42"/>
      <c r="BO7" s="38"/>
      <c r="BP7" s="20"/>
      <c r="BQ7" s="42"/>
      <c r="BR7" s="38"/>
      <c r="BS7" s="20"/>
      <c r="BT7" s="42"/>
      <c r="BU7" s="38"/>
      <c r="BV7" s="20"/>
      <c r="BW7" s="42"/>
      <c r="BX7" s="38"/>
      <c r="BY7" s="20"/>
      <c r="BZ7" s="42"/>
      <c r="CA7" s="38"/>
      <c r="CB7" s="20"/>
      <c r="CC7" s="42"/>
      <c r="CD7" s="38"/>
      <c r="CE7" s="20"/>
      <c r="CF7" s="42"/>
      <c r="CG7" s="38"/>
      <c r="CH7" s="20"/>
      <c r="CI7" s="42"/>
      <c r="CJ7" s="39"/>
      <c r="CK7" s="20"/>
      <c r="CL7" s="42"/>
      <c r="CM7" s="38"/>
      <c r="CN7" s="20"/>
      <c r="CO7" s="42"/>
      <c r="CP7" s="49"/>
      <c r="CQ7" s="20"/>
      <c r="CR7" s="42"/>
      <c r="CS7" s="38"/>
      <c r="CT7" s="20"/>
      <c r="CU7" s="42"/>
      <c r="CV7" s="38"/>
      <c r="CW7" s="20"/>
      <c r="CX7" s="42"/>
      <c r="CY7" s="38"/>
      <c r="CZ7" s="20"/>
      <c r="DA7" s="42"/>
      <c r="DB7" s="38"/>
      <c r="DC7" s="20"/>
      <c r="DD7" s="42"/>
      <c r="DE7" s="49"/>
      <c r="DF7" s="20"/>
      <c r="DG7" s="42"/>
      <c r="DH7" s="38"/>
      <c r="DI7" s="20"/>
      <c r="DJ7" s="42"/>
      <c r="DK7" s="38"/>
      <c r="DL7" s="20"/>
      <c r="DM7" s="42"/>
      <c r="DN7" s="38"/>
      <c r="DO7" s="20"/>
      <c r="DP7" s="42"/>
      <c r="DQ7" s="38"/>
      <c r="DR7" s="20"/>
      <c r="DS7" s="42"/>
      <c r="DT7" s="38"/>
      <c r="DU7" s="20"/>
      <c r="DV7" s="42"/>
      <c r="DW7" s="38"/>
      <c r="DX7" s="222"/>
      <c r="DY7" s="42"/>
      <c r="DZ7" s="38"/>
      <c r="EA7" s="20"/>
      <c r="EB7" s="42"/>
      <c r="EC7" s="39"/>
      <c r="ED7" s="20"/>
      <c r="EE7" s="42"/>
      <c r="EF7" s="38"/>
      <c r="EG7" s="20"/>
      <c r="EH7" s="42"/>
      <c r="EI7" s="43"/>
      <c r="EJ7" s="20"/>
      <c r="EK7" s="42"/>
      <c r="EL7" s="38"/>
      <c r="EM7" s="20"/>
      <c r="EN7" s="42"/>
      <c r="EO7" s="49"/>
      <c r="EP7" s="20"/>
      <c r="EQ7" s="42"/>
      <c r="ER7" s="49"/>
      <c r="ES7" s="20"/>
      <c r="ET7" s="42"/>
      <c r="EU7" s="49"/>
      <c r="EV7" s="20"/>
      <c r="EW7" s="42"/>
      <c r="EX7" s="38"/>
    </row>
    <row r="8" hidden="1" spans="1:154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  <c r="AI8" s="20"/>
      <c r="AJ8" s="42"/>
      <c r="AK8" s="38"/>
      <c r="AL8" s="20"/>
      <c r="AM8" s="42"/>
      <c r="AN8" s="38"/>
      <c r="AO8" s="20"/>
      <c r="AP8" s="42"/>
      <c r="AQ8" s="38"/>
      <c r="AR8" s="20"/>
      <c r="AS8" s="42"/>
      <c r="AT8" s="38"/>
      <c r="AU8" s="20"/>
      <c r="AV8" s="42"/>
      <c r="AW8" s="38"/>
      <c r="AX8" s="20"/>
      <c r="AY8" s="42"/>
      <c r="AZ8" s="38"/>
      <c r="BA8" s="20"/>
      <c r="BB8" s="42"/>
      <c r="BC8" s="38"/>
      <c r="BD8" s="20"/>
      <c r="BE8" s="42"/>
      <c r="BF8" s="38"/>
      <c r="BG8" s="20"/>
      <c r="BH8" s="42"/>
      <c r="BI8" s="38"/>
      <c r="BJ8" s="20"/>
      <c r="BK8" s="42"/>
      <c r="BL8" s="38"/>
      <c r="BM8" s="20"/>
      <c r="BN8" s="42"/>
      <c r="BO8" s="38"/>
      <c r="BP8" s="20"/>
      <c r="BQ8" s="42"/>
      <c r="BR8" s="38"/>
      <c r="BS8" s="20"/>
      <c r="BT8" s="42"/>
      <c r="BU8" s="38"/>
      <c r="BV8" s="20"/>
      <c r="BW8" s="42"/>
      <c r="BX8" s="38"/>
      <c r="BY8" s="20"/>
      <c r="BZ8" s="42"/>
      <c r="CA8" s="38"/>
      <c r="CB8" s="20"/>
      <c r="CC8" s="42"/>
      <c r="CD8" s="38"/>
      <c r="CE8" s="20"/>
      <c r="CF8" s="42"/>
      <c r="CG8" s="38"/>
      <c r="CH8" s="20"/>
      <c r="CI8" s="42"/>
      <c r="CJ8" s="38"/>
      <c r="CK8" s="20"/>
      <c r="CL8" s="42"/>
      <c r="CM8" s="38"/>
      <c r="CN8" s="20"/>
      <c r="CO8" s="42"/>
      <c r="CP8" s="38"/>
      <c r="CQ8" s="20"/>
      <c r="CR8" s="42"/>
      <c r="CS8" s="38"/>
      <c r="CT8" s="20"/>
      <c r="CU8" s="42"/>
      <c r="CV8" s="38"/>
      <c r="CW8" s="20"/>
      <c r="CX8" s="42"/>
      <c r="CY8" s="38"/>
      <c r="CZ8" s="20"/>
      <c r="DA8" s="42"/>
      <c r="DB8" s="38"/>
      <c r="DC8" s="20"/>
      <c r="DD8" s="42"/>
      <c r="DE8" s="38"/>
      <c r="DF8" s="20"/>
      <c r="DG8" s="42"/>
      <c r="DH8" s="38"/>
      <c r="DI8" s="20"/>
      <c r="DJ8" s="42"/>
      <c r="DK8" s="38"/>
      <c r="DL8" s="20"/>
      <c r="DM8" s="42"/>
      <c r="DN8" s="38"/>
      <c r="DO8" s="20"/>
      <c r="DP8" s="42"/>
      <c r="DQ8" s="38"/>
      <c r="DR8" s="20"/>
      <c r="DS8" s="42"/>
      <c r="DT8" s="38"/>
      <c r="DU8" s="20"/>
      <c r="DV8" s="42"/>
      <c r="DW8" s="38"/>
      <c r="DX8" s="222"/>
      <c r="DY8" s="42"/>
      <c r="DZ8" s="38"/>
      <c r="EA8" s="20"/>
      <c r="EB8" s="42"/>
      <c r="EC8" s="38"/>
      <c r="ED8" s="20"/>
      <c r="EE8" s="42"/>
      <c r="EF8" s="38"/>
      <c r="EG8" s="20"/>
      <c r="EH8" s="42"/>
      <c r="EI8" s="38"/>
      <c r="EJ8" s="20"/>
      <c r="EK8" s="42"/>
      <c r="EL8" s="38"/>
      <c r="EM8" s="20"/>
      <c r="EN8" s="42"/>
      <c r="EO8" s="38"/>
      <c r="EP8" s="20"/>
      <c r="EQ8" s="42"/>
      <c r="ER8" s="38"/>
      <c r="ES8" s="20"/>
      <c r="ET8" s="42"/>
      <c r="EU8" s="38"/>
      <c r="EV8" s="20"/>
      <c r="EW8" s="42"/>
      <c r="EX8" s="38"/>
    </row>
    <row r="9" ht="12.5" customHeight="1" spans="1:154">
      <c r="A9" s="2">
        <v>3</v>
      </c>
      <c r="B9" s="2" t="s">
        <v>170</v>
      </c>
      <c r="C9" s="2" t="s">
        <v>171</v>
      </c>
      <c r="D9" s="2" t="s">
        <v>234</v>
      </c>
      <c r="E9" s="82">
        <f>E3</f>
        <v>878701123</v>
      </c>
      <c r="F9" s="82">
        <v>921944431</v>
      </c>
      <c r="G9" s="38">
        <f>((E9-F9)/F9)*100</f>
        <v>-4.69044625098451</v>
      </c>
      <c r="H9" s="82">
        <f>H3</f>
        <v>1212874494</v>
      </c>
      <c r="I9" s="82">
        <v>944415879</v>
      </c>
      <c r="J9" s="96">
        <f>((H9-I9)/I9)*100</f>
        <v>28.4258895862974</v>
      </c>
      <c r="K9" s="82">
        <f>K3</f>
        <v>740363756</v>
      </c>
      <c r="L9" s="82">
        <v>210049058</v>
      </c>
      <c r="M9" s="96">
        <f>((K9-L9)/L9)*100</f>
        <v>252.471828747739</v>
      </c>
      <c r="N9" s="82">
        <f>N3</f>
        <v>836078476</v>
      </c>
      <c r="O9" s="82">
        <v>266248560</v>
      </c>
      <c r="P9" s="96">
        <f>((N9-O9)/O9)*100</f>
        <v>214.021783253964</v>
      </c>
      <c r="Q9" s="82">
        <f>Q3</f>
        <v>474046000</v>
      </c>
      <c r="R9" s="82">
        <v>200588000</v>
      </c>
      <c r="S9" s="96">
        <f>((Q9-R9)/R9)*100</f>
        <v>136.328195106387</v>
      </c>
      <c r="T9" s="82">
        <f>T3</f>
        <v>691154544</v>
      </c>
      <c r="U9" s="82">
        <v>159878896</v>
      </c>
      <c r="V9" s="96">
        <f>((T9-U9)/U9)*100</f>
        <v>332.298796959419</v>
      </c>
      <c r="W9" s="82">
        <f>W3</f>
        <v>442674530</v>
      </c>
      <c r="X9" s="82">
        <v>359783856</v>
      </c>
      <c r="Y9" s="38">
        <f>((W9-X9)/X9)*100</f>
        <v>23.03901984974</v>
      </c>
      <c r="Z9" s="82">
        <f>Z3</f>
        <v>65310431</v>
      </c>
      <c r="AA9" s="82">
        <v>290853671</v>
      </c>
      <c r="AB9" s="49">
        <f>((Z9-AA9)/AA9)*100</f>
        <v>-77.5452615827565</v>
      </c>
      <c r="AC9" s="82">
        <f>AC3</f>
        <v>131726807</v>
      </c>
      <c r="AD9" s="82">
        <v>140649231</v>
      </c>
      <c r="AE9" s="43">
        <f>((AC9-AD9)/AD9)*100</f>
        <v>-6.34374175853119</v>
      </c>
      <c r="AF9" s="82">
        <f>AF3</f>
        <v>216090214</v>
      </c>
      <c r="AG9" s="82">
        <v>145717638</v>
      </c>
      <c r="AH9" s="96">
        <f>((AF9-AG9)/AG9)*100</f>
        <v>48.2937940566948</v>
      </c>
      <c r="AI9" s="82">
        <f>AI3</f>
        <v>-448665262</v>
      </c>
      <c r="AJ9" s="82">
        <v>127124162</v>
      </c>
      <c r="AK9" s="39">
        <f>((AI9-AJ9)/AJ9)*100</f>
        <v>-452.934686011932</v>
      </c>
      <c r="AL9" s="82">
        <f>AL3</f>
        <v>254017209</v>
      </c>
      <c r="AM9" s="82">
        <v>301942813</v>
      </c>
      <c r="AN9" s="38">
        <f>((AL9-AM9)/AM9)*100</f>
        <v>-15.8724109124598</v>
      </c>
      <c r="AO9" s="82">
        <f>AO3</f>
        <v>138224145</v>
      </c>
      <c r="AP9" s="82">
        <v>56947133</v>
      </c>
      <c r="AQ9" s="96">
        <f>((AO9-AP9)/AP9)*100</f>
        <v>142.723624032135</v>
      </c>
      <c r="AR9" s="82">
        <f>AR3</f>
        <v>235872006</v>
      </c>
      <c r="AS9" s="20">
        <v>106294595</v>
      </c>
      <c r="AT9" s="96">
        <f>((AR9-AS9)/AS9)*100</f>
        <v>121.904045073976</v>
      </c>
      <c r="AU9" s="82">
        <f>AU3</f>
        <v>314473722</v>
      </c>
      <c r="AV9" s="20">
        <v>284712016</v>
      </c>
      <c r="AW9" s="96">
        <f>((AU9-AV9)/AV9)*100</f>
        <v>10.4532665737578</v>
      </c>
      <c r="AX9" s="82">
        <f>AX3</f>
        <v>239705800</v>
      </c>
      <c r="AY9" s="20">
        <v>111405667</v>
      </c>
      <c r="AZ9" s="96">
        <f>((AX9-AY9)/AY9)*100</f>
        <v>115.164817423516</v>
      </c>
      <c r="BA9" s="82">
        <f>BA3</f>
        <v>209277983</v>
      </c>
      <c r="BB9" s="20">
        <v>60089873</v>
      </c>
      <c r="BC9" s="96">
        <f>((BA9-BB9)/BB9)*100</f>
        <v>248.274963070732</v>
      </c>
      <c r="BD9" s="82">
        <f>BD3</f>
        <v>103196039</v>
      </c>
      <c r="BE9" s="20">
        <v>141742634</v>
      </c>
      <c r="BF9" s="96">
        <f>((BD9-BE9)/BE9)*100</f>
        <v>-27.1947782485826</v>
      </c>
      <c r="BG9" s="20">
        <f>BG3</f>
        <v>-57948682</v>
      </c>
      <c r="BH9" s="20">
        <v>-27936503</v>
      </c>
      <c r="BI9" s="96">
        <f>((BG9-BH9)/BH9)*100</f>
        <v>107.42997790382</v>
      </c>
      <c r="BJ9" s="20">
        <f>BJ3</f>
        <v>80331085</v>
      </c>
      <c r="BK9" s="20">
        <v>73421090</v>
      </c>
      <c r="BL9" s="96">
        <f>((BJ9-BK9)/BK9)*100</f>
        <v>9.41145793395331</v>
      </c>
      <c r="BM9" s="20">
        <f>BM3</f>
        <v>96778145</v>
      </c>
      <c r="BN9" s="20">
        <v>30404744</v>
      </c>
      <c r="BO9" s="96">
        <f>((BM9-BN9)/BN9)*100</f>
        <v>218.299489711211</v>
      </c>
      <c r="BP9" s="20">
        <f>BP3</f>
        <v>93755043</v>
      </c>
      <c r="BQ9" s="20">
        <v>45798479</v>
      </c>
      <c r="BR9" s="96">
        <f>((BP9-BQ9)/BQ9)*100</f>
        <v>104.7121324706</v>
      </c>
      <c r="BS9" s="20">
        <f>BS3</f>
        <v>84998000</v>
      </c>
      <c r="BT9" s="20">
        <v>24933000</v>
      </c>
      <c r="BU9" s="96">
        <f>((BS9-BT9)/BT9)*100</f>
        <v>240.905627080576</v>
      </c>
      <c r="BV9" s="20">
        <f>BV3</f>
        <v>63841571</v>
      </c>
      <c r="BW9" s="20">
        <v>-52916314</v>
      </c>
      <c r="BX9" s="96">
        <f>((BV9-BW9)/BW9)*-100</f>
        <v>220.646292559229</v>
      </c>
      <c r="BY9" s="20">
        <f>BY3</f>
        <v>52431294</v>
      </c>
      <c r="BZ9" s="20">
        <v>-9459269</v>
      </c>
      <c r="CA9" s="96">
        <f>((BY9-BZ9)/BZ9)*-100</f>
        <v>654.284839557898</v>
      </c>
      <c r="CB9" s="20">
        <f>CB3</f>
        <v>114529910</v>
      </c>
      <c r="CC9" s="20">
        <v>32189298</v>
      </c>
      <c r="CD9" s="96">
        <f>((CB9-CC9)/CC9)*100</f>
        <v>255.80120448728</v>
      </c>
      <c r="CE9" s="20">
        <f>CE3</f>
        <v>84147308</v>
      </c>
      <c r="CF9" s="20">
        <v>48136661</v>
      </c>
      <c r="CG9" s="96">
        <f>((CE9-CF9)/CF9)*100</f>
        <v>74.8091916886383</v>
      </c>
      <c r="CH9" s="20">
        <f>CH3</f>
        <v>-10099622</v>
      </c>
      <c r="CI9" s="20">
        <v>-121722564</v>
      </c>
      <c r="CJ9" s="39">
        <f>((CH9-CI9)/CI9)*100</f>
        <v>-91.702752827323</v>
      </c>
      <c r="CK9" s="20">
        <f>CK3</f>
        <v>117478000</v>
      </c>
      <c r="CL9" s="20">
        <v>38088000</v>
      </c>
      <c r="CM9" s="96">
        <f>((CK9-CL9)/CL9)*100</f>
        <v>208.438353287125</v>
      </c>
      <c r="CN9" s="20">
        <f>CN3</f>
        <v>19600136</v>
      </c>
      <c r="CO9" s="20">
        <v>13251799</v>
      </c>
      <c r="CP9" s="96">
        <f>((CN9-CO9)/CO9)*100</f>
        <v>47.9054730606765</v>
      </c>
      <c r="CQ9" s="20">
        <f>CQ3</f>
        <v>44711000</v>
      </c>
      <c r="CR9" s="20">
        <v>14032000</v>
      </c>
      <c r="CS9" s="96">
        <f>((CQ9-CR9)/CR9)*100</f>
        <v>218.635974914481</v>
      </c>
      <c r="CT9" s="20">
        <f>CT3</f>
        <v>108315081</v>
      </c>
      <c r="CU9" s="20">
        <v>79217615</v>
      </c>
      <c r="CV9" s="96">
        <f>((CT9-CU9)/CU9)*100</f>
        <v>36.7310553340946</v>
      </c>
      <c r="CW9" s="20">
        <f>CW3</f>
        <v>53727146</v>
      </c>
      <c r="CX9" s="20">
        <v>-74421932</v>
      </c>
      <c r="CY9" s="96">
        <f>((CW9-CX9)/CX9)*100</f>
        <v>-172.192624615013</v>
      </c>
      <c r="CZ9" s="20">
        <f>CZ3</f>
        <v>94418607</v>
      </c>
      <c r="DA9" s="20">
        <v>680971</v>
      </c>
      <c r="DB9" s="96">
        <f>((CZ9-DA9)/DA9)*100</f>
        <v>13765.290445555</v>
      </c>
      <c r="DC9" s="20">
        <f>DC3</f>
        <v>34245000</v>
      </c>
      <c r="DD9" s="20">
        <v>-35106000</v>
      </c>
      <c r="DE9" s="96">
        <f>((DC9-DD9)/DD9)*-100</f>
        <v>197.547427790121</v>
      </c>
      <c r="DF9" s="20">
        <f>DF3</f>
        <v>84153010</v>
      </c>
      <c r="DG9" s="20">
        <v>47545850</v>
      </c>
      <c r="DH9" s="96">
        <f>((DF9-DG9)/DG9)*100</f>
        <v>76.99338638388</v>
      </c>
      <c r="DI9" s="20">
        <f>DI3</f>
        <v>40528411</v>
      </c>
      <c r="DJ9" s="20">
        <v>-87457917</v>
      </c>
      <c r="DK9" s="96">
        <f>((DI9-DJ9)/DJ9)*-100</f>
        <v>146.340471383511</v>
      </c>
      <c r="DL9" s="20">
        <f>DL3</f>
        <v>91773292</v>
      </c>
      <c r="DM9" s="20">
        <v>-2007711</v>
      </c>
      <c r="DN9" s="96">
        <f>((DL9-DM9)/DM9)*-100</f>
        <v>4671.04095161106</v>
      </c>
      <c r="DO9" s="20">
        <f>DO3</f>
        <v>51198600</v>
      </c>
      <c r="DP9" s="20">
        <v>31277040</v>
      </c>
      <c r="DQ9" s="96">
        <f>((DO9-DP9)/DP9)*100</f>
        <v>63.6938789604131</v>
      </c>
      <c r="DR9" s="20">
        <f>DR3</f>
        <v>72350985</v>
      </c>
      <c r="DS9" s="20">
        <v>7872419</v>
      </c>
      <c r="DT9" s="96">
        <f>((DR9-DS9)/DS9)*100</f>
        <v>819.043879651223</v>
      </c>
      <c r="DU9" s="20">
        <f>DU3</f>
        <v>39583450</v>
      </c>
      <c r="DV9" s="20">
        <v>20837670</v>
      </c>
      <c r="DW9" s="96">
        <f>((DU9-DV9)/DV9)*100</f>
        <v>89.9610177145525</v>
      </c>
      <c r="DX9" s="222">
        <f>DX3</f>
        <v>66050203</v>
      </c>
      <c r="DY9" s="20">
        <v>-24466692</v>
      </c>
      <c r="DZ9" s="96">
        <f>((DX9-DY9)/DY9)*-100</f>
        <v>369.959678243385</v>
      </c>
      <c r="EA9" s="20">
        <f>EA3</f>
        <v>3988214</v>
      </c>
      <c r="EB9" s="20">
        <v>-41776885</v>
      </c>
      <c r="EC9" s="96">
        <f>((EA9-EB9)/EB9)*-100</f>
        <v>109.546460919717</v>
      </c>
      <c r="ED9" s="20">
        <f>ED3</f>
        <v>42503094</v>
      </c>
      <c r="EE9" s="20">
        <v>15206922</v>
      </c>
      <c r="EF9" s="96">
        <f>((ED9-EE9)/EE9)*100</f>
        <v>179.498336349723</v>
      </c>
      <c r="EG9" s="20">
        <f>EG3</f>
        <v>14650470</v>
      </c>
      <c r="EH9" s="20">
        <v>12148290</v>
      </c>
      <c r="EI9" s="96">
        <f>((EG9-EH9)/EH9)*100</f>
        <v>20.5969729072981</v>
      </c>
      <c r="EJ9" s="20">
        <f>EJ3</f>
        <v>45085740</v>
      </c>
      <c r="EK9" s="20">
        <v>14038960</v>
      </c>
      <c r="EL9" s="96">
        <f>((EJ9-EK9)/EK9)*100</f>
        <v>221.147292961872</v>
      </c>
      <c r="EM9" s="20">
        <f>EM3</f>
        <v>9697737</v>
      </c>
      <c r="EN9" s="20">
        <v>1147903</v>
      </c>
      <c r="EO9" s="96">
        <f>((EM9-EN9)/EN9)*100</f>
        <v>744.821992799043</v>
      </c>
      <c r="EP9" s="20">
        <f>EP3</f>
        <v>13034566</v>
      </c>
      <c r="EQ9" s="20">
        <v>-7892120</v>
      </c>
      <c r="ER9" s="96">
        <f>((EP9-EQ9)/EQ9)*-100</f>
        <v>265.159247451889</v>
      </c>
      <c r="ES9" s="20">
        <f>ES3</f>
        <v>15208423</v>
      </c>
      <c r="ET9" s="20">
        <v>-14436619</v>
      </c>
      <c r="EU9" s="96">
        <f>((ES9-ET9)/ET9)*-100</f>
        <v>205.346154802589</v>
      </c>
      <c r="EV9" s="20">
        <f>EV3</f>
        <v>14190940</v>
      </c>
      <c r="EW9" s="20">
        <v>5130530</v>
      </c>
      <c r="EX9" s="96">
        <f>((EV9-EW9)/EW9)*100</f>
        <v>176.597934326473</v>
      </c>
    </row>
    <row r="10" hidden="1" spans="1:154">
      <c r="A10" s="2"/>
      <c r="E10" s="45"/>
      <c r="G10" s="40"/>
      <c r="H10" s="45"/>
      <c r="J10" s="40"/>
      <c r="K10" s="45"/>
      <c r="M10" s="40"/>
      <c r="N10" s="45"/>
      <c r="P10" s="40"/>
      <c r="Q10" s="45"/>
      <c r="S10" s="40"/>
      <c r="T10" s="45"/>
      <c r="V10" s="40"/>
      <c r="W10" s="45"/>
      <c r="Y10" s="40"/>
      <c r="Z10" s="223" t="s">
        <v>289</v>
      </c>
      <c r="AA10" s="223"/>
      <c r="AB10" s="40"/>
      <c r="AC10" s="20"/>
      <c r="AD10" s="2"/>
      <c r="AE10" s="40"/>
      <c r="AF10" s="20"/>
      <c r="AG10" s="2"/>
      <c r="AH10" s="40"/>
      <c r="AI10" s="224" t="s">
        <v>553</v>
      </c>
      <c r="AJ10" s="224"/>
      <c r="AK10" s="40"/>
      <c r="AL10" s="20"/>
      <c r="AM10" s="2"/>
      <c r="AN10" s="40"/>
      <c r="AO10" s="20"/>
      <c r="AP10" s="2"/>
      <c r="AQ10" s="40"/>
      <c r="AR10" s="20"/>
      <c r="AS10" s="2"/>
      <c r="AT10" s="40"/>
      <c r="AU10" s="20"/>
      <c r="AV10" s="2"/>
      <c r="AW10" s="40"/>
      <c r="AX10" s="20"/>
      <c r="AY10" s="2"/>
      <c r="AZ10" s="40"/>
      <c r="BA10" s="20"/>
      <c r="BB10" s="2"/>
      <c r="BC10" s="40"/>
      <c r="BD10" s="20"/>
      <c r="BE10" s="2"/>
      <c r="BF10" s="40"/>
      <c r="BG10" s="225" t="s">
        <v>289</v>
      </c>
      <c r="BH10" s="2"/>
      <c r="BI10" s="40"/>
      <c r="BJ10" s="225"/>
      <c r="BK10" s="2"/>
      <c r="BL10" s="40"/>
      <c r="BM10" s="225"/>
      <c r="BN10" s="2"/>
      <c r="BO10" s="40"/>
      <c r="BP10" s="225"/>
      <c r="BQ10" s="2"/>
      <c r="BR10" s="40"/>
      <c r="BS10" s="225"/>
      <c r="BT10" s="2"/>
      <c r="BU10" s="40"/>
      <c r="BV10" s="225"/>
      <c r="BW10" s="2"/>
      <c r="BX10" s="40" t="s">
        <v>492</v>
      </c>
      <c r="BY10" s="225"/>
      <c r="BZ10" s="2"/>
      <c r="CA10" s="40" t="s">
        <v>492</v>
      </c>
      <c r="CB10" s="225"/>
      <c r="CC10" s="2"/>
      <c r="CD10" s="40"/>
      <c r="CE10" s="225"/>
      <c r="CF10" s="2"/>
      <c r="CG10" s="40"/>
      <c r="CH10" s="225" t="s">
        <v>618</v>
      </c>
      <c r="CI10" s="2"/>
      <c r="CJ10" s="40"/>
      <c r="CK10" s="225"/>
      <c r="CL10" s="2"/>
      <c r="CM10" s="40"/>
      <c r="CN10" s="225" t="s">
        <v>618</v>
      </c>
      <c r="CO10" s="2"/>
      <c r="CP10" s="40"/>
      <c r="CQ10" s="225"/>
      <c r="CR10" s="2"/>
      <c r="CS10" s="40"/>
      <c r="CT10" s="225"/>
      <c r="CU10" s="2"/>
      <c r="CV10" s="40"/>
      <c r="CW10" s="225" t="s">
        <v>619</v>
      </c>
      <c r="CX10" s="2"/>
      <c r="CY10" s="40"/>
      <c r="CZ10" s="225"/>
      <c r="DA10" s="2"/>
      <c r="DB10" s="40"/>
      <c r="DC10" s="225"/>
      <c r="DD10" s="2"/>
      <c r="DE10" s="40" t="s">
        <v>552</v>
      </c>
      <c r="DF10" s="225"/>
      <c r="DG10" s="2"/>
      <c r="DH10" s="40"/>
      <c r="DI10" s="225"/>
      <c r="DJ10" s="2"/>
      <c r="DK10" s="40" t="s">
        <v>552</v>
      </c>
      <c r="DL10" s="225"/>
      <c r="DM10" s="2"/>
      <c r="DN10" s="40" t="s">
        <v>552</v>
      </c>
      <c r="DO10" s="225"/>
      <c r="DP10" s="2"/>
      <c r="DQ10" s="40"/>
      <c r="DR10" s="225"/>
      <c r="DS10" s="2"/>
      <c r="DT10" s="40"/>
      <c r="DU10" s="225"/>
      <c r="DV10" s="2"/>
      <c r="DW10" s="40"/>
      <c r="DX10" s="225"/>
      <c r="DY10" s="2"/>
      <c r="DZ10" s="40" t="s">
        <v>492</v>
      </c>
      <c r="EA10" s="225" t="s">
        <v>289</v>
      </c>
      <c r="EB10" s="2"/>
      <c r="EC10" s="40" t="s">
        <v>492</v>
      </c>
      <c r="ED10" s="225"/>
      <c r="EE10" s="2"/>
      <c r="EF10" s="40"/>
      <c r="EG10" s="225"/>
      <c r="EH10" s="2"/>
      <c r="EI10" s="40"/>
      <c r="EJ10" s="225"/>
      <c r="EK10" s="2"/>
      <c r="EL10" s="40"/>
      <c r="EM10" s="225"/>
      <c r="EN10" s="2"/>
      <c r="EO10" s="40"/>
      <c r="EP10" s="225" t="s">
        <v>289</v>
      </c>
      <c r="EQ10" s="2"/>
      <c r="ER10" s="40" t="s">
        <v>552</v>
      </c>
      <c r="ES10" s="225" t="s">
        <v>289</v>
      </c>
      <c r="ET10" s="2"/>
      <c r="EU10" s="40" t="s">
        <v>552</v>
      </c>
      <c r="EV10" s="225"/>
      <c r="EW10" s="2"/>
      <c r="EX10" s="40"/>
    </row>
    <row r="11" hidden="1" spans="1:154">
      <c r="A11" s="2">
        <v>4</v>
      </c>
      <c r="B11" s="2" t="s">
        <v>173</v>
      </c>
      <c r="C11" s="41" t="s">
        <v>174</v>
      </c>
      <c r="D11" s="41" t="s">
        <v>234</v>
      </c>
      <c r="E11" s="20">
        <v>10309495596</v>
      </c>
      <c r="F11" s="20">
        <v>9487081469</v>
      </c>
      <c r="G11" s="44">
        <f>(E11-F11)/F11</f>
        <v>0.0866877900951227</v>
      </c>
      <c r="H11" s="20">
        <v>8280839680</v>
      </c>
      <c r="I11" s="20">
        <v>7344021243</v>
      </c>
      <c r="J11" s="44">
        <f>(H11-I11)/I11</f>
        <v>0.1275620543572</v>
      </c>
      <c r="K11" s="20">
        <v>3957586330</v>
      </c>
      <c r="L11" s="20">
        <v>3296861437</v>
      </c>
      <c r="M11" s="44">
        <f>(K11-L11)/L11</f>
        <v>0.200410270684967</v>
      </c>
      <c r="N11" s="20">
        <v>5778362714</v>
      </c>
      <c r="O11" s="20">
        <v>4955611852</v>
      </c>
      <c r="P11" s="44">
        <f>(N11-O11)/O11</f>
        <v>0.166024072621416</v>
      </c>
      <c r="Q11" s="20">
        <v>3262405000</v>
      </c>
      <c r="R11" s="20">
        <v>2797985000</v>
      </c>
      <c r="S11" s="44">
        <f>(Q11-R11)/R11</f>
        <v>0.165983734723381</v>
      </c>
      <c r="T11" s="20">
        <v>3901795818</v>
      </c>
      <c r="U11" s="20">
        <v>3242868299</v>
      </c>
      <c r="V11" s="44">
        <f>(T11-U11)/U11</f>
        <v>0.203192809033655</v>
      </c>
      <c r="W11" s="20">
        <v>3761419434</v>
      </c>
      <c r="X11" s="20">
        <v>3420771969</v>
      </c>
      <c r="Y11" s="44">
        <f>(W11-X11)/X11</f>
        <v>0.0995820440786593</v>
      </c>
      <c r="Z11" s="20">
        <v>3761419434</v>
      </c>
      <c r="AA11" s="20">
        <v>3420771969</v>
      </c>
      <c r="AB11" s="44">
        <f>(Z11-AA11)/AA11</f>
        <v>0.0995820440786593</v>
      </c>
      <c r="AC11" s="20">
        <v>1765169520</v>
      </c>
      <c r="AD11" s="20">
        <v>1639230688</v>
      </c>
      <c r="AE11" s="44">
        <f>(AC11-AD11)/AD11</f>
        <v>0.0768280101891309</v>
      </c>
      <c r="AF11" s="20">
        <v>2243601365</v>
      </c>
      <c r="AG11" s="20">
        <v>2043938810</v>
      </c>
      <c r="AH11" s="44">
        <f>(AF11-AG11)/AG11</f>
        <v>0.0976851919554284</v>
      </c>
      <c r="AI11" s="20">
        <v>2243601365</v>
      </c>
      <c r="AJ11" s="20">
        <v>2043938810</v>
      </c>
      <c r="AK11" s="44">
        <f>(AI11-AJ11)/AJ11</f>
        <v>0.0976851919554284</v>
      </c>
      <c r="AL11" s="20">
        <v>2890103172</v>
      </c>
      <c r="AM11" s="20">
        <v>2640714413</v>
      </c>
      <c r="AN11" s="44">
        <f>(AL11-AM11)/AM11</f>
        <v>0.0944398825455269</v>
      </c>
      <c r="AO11" s="20">
        <v>1606887242</v>
      </c>
      <c r="AP11" s="20">
        <v>1477480040</v>
      </c>
      <c r="AQ11" s="44">
        <f>(AO11-AP11)/AP11</f>
        <v>0.0875864299324138</v>
      </c>
      <c r="AR11" s="20">
        <v>1332810822</v>
      </c>
      <c r="AS11" s="20">
        <v>1099709527</v>
      </c>
      <c r="AT11" s="44">
        <f>(AR11-AS11)/AS11</f>
        <v>0.211966241336382</v>
      </c>
      <c r="AU11" s="20">
        <v>2882118087</v>
      </c>
      <c r="AV11" s="20">
        <v>2535718261</v>
      </c>
      <c r="AW11" s="44">
        <f>(AU11-AV11)/AV11</f>
        <v>0.136608167921381</v>
      </c>
      <c r="AX11" s="20">
        <v>1255827892</v>
      </c>
      <c r="AY11" s="20">
        <v>1015586318</v>
      </c>
      <c r="AZ11" s="44">
        <f>(AX11-AY11)/AY11</f>
        <v>0.236554559412645</v>
      </c>
      <c r="BA11" s="20">
        <v>1267440753</v>
      </c>
      <c r="BB11" s="20">
        <v>1067801805</v>
      </c>
      <c r="BC11" s="44">
        <f>(BA11-BB11)/BB11</f>
        <v>0.186962549665291</v>
      </c>
      <c r="BD11" s="20">
        <v>1302438433</v>
      </c>
      <c r="BE11" s="20">
        <v>1206210127</v>
      </c>
      <c r="BF11" s="44">
        <f>(BD11-BE11)/BE11</f>
        <v>0.0797773985195533</v>
      </c>
      <c r="BG11" s="20">
        <v>1302438433</v>
      </c>
      <c r="BH11" s="20">
        <v>1206210127</v>
      </c>
      <c r="BI11" s="44">
        <f>(BG11-BH11)/BH11</f>
        <v>0.0797773985195533</v>
      </c>
      <c r="BJ11" s="20">
        <v>1051814674</v>
      </c>
      <c r="BK11" s="20">
        <v>973721870</v>
      </c>
      <c r="BL11" s="44">
        <f>(BJ11-BK11)/BK11</f>
        <v>0.0802003183927665</v>
      </c>
      <c r="BM11" s="20">
        <v>1233967974</v>
      </c>
      <c r="BN11" s="20">
        <v>1132226079</v>
      </c>
      <c r="BO11" s="44">
        <f>(BM11-BN11)/BN11</f>
        <v>0.0898600525876069</v>
      </c>
      <c r="BP11" s="20">
        <v>779226291</v>
      </c>
      <c r="BQ11" s="20">
        <v>685043823</v>
      </c>
      <c r="BR11" s="44">
        <f>(BP11-BQ11)/BQ11</f>
        <v>0.137483858459665</v>
      </c>
      <c r="BS11" s="20">
        <v>851518120</v>
      </c>
      <c r="BT11" s="20">
        <v>737098750</v>
      </c>
      <c r="BU11" s="44">
        <f>(BS11-BT11)/BT11</f>
        <v>0.155229363772493</v>
      </c>
      <c r="BV11" s="20">
        <v>1014450655</v>
      </c>
      <c r="BW11" s="20">
        <v>934313611</v>
      </c>
      <c r="BX11" s="44">
        <f>(BV11-BW11)/BW11</f>
        <v>0.0857710334694032</v>
      </c>
      <c r="BY11" s="20">
        <v>365882123</v>
      </c>
      <c r="BZ11" s="20">
        <v>322861442</v>
      </c>
      <c r="CA11" s="44">
        <f>(BY11-BZ11)/BZ11</f>
        <v>0.133248122580088</v>
      </c>
      <c r="CB11" s="20">
        <v>793061102</v>
      </c>
      <c r="CC11" s="20">
        <v>634688920</v>
      </c>
      <c r="CD11" s="44">
        <f>(CB11-CC11)/CC11</f>
        <v>0.249527251870097</v>
      </c>
      <c r="CE11" s="20">
        <v>517946346</v>
      </c>
      <c r="CF11" s="20">
        <v>438229212</v>
      </c>
      <c r="CG11" s="44">
        <f>(CE11-CF11)/CF11</f>
        <v>0.181907394160661</v>
      </c>
      <c r="CH11" s="20">
        <v>517946346</v>
      </c>
      <c r="CI11" s="20">
        <v>438229212</v>
      </c>
      <c r="CJ11" s="44">
        <f>(CH11-CI11)/CI11</f>
        <v>0.181907394160661</v>
      </c>
      <c r="CK11" s="20">
        <v>738458000</v>
      </c>
      <c r="CL11" s="20">
        <v>628679000</v>
      </c>
      <c r="CM11" s="44">
        <f>(CK11-CL11)/CL11</f>
        <v>0.17461852551143</v>
      </c>
      <c r="CN11" s="20">
        <v>738458000</v>
      </c>
      <c r="CO11" s="20">
        <v>628679000</v>
      </c>
      <c r="CP11" s="44">
        <f>(CN11-CO11)/CO11</f>
        <v>0.17461852551143</v>
      </c>
      <c r="CQ11" s="20">
        <v>301482290</v>
      </c>
      <c r="CR11" s="20">
        <v>267384800</v>
      </c>
      <c r="CS11" s="44">
        <f>(CQ11-CR11)/CR11</f>
        <v>0.127522170295395</v>
      </c>
      <c r="CT11" s="20">
        <v>760099116</v>
      </c>
      <c r="CU11" s="20">
        <v>658864655</v>
      </c>
      <c r="CV11" s="44">
        <f>(CT11-CU11)/CU11</f>
        <v>0.153649858482696</v>
      </c>
      <c r="CW11" s="20">
        <v>760099116</v>
      </c>
      <c r="CX11" s="20">
        <v>658864655</v>
      </c>
      <c r="CY11" s="44">
        <f>(CW11-CX11)/CX11</f>
        <v>0.153649858482696</v>
      </c>
      <c r="CZ11" s="20">
        <v>573394329</v>
      </c>
      <c r="DA11" s="20">
        <v>485398396</v>
      </c>
      <c r="DB11" s="44">
        <f>(CZ11-DA11)/DA11</f>
        <v>0.181285998728352</v>
      </c>
      <c r="DC11" s="20">
        <v>236943000</v>
      </c>
      <c r="DD11" s="20">
        <v>204257000</v>
      </c>
      <c r="DE11" s="44">
        <f>(DC11-DD11)/DD11</f>
        <v>0.16002389147006</v>
      </c>
      <c r="DF11" s="20">
        <v>428362190</v>
      </c>
      <c r="DG11" s="20">
        <v>323843770</v>
      </c>
      <c r="DH11" s="44">
        <f>(DF11-DG11)/DG11</f>
        <v>0.322743340098838</v>
      </c>
      <c r="DI11" s="20">
        <v>401070653</v>
      </c>
      <c r="DJ11" s="20">
        <v>360381210</v>
      </c>
      <c r="DK11" s="44">
        <f>(DI11-DJ11)/DJ11</f>
        <v>0.11290667179901</v>
      </c>
      <c r="DL11" s="20">
        <v>547795666</v>
      </c>
      <c r="DM11" s="20">
        <v>455977043</v>
      </c>
      <c r="DN11" s="44">
        <f>(DL11-DM11)/DM11</f>
        <v>0.201366767054542</v>
      </c>
      <c r="DO11" s="20">
        <v>207687930</v>
      </c>
      <c r="DP11" s="20">
        <v>157595840</v>
      </c>
      <c r="DQ11" s="44">
        <f>(DO11-DP11)/DP11</f>
        <v>0.317851600651388</v>
      </c>
      <c r="DR11" s="20">
        <v>287350205</v>
      </c>
      <c r="DS11" s="20">
        <v>215406801</v>
      </c>
      <c r="DT11" s="44">
        <f>(DR11-DS11)/DS11</f>
        <v>0.333988544772085</v>
      </c>
      <c r="DU11" s="20">
        <v>181636980</v>
      </c>
      <c r="DV11" s="20">
        <v>142743260</v>
      </c>
      <c r="DW11" s="44">
        <f>(DU11-DV11)/DV11</f>
        <v>0.272473250225615</v>
      </c>
      <c r="DX11" s="222">
        <v>317450699</v>
      </c>
      <c r="DY11" s="20">
        <v>251452766</v>
      </c>
      <c r="DZ11" s="44">
        <f>(DX11-DY11)/DY11</f>
        <v>0.262466522241398</v>
      </c>
      <c r="EA11" s="20">
        <v>317450699</v>
      </c>
      <c r="EB11" s="20">
        <v>251452766</v>
      </c>
      <c r="EC11" s="44">
        <f>(EA11-EB11)/EB11</f>
        <v>0.262466522241398</v>
      </c>
      <c r="ED11" s="20">
        <v>268929223</v>
      </c>
      <c r="EE11" s="20">
        <v>226536049</v>
      </c>
      <c r="EF11" s="44">
        <f>(ED11-EE11)/EE11</f>
        <v>0.187136547084389</v>
      </c>
      <c r="EG11" s="20">
        <v>269034180</v>
      </c>
      <c r="EH11" s="20">
        <v>259224180</v>
      </c>
      <c r="EI11" s="44">
        <f>(EG11-EH11)/EH11</f>
        <v>0.0378436918963347</v>
      </c>
      <c r="EJ11" s="20">
        <v>270809470</v>
      </c>
      <c r="EK11" s="20">
        <v>226968860</v>
      </c>
      <c r="EL11" s="44">
        <f>(EJ11-EK11)/EK11</f>
        <v>0.193156937916505</v>
      </c>
      <c r="EM11" s="20">
        <v>116348224</v>
      </c>
      <c r="EN11" s="20">
        <v>84755869</v>
      </c>
      <c r="EO11" s="44">
        <f>(EM11-EN11)/EN11</f>
        <v>0.372745337552966</v>
      </c>
      <c r="EP11" s="20">
        <v>116348224</v>
      </c>
      <c r="EQ11" s="20">
        <v>84755869</v>
      </c>
      <c r="ER11" s="44">
        <f>(EP11-EQ11)/EQ11</f>
        <v>0.372745337552966</v>
      </c>
      <c r="ES11" s="20">
        <v>116348224</v>
      </c>
      <c r="ET11" s="20">
        <v>84755869</v>
      </c>
      <c r="EU11" s="44">
        <f>(ES11-ET11)/ET11</f>
        <v>0.372745337552966</v>
      </c>
      <c r="EV11" s="20">
        <v>59145890</v>
      </c>
      <c r="EW11" s="20">
        <v>52548000</v>
      </c>
      <c r="EX11" s="44">
        <f>(EV11-EW11)/EW11</f>
        <v>0.125559298165487</v>
      </c>
    </row>
    <row r="12" ht="2.5" hidden="1" customHeight="1" spans="1:154">
      <c r="A12" s="2"/>
      <c r="B12" s="2"/>
      <c r="C12" s="41"/>
      <c r="D12" s="41"/>
      <c r="E12" s="20"/>
      <c r="F12" s="20"/>
      <c r="G12" s="44"/>
      <c r="H12" s="20"/>
      <c r="I12" s="20"/>
      <c r="J12" s="44"/>
      <c r="K12" s="20"/>
      <c r="L12" s="20"/>
      <c r="M12" s="44"/>
      <c r="N12" s="20"/>
      <c r="O12" s="20"/>
      <c r="P12" s="44"/>
      <c r="Q12" s="20"/>
      <c r="R12" s="20"/>
      <c r="S12" s="44"/>
      <c r="T12" s="20"/>
      <c r="U12" s="20"/>
      <c r="V12" s="44"/>
      <c r="W12" s="20"/>
      <c r="X12" s="20"/>
      <c r="Y12" s="44"/>
      <c r="Z12" s="20"/>
      <c r="AA12" s="20"/>
      <c r="AB12" s="44"/>
      <c r="AC12" s="20"/>
      <c r="AD12" s="20"/>
      <c r="AE12" s="44"/>
      <c r="AF12" s="20"/>
      <c r="AG12" s="20"/>
      <c r="AH12" s="44"/>
      <c r="AI12" s="20"/>
      <c r="AJ12" s="20"/>
      <c r="AK12" s="44"/>
      <c r="AL12" s="20"/>
      <c r="AM12" s="20"/>
      <c r="AN12" s="44"/>
      <c r="AO12" s="20"/>
      <c r="AP12" s="20"/>
      <c r="AQ12" s="44"/>
      <c r="AR12" s="20"/>
      <c r="AS12" s="20"/>
      <c r="AT12" s="44"/>
      <c r="AU12" s="20"/>
      <c r="AV12" s="20"/>
      <c r="AW12" s="44"/>
      <c r="AX12" s="20"/>
      <c r="AY12" s="20"/>
      <c r="AZ12" s="44"/>
      <c r="BA12" s="20"/>
      <c r="BB12" s="20"/>
      <c r="BC12" s="44"/>
      <c r="BD12" s="20"/>
      <c r="BE12" s="20"/>
      <c r="BF12" s="44"/>
      <c r="BG12" s="20"/>
      <c r="BH12" s="20"/>
      <c r="BI12" s="44"/>
      <c r="BJ12" s="20"/>
      <c r="BK12" s="20"/>
      <c r="BL12" s="44"/>
      <c r="BM12" s="20"/>
      <c r="BN12" s="20"/>
      <c r="BO12" s="44"/>
      <c r="BP12" s="20"/>
      <c r="BQ12" s="20"/>
      <c r="BR12" s="44"/>
      <c r="BS12" s="20"/>
      <c r="BT12" s="20"/>
      <c r="BU12" s="44"/>
      <c r="BV12" s="20"/>
      <c r="BW12" s="20"/>
      <c r="BX12" s="44"/>
      <c r="BY12" s="20"/>
      <c r="BZ12" s="20"/>
      <c r="CA12" s="44"/>
      <c r="CB12" s="20"/>
      <c r="CC12" s="20"/>
      <c r="CD12" s="44"/>
      <c r="CE12" s="20"/>
      <c r="CF12" s="20"/>
      <c r="CG12" s="44"/>
      <c r="CH12" s="20"/>
      <c r="CI12" s="20"/>
      <c r="CJ12" s="44"/>
      <c r="CK12" s="20"/>
      <c r="CL12" s="20"/>
      <c r="CM12" s="44"/>
      <c r="CN12" s="20"/>
      <c r="CO12" s="20"/>
      <c r="CP12" s="44"/>
      <c r="CQ12" s="20"/>
      <c r="CR12" s="20"/>
      <c r="CS12" s="44"/>
      <c r="CT12" s="20"/>
      <c r="CU12" s="20"/>
      <c r="CV12" s="44"/>
      <c r="CW12" s="20"/>
      <c r="CX12" s="20"/>
      <c r="CY12" s="44"/>
      <c r="CZ12" s="20"/>
      <c r="DA12" s="20"/>
      <c r="DB12" s="44"/>
      <c r="DC12" s="20"/>
      <c r="DD12" s="20"/>
      <c r="DE12" s="44"/>
      <c r="DF12" s="20"/>
      <c r="DG12" s="20"/>
      <c r="DH12" s="44"/>
      <c r="DI12" s="20"/>
      <c r="DJ12" s="20"/>
      <c r="DK12" s="44"/>
      <c r="DL12" s="20"/>
      <c r="DM12" s="20"/>
      <c r="DN12" s="44"/>
      <c r="DO12" s="20"/>
      <c r="DP12" s="20"/>
      <c r="DQ12" s="44"/>
      <c r="DR12" s="20"/>
      <c r="DS12" s="20"/>
      <c r="DT12" s="44"/>
      <c r="DU12" s="20"/>
      <c r="DV12" s="20"/>
      <c r="DW12" s="44"/>
      <c r="DX12" s="222"/>
      <c r="DY12" s="20"/>
      <c r="DZ12" s="44"/>
      <c r="EA12" s="20"/>
      <c r="EB12" s="20"/>
      <c r="EC12" s="44"/>
      <c r="ED12" s="20"/>
      <c r="EE12" s="20"/>
      <c r="EF12" s="44"/>
      <c r="EG12" s="20"/>
      <c r="EH12" s="20"/>
      <c r="EI12" s="44"/>
      <c r="EJ12" s="20"/>
      <c r="EK12" s="20"/>
      <c r="EL12" s="44"/>
      <c r="EM12" s="20"/>
      <c r="EN12" s="20"/>
      <c r="EO12" s="44"/>
      <c r="EP12" s="20"/>
      <c r="EQ12" s="20"/>
      <c r="ER12" s="44"/>
      <c r="ES12" s="20"/>
      <c r="ET12" s="20"/>
      <c r="EU12" s="44"/>
      <c r="EV12" s="20"/>
      <c r="EW12" s="20"/>
      <c r="EX12" s="44"/>
    </row>
    <row r="13" hidden="1" spans="1:154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  <c r="Z13" s="226" t="s">
        <v>620</v>
      </c>
      <c r="AA13" s="226"/>
      <c r="AB13" s="80"/>
      <c r="AC13" s="20"/>
      <c r="AD13" s="2"/>
      <c r="AE13" s="80"/>
      <c r="AF13" s="20"/>
      <c r="AG13" s="2"/>
      <c r="AH13" s="80"/>
      <c r="AI13" s="20"/>
      <c r="AJ13" s="2"/>
      <c r="AK13" s="80"/>
      <c r="AL13" s="20"/>
      <c r="AM13" s="2"/>
      <c r="AN13" s="80"/>
      <c r="AO13" s="20"/>
      <c r="AP13" s="2"/>
      <c r="AQ13" s="80"/>
      <c r="AR13" s="20"/>
      <c r="AS13" s="2"/>
      <c r="AT13" s="80"/>
      <c r="AU13" s="20"/>
      <c r="AV13" s="2"/>
      <c r="AW13" s="80"/>
      <c r="AX13" s="20"/>
      <c r="AY13" s="2"/>
      <c r="AZ13" s="80"/>
      <c r="BA13" s="20"/>
      <c r="BB13" s="2"/>
      <c r="BC13" s="80"/>
      <c r="BD13" s="20"/>
      <c r="BE13" s="2"/>
      <c r="BF13" s="80"/>
      <c r="BG13" s="20"/>
      <c r="BH13" s="2"/>
      <c r="BI13" s="80"/>
      <c r="BJ13" s="20"/>
      <c r="BK13" s="2"/>
      <c r="BL13" s="80"/>
      <c r="BM13" s="20"/>
      <c r="BN13" s="2"/>
      <c r="BO13" s="80"/>
      <c r="BP13" s="20"/>
      <c r="BQ13" s="2"/>
      <c r="BR13" s="80"/>
      <c r="BS13" s="20"/>
      <c r="BT13" s="2"/>
      <c r="BU13" s="80"/>
      <c r="BV13" s="20"/>
      <c r="BW13" s="2"/>
      <c r="BX13" s="80"/>
      <c r="BY13" s="20"/>
      <c r="BZ13" s="2"/>
      <c r="CA13" s="80"/>
      <c r="CB13" s="20"/>
      <c r="CC13" s="2"/>
      <c r="CD13" s="80"/>
      <c r="CE13" s="20"/>
      <c r="CF13" s="2"/>
      <c r="CG13" s="80"/>
      <c r="CH13" s="20"/>
      <c r="CI13" s="2"/>
      <c r="CJ13" s="80"/>
      <c r="CK13" s="20"/>
      <c r="CL13" s="2"/>
      <c r="CM13" s="80"/>
      <c r="CN13" s="20"/>
      <c r="CO13" s="2"/>
      <c r="CP13" s="80"/>
      <c r="CQ13" s="20"/>
      <c r="CR13" s="2"/>
      <c r="CS13" s="80"/>
      <c r="CT13" s="20"/>
      <c r="CU13" s="2"/>
      <c r="CV13" s="80"/>
      <c r="CW13" s="20"/>
      <c r="CX13" s="2"/>
      <c r="CY13" s="80"/>
      <c r="CZ13" s="20"/>
      <c r="DA13" s="2"/>
      <c r="DB13" s="80"/>
      <c r="DC13" s="20"/>
      <c r="DD13" s="2"/>
      <c r="DE13" s="80"/>
      <c r="DF13" s="20"/>
      <c r="DG13" s="2"/>
      <c r="DH13" s="80"/>
      <c r="DI13" s="20"/>
      <c r="DJ13" s="2"/>
      <c r="DK13" s="80"/>
      <c r="DL13" s="20"/>
      <c r="DM13" s="2"/>
      <c r="DN13" s="80"/>
      <c r="DO13" s="20"/>
      <c r="DP13" s="2"/>
      <c r="DQ13" s="80"/>
      <c r="DR13" s="20"/>
      <c r="DS13" s="2"/>
      <c r="DT13" s="80"/>
      <c r="DU13" s="20"/>
      <c r="DV13" s="2"/>
      <c r="DW13" s="80"/>
      <c r="DX13" s="222"/>
      <c r="DY13" s="2"/>
      <c r="DZ13" s="80"/>
      <c r="EA13" s="20"/>
      <c r="EB13" s="2"/>
      <c r="EC13" s="80"/>
      <c r="ED13" s="20"/>
      <c r="EE13" s="2"/>
      <c r="EF13" s="80"/>
      <c r="EG13" s="20"/>
      <c r="EH13" s="2"/>
      <c r="EI13" s="80"/>
      <c r="EJ13" s="20"/>
      <c r="EK13" s="2"/>
      <c r="EL13" s="80"/>
      <c r="EM13" s="20"/>
      <c r="EN13" s="2"/>
      <c r="EO13" s="80"/>
      <c r="EP13" s="20"/>
      <c r="EQ13" s="2"/>
      <c r="ER13" s="80"/>
      <c r="ES13" s="20"/>
      <c r="ET13" s="2"/>
      <c r="EU13" s="80"/>
      <c r="EV13" s="20"/>
      <c r="EW13" s="2"/>
      <c r="EX13" s="80"/>
    </row>
    <row r="14" spans="1:154">
      <c r="A14" s="2">
        <v>5</v>
      </c>
      <c r="B14" s="2" t="s">
        <v>94</v>
      </c>
      <c r="C14" s="37" t="s">
        <v>161</v>
      </c>
      <c r="D14" s="2" t="s">
        <v>234</v>
      </c>
      <c r="E14" s="20">
        <f>E3</f>
        <v>878701123</v>
      </c>
      <c r="F14" s="20">
        <f>E11</f>
        <v>10309495596</v>
      </c>
      <c r="G14" s="44">
        <f>(E14/F14)</f>
        <v>0.0852322128486023</v>
      </c>
      <c r="H14" s="20">
        <f>H3</f>
        <v>1212874494</v>
      </c>
      <c r="I14" s="20">
        <f>H11</f>
        <v>8280839680</v>
      </c>
      <c r="J14" s="113">
        <f>(H14/I14)</f>
        <v>0.146467573442987</v>
      </c>
      <c r="K14" s="20">
        <f>K3</f>
        <v>740363756</v>
      </c>
      <c r="L14" s="20">
        <f>K11</f>
        <v>3957586330</v>
      </c>
      <c r="M14" s="113">
        <f>(K14/L14)</f>
        <v>0.187074568756154</v>
      </c>
      <c r="N14" s="20">
        <f>N3</f>
        <v>836078476</v>
      </c>
      <c r="O14" s="20">
        <f>N11</f>
        <v>5778362714</v>
      </c>
      <c r="P14" s="113">
        <f>(N14/O14)</f>
        <v>0.144691241685871</v>
      </c>
      <c r="Q14" s="20">
        <f>Q3</f>
        <v>474046000</v>
      </c>
      <c r="R14" s="20">
        <f>Q11</f>
        <v>3262405000</v>
      </c>
      <c r="S14" s="113">
        <f>(Q14/R14)</f>
        <v>0.145305687062152</v>
      </c>
      <c r="T14" s="20">
        <f>T3</f>
        <v>691154544</v>
      </c>
      <c r="U14" s="20">
        <f>T11</f>
        <v>3901795818</v>
      </c>
      <c r="V14" s="113">
        <f>(T14/U14)</f>
        <v>0.177137548000724</v>
      </c>
      <c r="W14" s="20">
        <f>W3</f>
        <v>442674530</v>
      </c>
      <c r="X14" s="20">
        <f>W11</f>
        <v>3761419434</v>
      </c>
      <c r="Y14" s="113">
        <f>(W14/X14)</f>
        <v>0.117688159421574</v>
      </c>
      <c r="Z14" s="20">
        <f>Z3</f>
        <v>65310431</v>
      </c>
      <c r="AA14" s="20">
        <f>Z11</f>
        <v>3761419434</v>
      </c>
      <c r="AB14" s="44">
        <f>(Z14/AA14)</f>
        <v>0.0173632406983517</v>
      </c>
      <c r="AC14" s="20">
        <f>AC3</f>
        <v>131726807</v>
      </c>
      <c r="AD14" s="20">
        <f>AC11</f>
        <v>1765169520</v>
      </c>
      <c r="AE14" s="227">
        <f>(AC14/AD14)</f>
        <v>0.0746255844027944</v>
      </c>
      <c r="AF14" s="20">
        <f>AF3</f>
        <v>216090214</v>
      </c>
      <c r="AG14" s="20">
        <f>AF11</f>
        <v>2243601365</v>
      </c>
      <c r="AH14" s="44">
        <f>(AF14/AG14)</f>
        <v>0.0963139964928663</v>
      </c>
      <c r="AI14" s="20">
        <f>AI3</f>
        <v>-448665262</v>
      </c>
      <c r="AJ14" s="20">
        <f>AI11</f>
        <v>2243601365</v>
      </c>
      <c r="AK14" s="44">
        <f>(AI14/AJ14)</f>
        <v>-0.199975480938433</v>
      </c>
      <c r="AL14" s="20">
        <f>AL3</f>
        <v>254017209</v>
      </c>
      <c r="AM14" s="20">
        <f>AL11</f>
        <v>2890103172</v>
      </c>
      <c r="AN14" s="44">
        <f>(AL14/AM14)</f>
        <v>0.0878920903104701</v>
      </c>
      <c r="AO14" s="20">
        <f>AO3</f>
        <v>138224145</v>
      </c>
      <c r="AP14" s="20">
        <f>AO11</f>
        <v>1606887242</v>
      </c>
      <c r="AQ14" s="44">
        <f>(AO14/AP14)</f>
        <v>0.0860198160687121</v>
      </c>
      <c r="AR14" s="20">
        <f>AR3</f>
        <v>235872006</v>
      </c>
      <c r="AS14" s="20">
        <f>AR11</f>
        <v>1332810822</v>
      </c>
      <c r="AT14" s="113">
        <f>(AR14/AS14)</f>
        <v>0.17697335743872</v>
      </c>
      <c r="AU14" s="20">
        <f>AU3</f>
        <v>314473722</v>
      </c>
      <c r="AV14" s="20">
        <f>AU11</f>
        <v>2882118087</v>
      </c>
      <c r="AW14" s="113">
        <f>(AU14/AV14)</f>
        <v>0.10911201849031</v>
      </c>
      <c r="AX14" s="20">
        <f>AX3</f>
        <v>239705800</v>
      </c>
      <c r="AY14" s="20">
        <f>AX11</f>
        <v>1255827892</v>
      </c>
      <c r="AZ14" s="113">
        <f>(AX14/AY14)</f>
        <v>0.190874722186852</v>
      </c>
      <c r="BA14" s="20">
        <f>BA3</f>
        <v>209277983</v>
      </c>
      <c r="BB14" s="20">
        <f>BA11</f>
        <v>1267440753</v>
      </c>
      <c r="BC14" s="113">
        <f>(BA14/BB14)</f>
        <v>0.165118552882763</v>
      </c>
      <c r="BD14" s="20">
        <f>BD3</f>
        <v>103196039</v>
      </c>
      <c r="BE14" s="20">
        <f>BD11</f>
        <v>1302438433</v>
      </c>
      <c r="BF14" s="44">
        <f>(BD14/BE14)</f>
        <v>0.0792329498157553</v>
      </c>
      <c r="BG14" s="20">
        <f>BG3</f>
        <v>-57948682</v>
      </c>
      <c r="BH14" s="20">
        <f>BG11</f>
        <v>1302438433</v>
      </c>
      <c r="BI14" s="44">
        <f>(BG14/BH14)</f>
        <v>-0.0444924539477253</v>
      </c>
      <c r="BJ14" s="20">
        <f>BJ3</f>
        <v>80331085</v>
      </c>
      <c r="BK14" s="20">
        <f>BJ11</f>
        <v>1051814674</v>
      </c>
      <c r="BL14" s="44">
        <f>(BJ14/BK14)</f>
        <v>0.0763738013793863</v>
      </c>
      <c r="BM14" s="20">
        <f>BM3</f>
        <v>96778145</v>
      </c>
      <c r="BN14" s="20">
        <f>BM11</f>
        <v>1233967974</v>
      </c>
      <c r="BO14" s="44">
        <f>(BM14/BN14)</f>
        <v>0.0784284090342202</v>
      </c>
      <c r="BP14" s="20">
        <f>BP3</f>
        <v>93755043</v>
      </c>
      <c r="BQ14" s="20">
        <f>BP11</f>
        <v>779226291</v>
      </c>
      <c r="BR14" s="113">
        <f>(BP14/BQ14)</f>
        <v>0.120318120785789</v>
      </c>
      <c r="BS14" s="20">
        <f>BS3</f>
        <v>84998000</v>
      </c>
      <c r="BT14" s="20">
        <f>BS11</f>
        <v>851518120</v>
      </c>
      <c r="BU14" s="113">
        <f>(BS14/BT14)</f>
        <v>0.0998193673200988</v>
      </c>
      <c r="BV14" s="20">
        <f>BV3</f>
        <v>63841571</v>
      </c>
      <c r="BW14" s="20">
        <f>BV11</f>
        <v>1014450655</v>
      </c>
      <c r="BX14" s="113">
        <f>(BV14/BW14)</f>
        <v>0.0629321600664746</v>
      </c>
      <c r="BY14" s="20">
        <f>BY3</f>
        <v>52431294</v>
      </c>
      <c r="BZ14" s="20">
        <f>BY11</f>
        <v>365882123</v>
      </c>
      <c r="CA14" s="113">
        <f>(BY14/BZ14)</f>
        <v>0.143301054367174</v>
      </c>
      <c r="CB14" s="20">
        <f>CB3</f>
        <v>114529910</v>
      </c>
      <c r="CC14" s="20">
        <f>CB11</f>
        <v>793061102</v>
      </c>
      <c r="CD14" s="113">
        <f>(CB14/CC14)</f>
        <v>0.14441498859441</v>
      </c>
      <c r="CE14" s="20">
        <f>CE3</f>
        <v>84147308</v>
      </c>
      <c r="CF14" s="20">
        <f>CE11</f>
        <v>517946346</v>
      </c>
      <c r="CG14" s="113">
        <f>(CE14/CF14)</f>
        <v>0.162463368358235</v>
      </c>
      <c r="CH14" s="20">
        <f>CH3</f>
        <v>-10099622</v>
      </c>
      <c r="CI14" s="20">
        <f>CH11</f>
        <v>517946346</v>
      </c>
      <c r="CJ14" s="113">
        <f>(CH14/CI14)</f>
        <v>-0.0194993594954331</v>
      </c>
      <c r="CK14" s="20">
        <f>CK3</f>
        <v>117478000</v>
      </c>
      <c r="CL14" s="20">
        <f>CK11</f>
        <v>738458000</v>
      </c>
      <c r="CM14" s="113">
        <f>(CK14/CL14)</f>
        <v>0.159085553951613</v>
      </c>
      <c r="CN14" s="20">
        <f>CN3</f>
        <v>19600136</v>
      </c>
      <c r="CO14" s="20">
        <f>CN11</f>
        <v>738458000</v>
      </c>
      <c r="CP14" s="113">
        <f>(CN14/CO14)</f>
        <v>0.0265419780136446</v>
      </c>
      <c r="CQ14" s="20">
        <f>CQ3</f>
        <v>44711000</v>
      </c>
      <c r="CR14" s="20">
        <f>CQ11</f>
        <v>301482290</v>
      </c>
      <c r="CS14" s="113">
        <f>(CQ14/CR14)</f>
        <v>0.148303902030199</v>
      </c>
      <c r="CT14" s="20">
        <f>CT3</f>
        <v>108315081</v>
      </c>
      <c r="CU14" s="20">
        <f>CT11</f>
        <v>760099116</v>
      </c>
      <c r="CV14" s="113">
        <f>(CT14/CU14)</f>
        <v>0.142501259006858</v>
      </c>
      <c r="CW14" s="20">
        <f>CW3</f>
        <v>53727146</v>
      </c>
      <c r="CX14" s="20">
        <f>CW11</f>
        <v>760099116</v>
      </c>
      <c r="CY14" s="113">
        <f>(CW14/CX14)</f>
        <v>0.0706843947967438</v>
      </c>
      <c r="CZ14" s="20">
        <f>CZ3</f>
        <v>94418607</v>
      </c>
      <c r="DA14" s="20">
        <f>CZ11</f>
        <v>573394329</v>
      </c>
      <c r="DB14" s="113">
        <f>(CZ14/DA14)</f>
        <v>0.164666098398054</v>
      </c>
      <c r="DC14" s="20">
        <f>DC3</f>
        <v>34245000</v>
      </c>
      <c r="DD14" s="20">
        <f>DC11</f>
        <v>236943000</v>
      </c>
      <c r="DE14" s="113">
        <f>(DC14/DD14)</f>
        <v>0.144528430888442</v>
      </c>
      <c r="DF14" s="20">
        <f>DF3</f>
        <v>84153010</v>
      </c>
      <c r="DG14" s="20">
        <f>DF11</f>
        <v>428362190</v>
      </c>
      <c r="DH14" s="113">
        <f>(DF14/DG14)</f>
        <v>0.196452936240708</v>
      </c>
      <c r="DI14" s="20">
        <f>DI3</f>
        <v>40528411</v>
      </c>
      <c r="DJ14" s="20">
        <f>DI11</f>
        <v>401070653</v>
      </c>
      <c r="DK14" s="113">
        <f>(DI14/DJ14)</f>
        <v>0.101050552307551</v>
      </c>
      <c r="DL14" s="20">
        <f>DL3</f>
        <v>91773292</v>
      </c>
      <c r="DM14" s="20">
        <f>DL11</f>
        <v>547795666</v>
      </c>
      <c r="DN14" s="113">
        <f>(DL14/DM14)</f>
        <v>0.167531978976993</v>
      </c>
      <c r="DO14" s="20">
        <f>DO3</f>
        <v>51198600</v>
      </c>
      <c r="DP14" s="20">
        <f>DO11</f>
        <v>207687930</v>
      </c>
      <c r="DQ14" s="113">
        <f>(DO14/DP14)</f>
        <v>0.24651697380777</v>
      </c>
      <c r="DR14" s="20">
        <f>DR3</f>
        <v>72350985</v>
      </c>
      <c r="DS14" s="20">
        <f>DR11</f>
        <v>287350205</v>
      </c>
      <c r="DT14" s="113">
        <f>(DR14/DS14)</f>
        <v>0.25178678748463</v>
      </c>
      <c r="DU14" s="20">
        <f>DU3</f>
        <v>39583450</v>
      </c>
      <c r="DV14" s="20">
        <f>DU11</f>
        <v>181636980</v>
      </c>
      <c r="DW14" s="113">
        <f>(DU14/DV14)</f>
        <v>0.217926162392702</v>
      </c>
      <c r="DX14" s="222">
        <f>DX3</f>
        <v>66050203</v>
      </c>
      <c r="DY14" s="20">
        <f>DX11</f>
        <v>317450699</v>
      </c>
      <c r="DZ14" s="113">
        <f>(DX14/DY14)</f>
        <v>0.208064443417716</v>
      </c>
      <c r="EA14" s="20">
        <f>EA3</f>
        <v>3988214</v>
      </c>
      <c r="EB14" s="20">
        <f>EA11</f>
        <v>317450699</v>
      </c>
      <c r="EC14" s="113">
        <f>(EA14/EB14)</f>
        <v>0.0125632547433767</v>
      </c>
      <c r="ED14" s="20">
        <f>ED3</f>
        <v>42503094</v>
      </c>
      <c r="EE14" s="20">
        <f>ED11</f>
        <v>268929223</v>
      </c>
      <c r="EF14" s="113">
        <f>(ED14/EE14)</f>
        <v>0.158045650546501</v>
      </c>
      <c r="EG14" s="20">
        <f>EG3</f>
        <v>14650470</v>
      </c>
      <c r="EH14" s="20">
        <f>EG11</f>
        <v>269034180</v>
      </c>
      <c r="EI14" s="113">
        <f>(EG14/EH14)</f>
        <v>0.0544557944273103</v>
      </c>
      <c r="EJ14" s="20">
        <f>EJ3</f>
        <v>45085740</v>
      </c>
      <c r="EK14" s="20">
        <f>EJ11</f>
        <v>270809470</v>
      </c>
      <c r="EL14" s="113">
        <f>(EJ14/EK14)</f>
        <v>0.16648509374506</v>
      </c>
      <c r="EM14" s="20">
        <f>EM3</f>
        <v>9697737</v>
      </c>
      <c r="EN14" s="20">
        <f>EM11</f>
        <v>116348224</v>
      </c>
      <c r="EO14" s="113">
        <f>(EM14/EN14)</f>
        <v>0.0833509671793529</v>
      </c>
      <c r="EP14" s="20">
        <f>EP3</f>
        <v>13034566</v>
      </c>
      <c r="EQ14" s="20">
        <f>EP11</f>
        <v>116348224</v>
      </c>
      <c r="ER14" s="113">
        <f>(EP14/EQ14)</f>
        <v>0.112030640020771</v>
      </c>
      <c r="ES14" s="20">
        <f>ES3</f>
        <v>15208423</v>
      </c>
      <c r="ET14" s="20">
        <f>ES11</f>
        <v>116348224</v>
      </c>
      <c r="EU14" s="113">
        <f>(ES14/ET14)</f>
        <v>0.130714698318042</v>
      </c>
      <c r="EV14" s="20">
        <f>EV3</f>
        <v>14190940</v>
      </c>
      <c r="EW14" s="20">
        <f>EV11</f>
        <v>59145890</v>
      </c>
      <c r="EX14" s="113">
        <f>(EV14/EW14)</f>
        <v>0.239931126237174</v>
      </c>
    </row>
    <row r="15" ht="5.5" customHeight="1" spans="1:154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113"/>
      <c r="K15" s="20"/>
      <c r="L15" s="2"/>
      <c r="M15" s="113"/>
      <c r="N15" s="20"/>
      <c r="O15" s="2"/>
      <c r="P15" s="113"/>
      <c r="Q15" s="20"/>
      <c r="R15" s="2"/>
      <c r="S15" s="113"/>
      <c r="T15" s="20"/>
      <c r="U15" s="2"/>
      <c r="V15" s="113"/>
      <c r="W15" s="20"/>
      <c r="X15" s="2"/>
      <c r="Y15" s="113"/>
      <c r="Z15" s="20"/>
      <c r="AA15" s="2"/>
      <c r="AB15" s="44"/>
      <c r="AC15" s="20"/>
      <c r="AD15" s="2"/>
      <c r="AE15" s="227"/>
      <c r="AF15" s="20"/>
      <c r="AG15" s="2"/>
      <c r="AH15" s="44"/>
      <c r="AI15" s="20"/>
      <c r="AJ15" s="2"/>
      <c r="AK15" s="44"/>
      <c r="AL15" s="20"/>
      <c r="AM15" s="2"/>
      <c r="AN15" s="44"/>
      <c r="AO15" s="20"/>
      <c r="AP15" s="2"/>
      <c r="AQ15" s="44"/>
      <c r="AR15" s="20"/>
      <c r="AS15" s="2"/>
      <c r="AT15" s="113"/>
      <c r="AU15" s="20"/>
      <c r="AV15" s="2"/>
      <c r="AW15" s="113"/>
      <c r="AX15" s="20"/>
      <c r="AY15" s="2"/>
      <c r="AZ15" s="113"/>
      <c r="BA15" s="20"/>
      <c r="BB15" s="2"/>
      <c r="BC15" s="113"/>
      <c r="BD15" s="20"/>
      <c r="BE15" s="2"/>
      <c r="BF15" s="44"/>
      <c r="BG15" s="20"/>
      <c r="BH15" s="2"/>
      <c r="BI15" s="44"/>
      <c r="BJ15" s="20"/>
      <c r="BK15" s="2"/>
      <c r="BL15" s="44"/>
      <c r="BM15" s="20"/>
      <c r="BN15" s="2"/>
      <c r="BO15" s="44"/>
      <c r="BP15" s="20"/>
      <c r="BQ15" s="2"/>
      <c r="BR15" s="113"/>
      <c r="BS15" s="20"/>
      <c r="BT15" s="2"/>
      <c r="BU15" s="113"/>
      <c r="BV15" s="20"/>
      <c r="BW15" s="2"/>
      <c r="BX15" s="113"/>
      <c r="BY15" s="20"/>
      <c r="BZ15" s="2"/>
      <c r="CA15" s="113"/>
      <c r="CB15" s="20"/>
      <c r="CC15" s="2"/>
      <c r="CD15" s="113"/>
      <c r="CE15" s="20"/>
      <c r="CF15" s="2"/>
      <c r="CG15" s="113"/>
      <c r="CH15" s="20"/>
      <c r="CI15" s="2"/>
      <c r="CJ15" s="113"/>
      <c r="CK15" s="20"/>
      <c r="CL15" s="2"/>
      <c r="CM15" s="113"/>
      <c r="CN15" s="20"/>
      <c r="CO15" s="2"/>
      <c r="CP15" s="113"/>
      <c r="CQ15" s="20"/>
      <c r="CR15" s="2"/>
      <c r="CS15" s="113"/>
      <c r="CT15" s="20"/>
      <c r="CU15" s="2"/>
      <c r="CV15" s="113"/>
      <c r="CW15" s="20"/>
      <c r="CX15" s="2"/>
      <c r="CY15" s="113"/>
      <c r="CZ15" s="20"/>
      <c r="DA15" s="2"/>
      <c r="DB15" s="113"/>
      <c r="DC15" s="20"/>
      <c r="DD15" s="2"/>
      <c r="DE15" s="113"/>
      <c r="DF15" s="20"/>
      <c r="DG15" s="2"/>
      <c r="DH15" s="113"/>
      <c r="DI15" s="20"/>
      <c r="DJ15" s="2"/>
      <c r="DK15" s="113"/>
      <c r="DL15" s="20"/>
      <c r="DM15" s="2"/>
      <c r="DN15" s="113"/>
      <c r="DO15" s="20"/>
      <c r="DP15" s="2"/>
      <c r="DQ15" s="113"/>
      <c r="DR15" s="20"/>
      <c r="DS15" s="2"/>
      <c r="DT15" s="113"/>
      <c r="DU15" s="20"/>
      <c r="DV15" s="2"/>
      <c r="DW15" s="113"/>
      <c r="DX15" s="222"/>
      <c r="DY15" s="2"/>
      <c r="DZ15" s="113"/>
      <c r="EA15" s="20"/>
      <c r="EB15" s="2"/>
      <c r="EC15" s="113"/>
      <c r="ED15" s="20"/>
      <c r="EE15" s="2"/>
      <c r="EF15" s="113"/>
      <c r="EG15" s="20"/>
      <c r="EH15" s="2"/>
      <c r="EI15" s="113"/>
      <c r="EJ15" s="20"/>
      <c r="EK15" s="2"/>
      <c r="EL15" s="113"/>
      <c r="EM15" s="20"/>
      <c r="EN15" s="2"/>
      <c r="EO15" s="113"/>
      <c r="EP15" s="20"/>
      <c r="EQ15" s="2"/>
      <c r="ER15" s="113"/>
      <c r="ES15" s="20"/>
      <c r="ET15" s="2"/>
      <c r="EU15" s="113"/>
      <c r="EV15" s="20"/>
      <c r="EW15" s="2"/>
      <c r="EX15" s="113"/>
    </row>
    <row r="16" hidden="1" spans="1:154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  <c r="W16" s="20"/>
      <c r="X16" s="2"/>
      <c r="Y16" s="38"/>
      <c r="Z16" s="20"/>
      <c r="AA16" s="2"/>
      <c r="AB16" s="38"/>
      <c r="AC16" s="20"/>
      <c r="AD16" s="2"/>
      <c r="AE16" s="38"/>
      <c r="AF16" s="20"/>
      <c r="AG16" s="2"/>
      <c r="AH16" s="38"/>
      <c r="AI16" s="20"/>
      <c r="AJ16" s="2"/>
      <c r="AK16" s="38"/>
      <c r="AL16" s="20"/>
      <c r="AM16" s="2"/>
      <c r="AN16" s="38"/>
      <c r="AO16" s="20"/>
      <c r="AP16" s="2"/>
      <c r="AQ16" s="38"/>
      <c r="AR16" s="20"/>
      <c r="AS16" s="2"/>
      <c r="AT16" s="38"/>
      <c r="AU16" s="20"/>
      <c r="AV16" s="2"/>
      <c r="AW16" s="38"/>
      <c r="AX16" s="20"/>
      <c r="AY16" s="2"/>
      <c r="AZ16" s="38"/>
      <c r="BA16" s="20"/>
      <c r="BB16" s="2"/>
      <c r="BC16" s="38"/>
      <c r="BD16" s="20"/>
      <c r="BE16" s="2"/>
      <c r="BF16" s="38"/>
      <c r="BG16" s="20"/>
      <c r="BH16" s="2"/>
      <c r="BI16" s="38"/>
      <c r="BJ16" s="20"/>
      <c r="BK16" s="2"/>
      <c r="BL16" s="38"/>
      <c r="BM16" s="20"/>
      <c r="BN16" s="2"/>
      <c r="BO16" s="38"/>
      <c r="BP16" s="20"/>
      <c r="BQ16" s="2"/>
      <c r="BR16" s="38"/>
      <c r="BS16" s="20"/>
      <c r="BT16" s="2"/>
      <c r="BU16" s="38"/>
      <c r="BV16" s="20"/>
      <c r="BW16" s="2"/>
      <c r="BX16" s="38"/>
      <c r="BY16" s="20"/>
      <c r="BZ16" s="2"/>
      <c r="CA16" s="38"/>
      <c r="CB16" s="20"/>
      <c r="CC16" s="2"/>
      <c r="CD16" s="38"/>
      <c r="CE16" s="20"/>
      <c r="CF16" s="2"/>
      <c r="CG16" s="38"/>
      <c r="CH16" s="20"/>
      <c r="CI16" s="2"/>
      <c r="CJ16" s="38"/>
      <c r="CK16" s="20"/>
      <c r="CL16" s="2"/>
      <c r="CM16" s="38"/>
      <c r="CN16" s="20"/>
      <c r="CO16" s="2"/>
      <c r="CP16" s="38"/>
      <c r="CQ16" s="20"/>
      <c r="CR16" s="2"/>
      <c r="CS16" s="38"/>
      <c r="CT16" s="20"/>
      <c r="CU16" s="2"/>
      <c r="CV16" s="38"/>
      <c r="CW16" s="20"/>
      <c r="CX16" s="2"/>
      <c r="CY16" s="38"/>
      <c r="CZ16" s="20"/>
      <c r="DA16" s="2"/>
      <c r="DB16" s="38"/>
      <c r="DC16" s="20"/>
      <c r="DD16" s="2"/>
      <c r="DE16" s="38"/>
      <c r="DF16" s="20"/>
      <c r="DG16" s="2"/>
      <c r="DH16" s="38"/>
      <c r="DI16" s="20"/>
      <c r="DJ16" s="2"/>
      <c r="DK16" s="38"/>
      <c r="DL16" s="20"/>
      <c r="DM16" s="2"/>
      <c r="DN16" s="38"/>
      <c r="DO16" s="20"/>
      <c r="DP16" s="2"/>
      <c r="DQ16" s="38"/>
      <c r="DR16" s="20"/>
      <c r="DS16" s="2"/>
      <c r="DT16" s="38"/>
      <c r="DU16" s="20"/>
      <c r="DV16" s="2"/>
      <c r="DW16" s="38"/>
      <c r="DX16" s="222"/>
      <c r="DY16" s="2"/>
      <c r="DZ16" s="38"/>
      <c r="EA16" s="20"/>
      <c r="EB16" s="2"/>
      <c r="EC16" s="38"/>
      <c r="ED16" s="20"/>
      <c r="EE16" s="2"/>
      <c r="EF16" s="38"/>
      <c r="EG16" s="20"/>
      <c r="EH16" s="2"/>
      <c r="EI16" s="38"/>
      <c r="EJ16" s="20"/>
      <c r="EK16" s="2"/>
      <c r="EL16" s="38"/>
      <c r="EM16" s="20"/>
      <c r="EN16" s="2"/>
      <c r="EO16" s="38"/>
      <c r="EP16" s="20"/>
      <c r="EQ16" s="2"/>
      <c r="ER16" s="38"/>
      <c r="ES16" s="20"/>
      <c r="ET16" s="2"/>
      <c r="EU16" s="38"/>
      <c r="EV16" s="20"/>
      <c r="EW16" s="2"/>
      <c r="EX16" s="38"/>
    </row>
    <row r="17" ht="16.5" customHeight="1" spans="1:154">
      <c r="A17" s="2">
        <v>6</v>
      </c>
      <c r="B17" s="2" t="s">
        <v>177</v>
      </c>
      <c r="C17" s="2" t="s">
        <v>171</v>
      </c>
      <c r="D17" s="41" t="s">
        <v>235</v>
      </c>
      <c r="E17" s="20">
        <v>34267222257</v>
      </c>
      <c r="F17" s="20">
        <v>38123180344</v>
      </c>
      <c r="G17" s="38">
        <f>((E17-F17)/F17)*100</f>
        <v>-10.114471175296</v>
      </c>
      <c r="H17" s="20">
        <v>39785398036</v>
      </c>
      <c r="I17" s="20">
        <v>35330915994</v>
      </c>
      <c r="J17" s="96">
        <f>((H17-I17)/I17)*100</f>
        <v>12.6078872191043</v>
      </c>
      <c r="K17" s="20">
        <v>27313635293</v>
      </c>
      <c r="L17" s="20">
        <v>25874567913</v>
      </c>
      <c r="M17" s="96">
        <f>((K17-L17)/L17)*100</f>
        <v>5.56170593780999</v>
      </c>
      <c r="N17" s="20">
        <v>24553535751</v>
      </c>
      <c r="O17" s="20">
        <v>24126806408</v>
      </c>
      <c r="P17" s="38">
        <f>((N17-O17)/O17)*100</f>
        <v>1.7686938577105</v>
      </c>
      <c r="Q17" s="20">
        <v>24218650000</v>
      </c>
      <c r="R17" s="20">
        <v>20539362000</v>
      </c>
      <c r="S17" s="96">
        <f>((Q17-R17)/R17)*100</f>
        <v>17.9133509599763</v>
      </c>
      <c r="T17" s="20">
        <v>25322822545</v>
      </c>
      <c r="U17" s="20">
        <v>23169748999</v>
      </c>
      <c r="V17" s="96">
        <f>((T17-U17)/U17)*100</f>
        <v>9.29260626039983</v>
      </c>
      <c r="W17" s="20">
        <v>21699229675</v>
      </c>
      <c r="X17" s="20">
        <v>19581331837</v>
      </c>
      <c r="Y17" s="96">
        <f>((W17-X17)/X17)*100</f>
        <v>10.8159028999147</v>
      </c>
      <c r="Z17" s="20">
        <v>21699229675</v>
      </c>
      <c r="AA17" s="20">
        <v>19581331837</v>
      </c>
      <c r="AB17" s="96">
        <f>((Z17-AA17)/AA17)*100</f>
        <v>10.8159028999147</v>
      </c>
      <c r="AC17" s="20">
        <v>6090792569</v>
      </c>
      <c r="AD17" s="20">
        <v>7408077363</v>
      </c>
      <c r="AE17" s="96">
        <f>((AC17-AD17)/AD17)*100</f>
        <v>-17.781736467538</v>
      </c>
      <c r="AF17" s="20">
        <v>15017884501</v>
      </c>
      <c r="AG17" s="20">
        <v>13756742914</v>
      </c>
      <c r="AH17" s="96">
        <f>((AF17-AG17)/AG17)*100</f>
        <v>9.16744315775908</v>
      </c>
      <c r="AI17" s="20">
        <v>15017884501</v>
      </c>
      <c r="AJ17" s="20">
        <v>13756742914</v>
      </c>
      <c r="AK17" s="38">
        <f>((AI17-AJ17)/AJ17)*100</f>
        <v>9.16744315775908</v>
      </c>
      <c r="AL17" s="20">
        <v>20138329611</v>
      </c>
      <c r="AM17" s="20">
        <v>20122039492</v>
      </c>
      <c r="AN17" s="38">
        <f>((AL17-AM17)/AM17)*100</f>
        <v>0.0809565998838066</v>
      </c>
      <c r="AO17" s="20">
        <v>11920127117</v>
      </c>
      <c r="AP17" s="20">
        <v>11107755885</v>
      </c>
      <c r="AQ17" s="96">
        <f>((AO17-AP17)/AP17)*100</f>
        <v>7.31354956312132</v>
      </c>
      <c r="AR17" s="20">
        <v>9836330354</v>
      </c>
      <c r="AS17" s="20">
        <v>8501959959</v>
      </c>
      <c r="AT17" s="96">
        <f>((AR17-AS17)/AS17)*100</f>
        <v>15.6948562617901</v>
      </c>
      <c r="AU17" s="20">
        <v>12678533151</v>
      </c>
      <c r="AV17" s="20">
        <v>11418606516</v>
      </c>
      <c r="AW17" s="96">
        <f>((AU17-AV17)/AV17)*100</f>
        <v>11.0339789118275</v>
      </c>
      <c r="AX17" s="20">
        <v>9294279909</v>
      </c>
      <c r="AY17" s="20">
        <v>8071745626</v>
      </c>
      <c r="AZ17" s="96">
        <f>((AX17-AY17)/AY17)*100</f>
        <v>15.1458474987378</v>
      </c>
      <c r="BA17" s="20">
        <v>9294279909</v>
      </c>
      <c r="BB17" s="20">
        <v>8071745626</v>
      </c>
      <c r="BC17" s="96">
        <f>((BA17-BB17)/BB17)*100</f>
        <v>15.1458474987378</v>
      </c>
      <c r="BD17" s="20">
        <v>6244362745</v>
      </c>
      <c r="BE17" s="20">
        <v>6306102101</v>
      </c>
      <c r="BF17" s="96">
        <f>((BD17-BE17)/BE17)*100</f>
        <v>-0.979041490466981</v>
      </c>
      <c r="BG17" s="20">
        <v>6244362745</v>
      </c>
      <c r="BH17" s="20">
        <v>6306102101</v>
      </c>
      <c r="BI17" s="96">
        <f>((BG17-BH17)/BH17)*100</f>
        <v>-0.979041490466981</v>
      </c>
      <c r="BJ17" s="20">
        <v>9888359924</v>
      </c>
      <c r="BK17" s="20">
        <v>9754158386</v>
      </c>
      <c r="BL17" s="96">
        <f>((BJ17-BK17)/BK17)*100</f>
        <v>1.37583923378379</v>
      </c>
      <c r="BM17" s="20">
        <v>9595429271</v>
      </c>
      <c r="BN17" s="20">
        <v>9112205648</v>
      </c>
      <c r="BO17" s="96">
        <f>((BM17-BN17)/BN17)*100</f>
        <v>5.30303684603585</v>
      </c>
      <c r="BP17" s="20">
        <v>5838226212</v>
      </c>
      <c r="BQ17" s="20">
        <v>5188303838</v>
      </c>
      <c r="BR17" s="96">
        <f>((BP17-BQ17)/BQ17)*100</f>
        <v>12.5266829833646</v>
      </c>
      <c r="BS17" s="20">
        <v>5496406080</v>
      </c>
      <c r="BT17" s="20">
        <v>4269286700</v>
      </c>
      <c r="BU17" s="96">
        <f>((BS17-BT17)/BT17)*100</f>
        <v>28.7429602701547</v>
      </c>
      <c r="BV17" s="20">
        <v>6752313137</v>
      </c>
      <c r="BW17" s="20">
        <v>5316104154</v>
      </c>
      <c r="BX17" s="96">
        <f>((BV17-BW17)/BW17)*100</f>
        <v>27.0161934641433</v>
      </c>
      <c r="BY17" s="20">
        <v>3761927455</v>
      </c>
      <c r="BZ17" s="20">
        <v>3572028235</v>
      </c>
      <c r="CA17" s="96">
        <f>((BY17-BZ17)/BZ17)*100</f>
        <v>5.31628552482593</v>
      </c>
      <c r="CB17" s="20">
        <v>5247941255</v>
      </c>
      <c r="CC17" s="20">
        <v>4582488791</v>
      </c>
      <c r="CD17" s="96">
        <f>((CB17-CC17)/CC17)*100</f>
        <v>14.5216386629673</v>
      </c>
      <c r="CE17" s="20">
        <v>5498664713</v>
      </c>
      <c r="CF17" s="20">
        <v>4893588372</v>
      </c>
      <c r="CG17" s="96">
        <f>((CE17-CF17)/CF17)*100</f>
        <v>12.3646758779735</v>
      </c>
      <c r="CH17" s="20">
        <v>5498664713</v>
      </c>
      <c r="CI17" s="20">
        <v>4893588372</v>
      </c>
      <c r="CJ17" s="38">
        <f>((CH17-CI17)/CI17)*100</f>
        <v>12.3646758779735</v>
      </c>
      <c r="CK17" s="20">
        <v>6255214000</v>
      </c>
      <c r="CL17" s="20">
        <v>5959722000</v>
      </c>
      <c r="CM17" s="38">
        <f>((CK17-CL17)/CL17)*100</f>
        <v>4.95815073253417</v>
      </c>
      <c r="CN17" s="20">
        <v>6255214000</v>
      </c>
      <c r="CO17" s="20">
        <v>5959722000</v>
      </c>
      <c r="CP17" s="38">
        <f>((CN17-CO17)/CO17)*100</f>
        <v>4.95815073253417</v>
      </c>
      <c r="CQ17" s="20">
        <v>1553410950</v>
      </c>
      <c r="CR17" s="20">
        <v>1478651510</v>
      </c>
      <c r="CS17" s="96">
        <f>((CQ17-CR17)/CR17)*100</f>
        <v>5.05592017418628</v>
      </c>
      <c r="CT17" s="20">
        <v>4847429143</v>
      </c>
      <c r="CU17" s="20">
        <v>3897112361</v>
      </c>
      <c r="CV17" s="96">
        <f>((CT17-CU17)/CU17)*100</f>
        <v>24.3851522350294</v>
      </c>
      <c r="CW17" s="20">
        <v>4847429143</v>
      </c>
      <c r="CX17" s="20">
        <v>3897112361</v>
      </c>
      <c r="CY17" s="96">
        <f>((CW17-CX17)/CX17)*100</f>
        <v>24.3851522350294</v>
      </c>
      <c r="CZ17" s="20">
        <v>5315264492</v>
      </c>
      <c r="DA17" s="20">
        <v>4242635376</v>
      </c>
      <c r="DB17" s="96">
        <f>((CZ17-DA17)/DA17)*100</f>
        <v>25.2821423699928</v>
      </c>
      <c r="DC17" s="20">
        <v>2458326000</v>
      </c>
      <c r="DD17" s="20">
        <v>2177629000</v>
      </c>
      <c r="DE17" s="96">
        <f>((DC17-DD17)/DD17)*100</f>
        <v>12.8900285585837</v>
      </c>
      <c r="DF17" s="20">
        <v>2969146830</v>
      </c>
      <c r="DG17" s="20">
        <v>2754935120</v>
      </c>
      <c r="DH17" s="96">
        <f>((DF17-DG17)/DG17)*100</f>
        <v>7.77556278711929</v>
      </c>
      <c r="DI17" s="20">
        <v>3163497856</v>
      </c>
      <c r="DJ17" s="20">
        <v>3031503124</v>
      </c>
      <c r="DK17" s="96">
        <f>((DI17-DJ17)/DJ17)*100</f>
        <v>4.35410179705954</v>
      </c>
      <c r="DL17" s="20">
        <v>4924690276</v>
      </c>
      <c r="DM17" s="20">
        <v>3743795732</v>
      </c>
      <c r="DN17" s="96">
        <f>((DL17-DM17)/DM17)*100</f>
        <v>31.5427076831766</v>
      </c>
      <c r="DO17" s="20">
        <v>1929179060</v>
      </c>
      <c r="DP17" s="20">
        <v>1667830700</v>
      </c>
      <c r="DQ17" s="96">
        <f>((DO17-DP17)/DP17)*100</f>
        <v>15.6699573883608</v>
      </c>
      <c r="DR17" s="20">
        <v>2884103650</v>
      </c>
      <c r="DS17" s="20">
        <v>2339547237</v>
      </c>
      <c r="DT17" s="96">
        <f>((DR17-DS17)/DS17)*100</f>
        <v>23.2761452467309</v>
      </c>
      <c r="DU17" s="20">
        <v>1947825120</v>
      </c>
      <c r="DV17" s="20">
        <v>1681732820</v>
      </c>
      <c r="DW17" s="96">
        <f>((DU17-DV17)/DV17)*100</f>
        <v>15.8225074063786</v>
      </c>
      <c r="DX17" s="222">
        <v>3450125602</v>
      </c>
      <c r="DY17" s="20">
        <v>2163332967</v>
      </c>
      <c r="DZ17" s="96">
        <f>((DX17-DY17)/DY17)*100</f>
        <v>59.481950057113</v>
      </c>
      <c r="EA17" s="20">
        <v>3450125602</v>
      </c>
      <c r="EB17" s="20">
        <v>2163332967</v>
      </c>
      <c r="EC17" s="96">
        <f>((EA17-EB17)/EB17)*100</f>
        <v>59.481950057113</v>
      </c>
      <c r="ED17" s="20">
        <v>2293911718</v>
      </c>
      <c r="EE17" s="20">
        <v>2057800256</v>
      </c>
      <c r="EF17" s="96">
        <f>((ED17-EE17)/EE17)*100</f>
        <v>11.4739737888341</v>
      </c>
      <c r="EG17" s="20">
        <v>2083467730</v>
      </c>
      <c r="EH17" s="20">
        <v>2069137570</v>
      </c>
      <c r="EI17" s="96">
        <f>((EG17-EH17)/EH17)*100</f>
        <v>0.692566806952328</v>
      </c>
      <c r="EJ17" s="20">
        <v>2699399080</v>
      </c>
      <c r="EK17" s="20">
        <v>2193006950</v>
      </c>
      <c r="EL17" s="96">
        <f>((EJ17-EK17)/EK17)*100</f>
        <v>23.0912232175096</v>
      </c>
      <c r="EM17" s="20">
        <v>801566055</v>
      </c>
      <c r="EN17" s="20">
        <v>708787898</v>
      </c>
      <c r="EO17" s="38">
        <f>((EM17-EN17)/EN17)*100</f>
        <v>13.0896925951746</v>
      </c>
      <c r="EP17" s="20">
        <v>801566055</v>
      </c>
      <c r="EQ17" s="20">
        <v>708787898</v>
      </c>
      <c r="ER17" s="38">
        <f>((EP17-EQ17)/EQ17)*100</f>
        <v>13.0896925951746</v>
      </c>
      <c r="ES17" s="20">
        <v>801566055</v>
      </c>
      <c r="ET17" s="20">
        <v>708787898</v>
      </c>
      <c r="EU17" s="38">
        <f>((ES17-ET17)/ET17)*100</f>
        <v>13.0896925951746</v>
      </c>
      <c r="EV17" s="20">
        <v>478813060</v>
      </c>
      <c r="EW17" s="20">
        <v>477116730</v>
      </c>
      <c r="EX17" s="38">
        <f>((EV17-EW17)/EW17)*100</f>
        <v>0.355537731825082</v>
      </c>
    </row>
    <row r="18" hidden="1" spans="1:154">
      <c r="A18" s="2"/>
      <c r="B18" s="2"/>
      <c r="C18" s="2"/>
      <c r="D18" s="2"/>
      <c r="E18" s="20"/>
      <c r="F18" s="2"/>
      <c r="G18" s="38"/>
      <c r="H18" s="20"/>
      <c r="I18" s="2"/>
      <c r="J18" s="38"/>
      <c r="K18" s="20"/>
      <c r="L18" s="2"/>
      <c r="M18" s="38"/>
      <c r="N18" s="20"/>
      <c r="O18" s="2"/>
      <c r="P18" s="38"/>
      <c r="Q18" s="20"/>
      <c r="R18" s="2"/>
      <c r="S18" s="38"/>
      <c r="T18" s="20"/>
      <c r="U18" s="2"/>
      <c r="V18" s="38"/>
      <c r="W18" s="20"/>
      <c r="X18" s="2"/>
      <c r="Y18" s="38"/>
      <c r="Z18" s="20"/>
      <c r="AA18" s="2"/>
      <c r="AB18" s="38"/>
      <c r="AC18" s="20"/>
      <c r="AD18" s="2"/>
      <c r="AE18" s="38"/>
      <c r="AF18" s="20"/>
      <c r="AG18" s="2"/>
      <c r="AH18" s="38"/>
      <c r="AI18" s="20"/>
      <c r="AJ18" s="2"/>
      <c r="AK18" s="38"/>
      <c r="AL18" s="20"/>
      <c r="AM18" s="2"/>
      <c r="AN18" s="38"/>
      <c r="AO18" s="20"/>
      <c r="AP18" s="2"/>
      <c r="AQ18" s="38"/>
      <c r="AR18" s="20"/>
      <c r="AS18" s="2"/>
      <c r="AT18" s="38"/>
      <c r="AU18" s="20"/>
      <c r="AV18" s="2"/>
      <c r="AW18" s="38"/>
      <c r="AX18" s="20"/>
      <c r="AY18" s="2"/>
      <c r="AZ18" s="38"/>
      <c r="BA18" s="20"/>
      <c r="BB18" s="2"/>
      <c r="BC18" s="38"/>
      <c r="BD18" s="20"/>
      <c r="BE18" s="2"/>
      <c r="BF18" s="38"/>
      <c r="BG18" s="20"/>
      <c r="BH18" s="2"/>
      <c r="BI18" s="38"/>
      <c r="BJ18" s="20"/>
      <c r="BK18" s="2"/>
      <c r="BL18" s="38"/>
      <c r="BM18" s="20"/>
      <c r="BN18" s="2"/>
      <c r="BO18" s="38"/>
      <c r="BP18" s="20"/>
      <c r="BQ18" s="2"/>
      <c r="BR18" s="38"/>
      <c r="BS18" s="20"/>
      <c r="BT18" s="2"/>
      <c r="BU18" s="38"/>
      <c r="BV18" s="20"/>
      <c r="BW18" s="2"/>
      <c r="BX18" s="38"/>
      <c r="BY18" s="20"/>
      <c r="BZ18" s="2"/>
      <c r="CA18" s="38"/>
      <c r="CB18" s="20"/>
      <c r="CC18" s="2"/>
      <c r="CD18" s="38"/>
      <c r="CE18" s="20"/>
      <c r="CF18" s="2"/>
      <c r="CG18" s="38"/>
      <c r="CH18" s="20"/>
      <c r="CI18" s="2"/>
      <c r="CJ18" s="38"/>
      <c r="CK18" s="20"/>
      <c r="CL18" s="2"/>
      <c r="CM18" s="38"/>
      <c r="CN18" s="20"/>
      <c r="CO18" s="2"/>
      <c r="CP18" s="38"/>
      <c r="CQ18" s="20"/>
      <c r="CR18" s="2"/>
      <c r="CS18" s="38"/>
      <c r="CT18" s="20"/>
      <c r="CU18" s="2"/>
      <c r="CV18" s="38"/>
      <c r="CW18" s="20"/>
      <c r="CX18" s="2"/>
      <c r="CY18" s="38"/>
      <c r="CZ18" s="20"/>
      <c r="DA18" s="2"/>
      <c r="DB18" s="38"/>
      <c r="DC18" s="20"/>
      <c r="DD18" s="2"/>
      <c r="DE18" s="38"/>
      <c r="DF18" s="20"/>
      <c r="DG18" s="2"/>
      <c r="DH18" s="38"/>
      <c r="DI18" s="20"/>
      <c r="DJ18" s="2"/>
      <c r="DK18" s="38"/>
      <c r="DL18" s="20"/>
      <c r="DM18" s="2"/>
      <c r="DN18" s="38"/>
      <c r="DO18" s="20"/>
      <c r="DP18" s="2"/>
      <c r="DQ18" s="38"/>
      <c r="DR18" s="20"/>
      <c r="DS18" s="2"/>
      <c r="DT18" s="38"/>
      <c r="DU18" s="20"/>
      <c r="DV18" s="2"/>
      <c r="DW18" s="38"/>
      <c r="DX18" s="222"/>
      <c r="DY18" s="2"/>
      <c r="DZ18" s="38"/>
      <c r="EA18" s="20"/>
      <c r="EB18" s="2"/>
      <c r="EC18" s="38"/>
      <c r="ED18" s="20"/>
      <c r="EE18" s="2"/>
      <c r="EF18" s="38"/>
      <c r="EG18" s="20"/>
      <c r="EH18" s="2"/>
      <c r="EI18" s="38"/>
      <c r="EJ18" s="20"/>
      <c r="EK18" s="2"/>
      <c r="EL18" s="38"/>
      <c r="EM18" s="20"/>
      <c r="EN18" s="2"/>
      <c r="EO18" s="38"/>
      <c r="EP18" s="20"/>
      <c r="EQ18" s="2"/>
      <c r="ER18" s="38"/>
      <c r="ES18" s="20"/>
      <c r="ET18" s="2"/>
      <c r="EU18" s="38"/>
      <c r="EV18" s="20"/>
      <c r="EW18" s="2"/>
      <c r="EX18" s="38"/>
    </row>
    <row r="19" spans="1:154">
      <c r="A19" s="2">
        <v>7</v>
      </c>
      <c r="B19" s="6" t="s">
        <v>179</v>
      </c>
      <c r="C19" s="2" t="s">
        <v>171</v>
      </c>
      <c r="D19" s="2" t="s">
        <v>235</v>
      </c>
      <c r="E19" s="20">
        <v>20586411601</v>
      </c>
      <c r="F19" s="20">
        <v>20146222372</v>
      </c>
      <c r="G19" s="38">
        <f>((E19-F19)/F19)*100</f>
        <v>2.18497155879602</v>
      </c>
      <c r="H19" s="20">
        <v>39428776488</v>
      </c>
      <c r="I19" s="20">
        <v>33727305657</v>
      </c>
      <c r="J19" s="96">
        <f>((H19-I19)/I19)*100</f>
        <v>16.9046139913541</v>
      </c>
      <c r="K19" s="20">
        <v>12305104567</v>
      </c>
      <c r="L19" s="20">
        <v>10533042513</v>
      </c>
      <c r="M19" s="96">
        <f>((K19-L19)/L19)*100</f>
        <v>16.8238384285728</v>
      </c>
      <c r="N19" s="20">
        <v>20828013865</v>
      </c>
      <c r="O19" s="20">
        <v>20185243809</v>
      </c>
      <c r="P19" s="38">
        <f>((N19-O19)/O19)*100</f>
        <v>3.18435616672318</v>
      </c>
      <c r="Q19" s="20">
        <v>6464766000</v>
      </c>
      <c r="R19" s="20">
        <v>5245133000</v>
      </c>
      <c r="S19" s="96">
        <f>((Q19-R19)/R19)*100</f>
        <v>23.2526610860011</v>
      </c>
      <c r="T19" s="20">
        <v>11016434194</v>
      </c>
      <c r="U19" s="20">
        <v>9600064316</v>
      </c>
      <c r="V19" s="96">
        <f>((T19-U19)/U19)*100</f>
        <v>14.7537540518286</v>
      </c>
      <c r="W19" s="20">
        <v>15859664483</v>
      </c>
      <c r="X19" s="20">
        <v>14065627648</v>
      </c>
      <c r="Y19" s="96">
        <f>((W19-X19)/X19)*100</f>
        <v>12.7547584785887</v>
      </c>
      <c r="Z19" s="20">
        <v>15859664483</v>
      </c>
      <c r="AA19" s="20">
        <v>14065627648</v>
      </c>
      <c r="AB19" s="96">
        <f>((Z19-AA19)/AA19)*100</f>
        <v>12.7547584785887</v>
      </c>
      <c r="AC19" s="20">
        <v>4909681172</v>
      </c>
      <c r="AD19" s="20">
        <v>6968540757</v>
      </c>
      <c r="AE19" s="96">
        <f>((AC19-AD19)/AD19)*100</f>
        <v>-29.5450605341132</v>
      </c>
      <c r="AF19" s="20">
        <v>3980898880</v>
      </c>
      <c r="AG19" s="20">
        <v>3407984072</v>
      </c>
      <c r="AH19" s="96">
        <f>((AF19-AG19)/AG19)*100</f>
        <v>16.8109590859614</v>
      </c>
      <c r="AI19" s="20">
        <v>3980898880</v>
      </c>
      <c r="AJ19" s="20">
        <v>3407984072</v>
      </c>
      <c r="AK19" s="96">
        <f>((AI19-AJ19)/AJ19)*100</f>
        <v>16.8109590859614</v>
      </c>
      <c r="AL19" s="20">
        <v>6459901784</v>
      </c>
      <c r="AM19" s="20">
        <v>6141279950</v>
      </c>
      <c r="AN19" s="96">
        <f>((AL19-AM19)/AM19)*100</f>
        <v>5.18819914731293</v>
      </c>
      <c r="AO19" s="20">
        <v>5526007203</v>
      </c>
      <c r="AP19" s="20">
        <v>4824767842</v>
      </c>
      <c r="AQ19" s="96">
        <f>((AO19-AP19)/AP19)*100</f>
        <v>14.5341575794726</v>
      </c>
      <c r="AR19" s="20">
        <v>3610588612</v>
      </c>
      <c r="AS19" s="20">
        <v>3070490825</v>
      </c>
      <c r="AT19" s="96">
        <f>((AR19-AS19)/AS19)*100</f>
        <v>17.5899495482127</v>
      </c>
      <c r="AU19" s="20">
        <v>3560713376</v>
      </c>
      <c r="AV19" s="20">
        <v>3546409212</v>
      </c>
      <c r="AW19" s="38">
        <f>((AU19-AV19)/AV19)*100</f>
        <v>0.403342173587835</v>
      </c>
      <c r="AX19" s="20">
        <v>4497330470</v>
      </c>
      <c r="AY19" s="20">
        <v>3733553067</v>
      </c>
      <c r="AZ19" s="96">
        <f>((AX19-AY19)/AY19)*100</f>
        <v>20.4571192452265</v>
      </c>
      <c r="BA19" s="20">
        <v>10449350302</v>
      </c>
      <c r="BB19" s="20">
        <v>9555877722</v>
      </c>
      <c r="BC19" s="96">
        <f>((BA19-BB19)/BB19)*100</f>
        <v>9.34997920644175</v>
      </c>
      <c r="BD19" s="20">
        <v>0</v>
      </c>
      <c r="BE19" s="20">
        <v>1</v>
      </c>
      <c r="BF19" s="96">
        <f>((BD19-BE19)/BE19)*100</f>
        <v>-100</v>
      </c>
      <c r="BG19" s="20">
        <v>0</v>
      </c>
      <c r="BH19" s="20">
        <v>1</v>
      </c>
      <c r="BI19" s="96">
        <f>((BG19-BH19)/BH19)*100</f>
        <v>-100</v>
      </c>
      <c r="BJ19" s="20">
        <v>2722727099</v>
      </c>
      <c r="BK19" s="20">
        <v>2543213058</v>
      </c>
      <c r="BL19" s="96">
        <f>((BJ19-BK19)/BK19)*100</f>
        <v>7.05855297633502</v>
      </c>
      <c r="BM19" s="20">
        <v>2078165520</v>
      </c>
      <c r="BN19" s="20">
        <v>1896818682</v>
      </c>
      <c r="BO19" s="96">
        <f>((BM19-BN19)/BN19)*100</f>
        <v>9.56057844225725</v>
      </c>
      <c r="BP19" s="20">
        <v>1391092154</v>
      </c>
      <c r="BQ19" s="20">
        <v>1258211847</v>
      </c>
      <c r="BR19" s="96">
        <f>((BP19-BQ19)/BQ19)*100</f>
        <v>10.5610440178918</v>
      </c>
      <c r="BS19" s="20">
        <v>1601860960</v>
      </c>
      <c r="BT19" s="20">
        <v>1369128610</v>
      </c>
      <c r="BU19" s="96">
        <f>((BS19-BT19)/BT19)*100</f>
        <v>16.9985747357949</v>
      </c>
      <c r="BV19" s="20">
        <v>1567726762</v>
      </c>
      <c r="BW19" s="20">
        <v>1333476327</v>
      </c>
      <c r="BX19" s="96">
        <f>((BV19-BW19)/BW19)*100</f>
        <v>17.5668986585616</v>
      </c>
      <c r="BY19" s="20">
        <v>1209592604</v>
      </c>
      <c r="BZ19" s="20">
        <v>1096507958</v>
      </c>
      <c r="CA19" s="96">
        <f>((BY19-BZ19)/BZ19)*100</f>
        <v>10.3131623601039</v>
      </c>
      <c r="CB19" s="20">
        <v>1830212896</v>
      </c>
      <c r="CC19" s="20">
        <v>1645473375</v>
      </c>
      <c r="CD19" s="96">
        <f>((CB19-CC19)/CC19)*100</f>
        <v>11.227135230918</v>
      </c>
      <c r="CE19" s="20">
        <v>1940839196</v>
      </c>
      <c r="CF19" s="20">
        <v>1573799756</v>
      </c>
      <c r="CG19" s="96">
        <f>((CE19-CF19)/CF19)*100</f>
        <v>23.3218640809092</v>
      </c>
      <c r="CH19" s="20">
        <v>1940839196</v>
      </c>
      <c r="CI19" s="20">
        <v>1573799756</v>
      </c>
      <c r="CJ19" s="38">
        <f>((CH19-CI19)/CI19)*100</f>
        <v>23.3218640809092</v>
      </c>
      <c r="CK19" s="20">
        <v>2764119000</v>
      </c>
      <c r="CL19" s="20">
        <v>2435489000</v>
      </c>
      <c r="CM19" s="96">
        <f>((CK19-CL19)/CL19)*100</f>
        <v>13.4933888020024</v>
      </c>
      <c r="CN19" s="20">
        <v>2764119000</v>
      </c>
      <c r="CO19" s="20">
        <v>2435489000</v>
      </c>
      <c r="CP19" s="96">
        <f>((CN19-CO19)/CO19)*100</f>
        <v>13.4933888020024</v>
      </c>
      <c r="CQ19" s="20">
        <v>980097190</v>
      </c>
      <c r="CR19" s="20">
        <v>861502440</v>
      </c>
      <c r="CS19" s="96">
        <f>((CQ19-CR19)/CR19)*100</f>
        <v>13.7660376214373</v>
      </c>
      <c r="CT19" s="20">
        <v>1646933487</v>
      </c>
      <c r="CU19" s="20">
        <v>1373989553</v>
      </c>
      <c r="CV19" s="96">
        <f>((CT19-CU19)/CU19)*100</f>
        <v>19.8650661792914</v>
      </c>
      <c r="CW19" s="20">
        <v>1646933487</v>
      </c>
      <c r="CX19" s="20">
        <v>1373989553</v>
      </c>
      <c r="CY19" s="96">
        <f>((CW19-CX19)/CX19)*100</f>
        <v>19.8650661792914</v>
      </c>
      <c r="CZ19" s="20">
        <v>1894900281</v>
      </c>
      <c r="DA19" s="20">
        <v>1582064180</v>
      </c>
      <c r="DB19" s="96">
        <f>((CZ19-DA19)/DA19)*100</f>
        <v>19.7739197280859</v>
      </c>
      <c r="DC19" s="20">
        <v>1402729000</v>
      </c>
      <c r="DD19" s="20">
        <v>1195759000</v>
      </c>
      <c r="DE19" s="96">
        <f>((DC19-DD19)/DD19)*100</f>
        <v>17.3086717306748</v>
      </c>
      <c r="DF19" s="20">
        <v>1187962370</v>
      </c>
      <c r="DG19" s="20">
        <v>1042657560</v>
      </c>
      <c r="DH19" s="96">
        <f>((DF19-DG19)/DG19)*100</f>
        <v>13.9360050293022</v>
      </c>
      <c r="DI19" s="20">
        <v>2663979491</v>
      </c>
      <c r="DJ19" s="20">
        <v>2483221915</v>
      </c>
      <c r="DK19" s="96">
        <f>((DI19-DJ19)/DJ19)*100</f>
        <v>7.27915515355783</v>
      </c>
      <c r="DL19" s="20">
        <v>1104750903</v>
      </c>
      <c r="DM19" s="20">
        <v>905279515</v>
      </c>
      <c r="DN19" s="96">
        <f>((DL19-DM19)/DM19)*100</f>
        <v>22.0342319355365</v>
      </c>
      <c r="DO19" s="20">
        <v>461594830</v>
      </c>
      <c r="DP19" s="20">
        <v>341705600</v>
      </c>
      <c r="DQ19" s="96">
        <f>((DO19-DP19)/DP19)*100</f>
        <v>35.0855326924698</v>
      </c>
      <c r="DR19" s="20">
        <v>884396847</v>
      </c>
      <c r="DS19" s="20">
        <v>694816467</v>
      </c>
      <c r="DT19" s="96">
        <f>((DR19-DS19)/DS19)*100</f>
        <v>27.2849578275755</v>
      </c>
      <c r="DU19" s="20">
        <v>455569610</v>
      </c>
      <c r="DV19" s="20">
        <v>349406320</v>
      </c>
      <c r="DW19" s="96">
        <f>((DU19-DV19)/DV19)*100</f>
        <v>30.3839066219523</v>
      </c>
      <c r="DX19" s="222">
        <v>358574675</v>
      </c>
      <c r="DY19" s="20">
        <v>237964499</v>
      </c>
      <c r="DZ19" s="96">
        <f>((DX19-DY19)/DY19)*100</f>
        <v>50.6841047748051</v>
      </c>
      <c r="EA19" s="20">
        <v>358574675</v>
      </c>
      <c r="EB19" s="20">
        <v>237964499</v>
      </c>
      <c r="EC19" s="96">
        <f>((EA19-EB19)/EB19)*100</f>
        <v>50.6841047748051</v>
      </c>
      <c r="ED19" s="20">
        <v>503733576</v>
      </c>
      <c r="EE19" s="20">
        <v>474461559</v>
      </c>
      <c r="EF19" s="96">
        <f>((ED19-EE19)/EE19)*100</f>
        <v>6.16952341970448</v>
      </c>
      <c r="EG19" s="20">
        <v>954783500</v>
      </c>
      <c r="EH19" s="20">
        <v>870652890</v>
      </c>
      <c r="EI19" s="96">
        <f>((EG19-EH19)/EH19)*100</f>
        <v>9.66293352566716</v>
      </c>
      <c r="EJ19" s="20">
        <v>846902420</v>
      </c>
      <c r="EK19" s="20">
        <v>761835870</v>
      </c>
      <c r="EL19" s="96">
        <f>((EJ19-EK19)/EK19)*100</f>
        <v>11.1659943236855</v>
      </c>
      <c r="EM19" s="20">
        <v>170928528</v>
      </c>
      <c r="EN19" s="20">
        <v>161290860</v>
      </c>
      <c r="EO19" s="38">
        <f>((EM19-EN19)/EN19)*100</f>
        <v>5.97533425018628</v>
      </c>
      <c r="EP19" s="20">
        <v>170928528</v>
      </c>
      <c r="EQ19" s="20">
        <v>161290860</v>
      </c>
      <c r="ER19" s="38">
        <f>((EP19-EQ19)/EQ19)*100</f>
        <v>5.97533425018628</v>
      </c>
      <c r="ES19" s="20">
        <v>170928528</v>
      </c>
      <c r="ET19" s="20">
        <v>161290860</v>
      </c>
      <c r="EU19" s="38">
        <f>((ES19-ET19)/ET19)*100</f>
        <v>5.97533425018628</v>
      </c>
      <c r="EV19" s="20">
        <v>133273800</v>
      </c>
      <c r="EW19" s="20">
        <v>150191410</v>
      </c>
      <c r="EX19" s="38">
        <f>((EV19-EW19)/EW19)*100</f>
        <v>-11.2640330096109</v>
      </c>
    </row>
    <row r="20" hidden="1" spans="1:154">
      <c r="A20" s="2"/>
      <c r="D20" s="2"/>
      <c r="E20" s="20"/>
      <c r="F20" s="20"/>
      <c r="G20" s="80"/>
      <c r="H20" s="20"/>
      <c r="I20" s="20"/>
      <c r="J20" s="80"/>
      <c r="K20" s="20"/>
      <c r="L20" s="20"/>
      <c r="M20" s="80"/>
      <c r="N20" s="20"/>
      <c r="O20" s="20"/>
      <c r="P20" s="80"/>
      <c r="Q20" s="79" t="s">
        <v>621</v>
      </c>
      <c r="R20" s="20"/>
      <c r="S20" s="80"/>
      <c r="T20" s="79"/>
      <c r="U20" s="20"/>
      <c r="V20" s="80"/>
      <c r="W20" s="79"/>
      <c r="X20" s="20"/>
      <c r="Y20" s="80"/>
      <c r="Z20" s="79"/>
      <c r="AA20" s="20"/>
      <c r="AB20" s="80"/>
      <c r="AC20" s="79"/>
      <c r="AD20" s="20"/>
      <c r="AE20" s="80"/>
      <c r="AF20" s="79" t="s">
        <v>622</v>
      </c>
      <c r="AG20" s="20"/>
      <c r="AH20" s="80"/>
      <c r="AI20" s="79" t="s">
        <v>622</v>
      </c>
      <c r="AJ20" s="20"/>
      <c r="AK20" s="80"/>
      <c r="AL20" s="79" t="s">
        <v>622</v>
      </c>
      <c r="AM20" s="20"/>
      <c r="AN20" s="80"/>
      <c r="AO20" s="79" t="s">
        <v>622</v>
      </c>
      <c r="AP20" s="20"/>
      <c r="AQ20" s="80"/>
      <c r="AR20" s="228"/>
      <c r="AS20" s="20"/>
      <c r="AT20" s="80"/>
      <c r="AU20" s="228"/>
      <c r="AV20" s="20"/>
      <c r="AW20" s="80"/>
      <c r="AX20" s="228"/>
      <c r="AY20" s="20"/>
      <c r="AZ20" s="80"/>
      <c r="BA20" s="228"/>
      <c r="BB20" s="20"/>
      <c r="BC20" s="80"/>
      <c r="BD20" s="229" t="s">
        <v>623</v>
      </c>
      <c r="BE20" s="20"/>
      <c r="BF20" s="80"/>
      <c r="BG20" s="20"/>
      <c r="BH20" s="20"/>
      <c r="BI20" s="80"/>
      <c r="BJ20" s="230" t="s">
        <v>624</v>
      </c>
      <c r="BK20" s="20"/>
      <c r="BL20" s="80"/>
      <c r="BM20" s="20"/>
      <c r="BN20" s="20"/>
      <c r="BO20" s="80"/>
      <c r="BP20" s="20"/>
      <c r="BQ20" s="20"/>
      <c r="BR20" s="80"/>
      <c r="BS20" s="20"/>
      <c r="BT20" s="20"/>
      <c r="BU20" s="80"/>
      <c r="BV20" s="20"/>
      <c r="BW20" s="20"/>
      <c r="BX20" s="80"/>
      <c r="BY20" s="20"/>
      <c r="BZ20" s="20"/>
      <c r="CA20" s="80"/>
      <c r="CB20" s="20"/>
      <c r="CC20" s="20"/>
      <c r="CD20" s="80"/>
      <c r="CE20" s="20"/>
      <c r="CF20" s="20"/>
      <c r="CG20" s="80"/>
      <c r="CH20" s="20"/>
      <c r="CI20" s="20"/>
      <c r="CJ20" s="80"/>
      <c r="CK20" s="20"/>
      <c r="CL20" s="20"/>
      <c r="CM20" s="80"/>
      <c r="CN20" s="20"/>
      <c r="CO20" s="20"/>
      <c r="CP20" s="80"/>
      <c r="CQ20" s="20"/>
      <c r="CR20" s="20"/>
      <c r="CS20" s="80"/>
      <c r="CT20" s="20"/>
      <c r="CU20" s="20"/>
      <c r="CV20" s="80"/>
      <c r="CW20" s="20"/>
      <c r="CX20" s="20"/>
      <c r="CY20" s="80"/>
      <c r="CZ20" s="20"/>
      <c r="DA20" s="20"/>
      <c r="DB20" s="80"/>
      <c r="DC20" s="20"/>
      <c r="DD20" s="20"/>
      <c r="DE20" s="80"/>
      <c r="DF20" s="20"/>
      <c r="DG20" s="20"/>
      <c r="DH20" s="80"/>
      <c r="DI20" s="20"/>
      <c r="DJ20" s="20"/>
      <c r="DK20" s="80"/>
      <c r="DL20" s="20"/>
      <c r="DM20" s="20"/>
      <c r="DN20" s="80"/>
      <c r="DO20" s="20"/>
      <c r="DP20" s="20"/>
      <c r="DQ20" s="80"/>
      <c r="DR20" s="20"/>
      <c r="DS20" s="20"/>
      <c r="DT20" s="80"/>
      <c r="DU20" s="20"/>
      <c r="DV20" s="20"/>
      <c r="DW20" s="80"/>
      <c r="DX20" s="222"/>
      <c r="DY20" s="20"/>
      <c r="DZ20" s="80"/>
      <c r="EA20" s="20"/>
      <c r="EB20" s="20"/>
      <c r="EC20" s="80"/>
      <c r="ED20" s="20"/>
      <c r="EE20" s="20"/>
      <c r="EF20" s="80"/>
      <c r="EG20" s="20"/>
      <c r="EH20" s="20"/>
      <c r="EI20" s="80"/>
      <c r="EJ20" s="20"/>
      <c r="EK20" s="20"/>
      <c r="EL20" s="80"/>
      <c r="EM20" s="20"/>
      <c r="EN20" s="20"/>
      <c r="EO20" s="80"/>
      <c r="EP20" s="20"/>
      <c r="EQ20" s="20"/>
      <c r="ER20" s="80"/>
      <c r="ES20" s="20"/>
      <c r="ET20" s="20"/>
      <c r="EU20" s="80"/>
      <c r="EV20" s="20"/>
      <c r="EW20" s="20"/>
      <c r="EX20" s="80"/>
    </row>
    <row r="21" ht="12.5" hidden="1" customHeight="1" spans="1:154">
      <c r="A21" s="2">
        <v>8</v>
      </c>
      <c r="B21" s="2" t="s">
        <v>180</v>
      </c>
      <c r="C21" s="37" t="s">
        <v>176</v>
      </c>
      <c r="D21" s="2" t="s">
        <v>181</v>
      </c>
      <c r="E21" s="20">
        <f>E11</f>
        <v>10309495596</v>
      </c>
      <c r="F21" s="20">
        <f>F3</f>
        <v>43126215</v>
      </c>
      <c r="G21" s="38">
        <f>E21/F21</f>
        <v>239.054032355958</v>
      </c>
      <c r="H21" s="20">
        <f>H11</f>
        <v>8280839680</v>
      </c>
      <c r="I21" s="20">
        <f>I3</f>
        <v>32153458</v>
      </c>
      <c r="J21" s="38">
        <f>H21/I21</f>
        <v>257.541185150288</v>
      </c>
      <c r="K21" s="20">
        <f>K11</f>
        <v>3957586330</v>
      </c>
      <c r="L21" s="20">
        <f>L3</f>
        <v>15361715</v>
      </c>
      <c r="M21" s="38">
        <f>K21/L21</f>
        <v>257.626595077438</v>
      </c>
      <c r="N21" s="20">
        <f>N11</f>
        <v>5778362714</v>
      </c>
      <c r="O21" s="20">
        <f>O3</f>
        <v>26120797</v>
      </c>
      <c r="P21" s="38">
        <f>N21/O21</f>
        <v>221.216937369867</v>
      </c>
      <c r="Q21" s="20">
        <f>Q11</f>
        <v>3262405000</v>
      </c>
      <c r="R21" s="20">
        <f>R3</f>
        <v>13316090</v>
      </c>
      <c r="S21" s="38">
        <f>Q21/R21</f>
        <v>244.997217651728</v>
      </c>
      <c r="T21" s="20">
        <f>T11</f>
        <v>3901795818</v>
      </c>
      <c r="U21" s="20">
        <f>U3</f>
        <v>18682856</v>
      </c>
      <c r="V21" s="38">
        <f>T21/U21</f>
        <v>208.843648851118</v>
      </c>
      <c r="W21" s="20">
        <f>W11</f>
        <v>3761419434</v>
      </c>
      <c r="X21" s="20">
        <f>X3</f>
        <v>16566250</v>
      </c>
      <c r="Y21" s="38">
        <f>W21/X21</f>
        <v>227.053161337056</v>
      </c>
      <c r="Z21" s="20">
        <f>Z11</f>
        <v>3761419434</v>
      </c>
      <c r="AA21" s="20">
        <f>AA3</f>
        <v>11959537</v>
      </c>
      <c r="AB21" s="38">
        <f>Z21/AA21</f>
        <v>314.512128186902</v>
      </c>
      <c r="AC21" s="20">
        <f>AC11</f>
        <v>1765169520</v>
      </c>
      <c r="AD21" s="20">
        <f>AD3</f>
        <v>13448713</v>
      </c>
      <c r="AE21" s="38">
        <f>AC21/AD21</f>
        <v>131.251928716153</v>
      </c>
      <c r="AF21" s="20">
        <f>AF11</f>
        <v>2243601365</v>
      </c>
      <c r="AG21" s="20">
        <f>AG3</f>
        <v>14190000</v>
      </c>
      <c r="AH21" s="38">
        <f>AF21/AG21</f>
        <v>158.111442212826</v>
      </c>
      <c r="AI21" s="20">
        <f>AI11</f>
        <v>2243601365</v>
      </c>
      <c r="AJ21" s="20">
        <f>AJ3</f>
        <v>17394400</v>
      </c>
      <c r="AK21" s="38">
        <f>AI21/AJ21</f>
        <v>128.984119314262</v>
      </c>
      <c r="AL21" s="20">
        <f>AL11</f>
        <v>2890103172</v>
      </c>
      <c r="AM21" s="20">
        <f>AM3</f>
        <v>13977642</v>
      </c>
      <c r="AN21" s="38">
        <f>AL21/AM21</f>
        <v>206.766146392932</v>
      </c>
      <c r="AO21" s="20">
        <f>AO11</f>
        <v>1606887242</v>
      </c>
      <c r="AP21" s="20">
        <f>AP3</f>
        <v>11062862</v>
      </c>
      <c r="AQ21" s="38">
        <f>AO21/AP21</f>
        <v>145.250590850722</v>
      </c>
      <c r="AR21" s="20">
        <f>AR11</f>
        <v>1332810822</v>
      </c>
      <c r="AS21" s="20">
        <f>AS3</f>
        <v>6189000</v>
      </c>
      <c r="AT21" s="38">
        <f>AR21/AS21</f>
        <v>215.351562772661</v>
      </c>
      <c r="AU21" s="20">
        <f>AU11</f>
        <v>2882118087</v>
      </c>
      <c r="AV21" s="20">
        <f>AV3</f>
        <v>9825000</v>
      </c>
      <c r="AW21" s="38">
        <f>AU21/AV21</f>
        <v>293.345352366412</v>
      </c>
      <c r="AX21" s="20">
        <f>AX11</f>
        <v>1255827892</v>
      </c>
      <c r="AY21" s="20">
        <f>AY3</f>
        <v>7839244</v>
      </c>
      <c r="AZ21" s="38">
        <f>AX21/AY21</f>
        <v>160.197576705101</v>
      </c>
      <c r="BA21" s="20">
        <f>BA11</f>
        <v>1267440753</v>
      </c>
      <c r="BB21" s="20">
        <f>BB3</f>
        <v>7330462</v>
      </c>
      <c r="BC21" s="38">
        <f>BA21/BB21</f>
        <v>172.900528370517</v>
      </c>
      <c r="BD21" s="20">
        <f>BD11</f>
        <v>1302438433</v>
      </c>
      <c r="BE21" s="20">
        <f>BE3</f>
        <v>10340644</v>
      </c>
      <c r="BF21" s="38">
        <f>BD21/BE21</f>
        <v>125.953319058271</v>
      </c>
      <c r="BG21" s="20">
        <f>BG11</f>
        <v>1302438433</v>
      </c>
      <c r="BH21" s="20">
        <f>BH3</f>
        <v>6283573</v>
      </c>
      <c r="BI21" s="38">
        <f>BG21/BH21</f>
        <v>207.276725041628</v>
      </c>
      <c r="BJ21" s="20">
        <f>BJ11</f>
        <v>1051814674</v>
      </c>
      <c r="BK21" s="20">
        <f>BK3</f>
        <v>7008583</v>
      </c>
      <c r="BL21" s="38">
        <f>BJ21/BK21</f>
        <v>150.075225477104</v>
      </c>
      <c r="BM21" s="20">
        <f>BM11</f>
        <v>1233967974</v>
      </c>
      <c r="BN21" s="20">
        <f>BN3</f>
        <v>7450403</v>
      </c>
      <c r="BO21" s="38">
        <f>BM21/BN21</f>
        <v>165.624325825059</v>
      </c>
      <c r="BP21" s="20">
        <f>BP11</f>
        <v>779226291</v>
      </c>
      <c r="BQ21" s="20">
        <f>BQ3</f>
        <v>4974159</v>
      </c>
      <c r="BR21" s="38">
        <f>BP21/BQ21</f>
        <v>156.654881960951</v>
      </c>
      <c r="BS21" s="20">
        <f>BS11</f>
        <v>851518120</v>
      </c>
      <c r="BT21" s="20">
        <f>BT3</f>
        <v>6290515</v>
      </c>
      <c r="BU21" s="38">
        <f>BS21/BT21</f>
        <v>135.365406488976</v>
      </c>
      <c r="BV21" s="20">
        <f>BV11</f>
        <v>1014450655</v>
      </c>
      <c r="BW21" s="20">
        <f>BW3</f>
        <v>7214491</v>
      </c>
      <c r="BX21" s="38">
        <f>BV21/BW21</f>
        <v>140.612921271923</v>
      </c>
      <c r="BY21" s="20">
        <f>BY11</f>
        <v>365882123</v>
      </c>
      <c r="BZ21" s="20">
        <f>BZ3</f>
        <v>2468657</v>
      </c>
      <c r="CA21" s="38">
        <f>BY21/BZ21</f>
        <v>148.211000151094</v>
      </c>
      <c r="CB21" s="20">
        <f>CB11</f>
        <v>793061102</v>
      </c>
      <c r="CC21" s="20">
        <f>CC3</f>
        <v>3699235</v>
      </c>
      <c r="CD21" s="38">
        <f>CB21/CC21</f>
        <v>214.385163959575</v>
      </c>
      <c r="CE21" s="20">
        <f>CE11</f>
        <v>517946346</v>
      </c>
      <c r="CF21" s="20">
        <f>CF3</f>
        <v>2175625</v>
      </c>
      <c r="CG21" s="38">
        <f>CE21/CF21</f>
        <v>238.067840735421</v>
      </c>
      <c r="CH21" s="20">
        <f>CH11</f>
        <v>517946346</v>
      </c>
      <c r="CI21" s="20">
        <f>CI3</f>
        <v>2913375</v>
      </c>
      <c r="CJ21" s="38">
        <f>CH21/CI21</f>
        <v>177.782244304286</v>
      </c>
      <c r="CK21" s="20">
        <f>CK11</f>
        <v>738458000</v>
      </c>
      <c r="CL21" s="20">
        <f>CL3</f>
        <v>2664240</v>
      </c>
      <c r="CM21" s="38">
        <f>CK21/CL21</f>
        <v>277.173978320271</v>
      </c>
      <c r="CN21" s="20">
        <f>CN11</f>
        <v>738458000</v>
      </c>
      <c r="CO21" s="20">
        <f>CO3</f>
        <v>4416621</v>
      </c>
      <c r="CP21" s="38">
        <f>CN21/CO21</f>
        <v>167.199766518341</v>
      </c>
      <c r="CQ21" s="20">
        <f>CQ11</f>
        <v>301482290</v>
      </c>
      <c r="CR21" s="20">
        <f>CR3</f>
        <v>783432</v>
      </c>
      <c r="CS21" s="38">
        <f>CQ21/CR21</f>
        <v>384.822537246372</v>
      </c>
      <c r="CT21" s="20">
        <f>CT11</f>
        <v>760099116</v>
      </c>
      <c r="CU21" s="20">
        <f>CU3</f>
        <v>4076923</v>
      </c>
      <c r="CV21" s="38">
        <f>CT21/CU21</f>
        <v>186.439409329045</v>
      </c>
      <c r="CW21" s="20">
        <f>CW11</f>
        <v>760099116</v>
      </c>
      <c r="CX21" s="20">
        <f>CX3</f>
        <v>4857600</v>
      </c>
      <c r="CY21" s="38">
        <f>CW21/CX21</f>
        <v>156.47626729249</v>
      </c>
      <c r="CZ21" s="20">
        <f>CZ11</f>
        <v>573394329</v>
      </c>
      <c r="DA21" s="20">
        <f>DA3</f>
        <v>3671434</v>
      </c>
      <c r="DB21" s="38">
        <f>CZ21/DA21</f>
        <v>156.177212772993</v>
      </c>
      <c r="DC21" s="20">
        <f>DC11</f>
        <v>236943000</v>
      </c>
      <c r="DD21" s="20">
        <f>DD3</f>
        <v>1061480</v>
      </c>
      <c r="DE21" s="38">
        <f>DC21/DD21</f>
        <v>223.219467159061</v>
      </c>
      <c r="DF21" s="20">
        <f>DF11</f>
        <v>428362190</v>
      </c>
      <c r="DG21" s="20">
        <f>DG3</f>
        <v>2239331</v>
      </c>
      <c r="DH21" s="38">
        <f>DF21/DG21</f>
        <v>191.290251418839</v>
      </c>
      <c r="DI21" s="20">
        <f>DI11</f>
        <v>401070653</v>
      </c>
      <c r="DJ21" s="20">
        <f>DJ3</f>
        <v>1485750</v>
      </c>
      <c r="DK21" s="38">
        <f>DI21/DJ21</f>
        <v>269.944911997308</v>
      </c>
      <c r="DL21" s="20">
        <f>DL11</f>
        <v>547795666</v>
      </c>
      <c r="DM21" s="20">
        <f>DM3</f>
        <v>3198182</v>
      </c>
      <c r="DN21" s="38">
        <f>DL21/DM21</f>
        <v>171.283456038462</v>
      </c>
      <c r="DO21" s="20">
        <f>DO11</f>
        <v>207687930</v>
      </c>
      <c r="DP21" s="20">
        <f>DP3</f>
        <v>1224434</v>
      </c>
      <c r="DQ21" s="38">
        <f>DO21/DP21</f>
        <v>169.619538496971</v>
      </c>
      <c r="DR21" s="20">
        <f>DR11</f>
        <v>287350205</v>
      </c>
      <c r="DS21" s="20">
        <f>DS3</f>
        <v>1534455</v>
      </c>
      <c r="DT21" s="38">
        <f>DR21/DS21</f>
        <v>187.265318956893</v>
      </c>
      <c r="DU21" s="20">
        <f>DU11</f>
        <v>181636980</v>
      </c>
      <c r="DV21" s="20">
        <f>DV3</f>
        <v>1158495</v>
      </c>
      <c r="DW21" s="38">
        <f>DU21/DV21</f>
        <v>156.78702109202</v>
      </c>
      <c r="DX21" s="222">
        <f>DX11</f>
        <v>317450699</v>
      </c>
      <c r="DY21" s="20">
        <f>DY3</f>
        <v>2500000</v>
      </c>
      <c r="DZ21" s="38">
        <f>DX21/DY21</f>
        <v>126.9802796</v>
      </c>
      <c r="EA21" s="20">
        <f>EA11</f>
        <v>317450699</v>
      </c>
      <c r="EB21" s="20">
        <f>EB3</f>
        <v>1708050</v>
      </c>
      <c r="EC21" s="38">
        <f>EA21/EB21</f>
        <v>185.855624249876</v>
      </c>
      <c r="ED21" s="20">
        <f>ED11</f>
        <v>268929223</v>
      </c>
      <c r="EE21" s="20">
        <f>EE3</f>
        <v>1515545</v>
      </c>
      <c r="EF21" s="38">
        <f>ED21/EE21</f>
        <v>177.447204141085</v>
      </c>
      <c r="EG21" s="20">
        <f>EG11</f>
        <v>269034180</v>
      </c>
      <c r="EH21" s="20">
        <f>EH3</f>
        <v>1700919</v>
      </c>
      <c r="EI21" s="38">
        <f>EG21/EH21</f>
        <v>158.169895215469</v>
      </c>
      <c r="EJ21" s="20">
        <f>EJ11</f>
        <v>270809470</v>
      </c>
      <c r="EK21" s="20">
        <f>EK3</f>
        <v>1093750</v>
      </c>
      <c r="EL21" s="38">
        <f>EJ21/EK21</f>
        <v>247.597229714286</v>
      </c>
      <c r="EM21" s="20">
        <f>EM11</f>
        <v>116348224</v>
      </c>
      <c r="EN21" s="20">
        <f>EN3</f>
        <v>843405</v>
      </c>
      <c r="EO21" s="38">
        <f>EM21/EN21</f>
        <v>137.950597874094</v>
      </c>
      <c r="EP21" s="20">
        <f>EP11</f>
        <v>116348224</v>
      </c>
      <c r="EQ21" s="20">
        <f>EQ3</f>
        <v>1093750</v>
      </c>
      <c r="ER21" s="38">
        <f>EP21/EQ21</f>
        <v>106.375519085714</v>
      </c>
      <c r="ES21" s="20">
        <f>ES11</f>
        <v>116348224</v>
      </c>
      <c r="ET21" s="20">
        <f>ET3</f>
        <v>1331000</v>
      </c>
      <c r="EU21" s="38">
        <f>ES21/ET21</f>
        <v>87.4141427498122</v>
      </c>
      <c r="EV21" s="20">
        <f>EV11</f>
        <v>59145890</v>
      </c>
      <c r="EW21" s="20">
        <f>EW3</f>
        <v>228500</v>
      </c>
      <c r="EX21" s="38">
        <f>EV21/EW21</f>
        <v>258.844157549234</v>
      </c>
    </row>
    <row r="22" ht="7" hidden="1" customHeight="1" spans="1:154">
      <c r="A22" s="2"/>
      <c r="B22" s="2"/>
      <c r="C22" s="6" t="s">
        <v>163</v>
      </c>
      <c r="D22" s="2"/>
      <c r="E22" s="20"/>
      <c r="F22" s="20"/>
      <c r="G22" s="38"/>
      <c r="H22" s="20"/>
      <c r="I22" s="20"/>
      <c r="J22" s="38"/>
      <c r="K22" s="20"/>
      <c r="L22" s="20"/>
      <c r="M22" s="38"/>
      <c r="N22" s="20"/>
      <c r="O22" s="20"/>
      <c r="P22" s="38"/>
      <c r="Q22" s="20"/>
      <c r="R22" s="20"/>
      <c r="S22" s="38"/>
      <c r="T22" s="20"/>
      <c r="U22" s="20"/>
      <c r="V22" s="38"/>
      <c r="W22" s="20"/>
      <c r="X22" s="20"/>
      <c r="Y22" s="38"/>
      <c r="Z22" s="20"/>
      <c r="AA22" s="20"/>
      <c r="AB22" s="38"/>
      <c r="AC22" s="20"/>
      <c r="AD22" s="20"/>
      <c r="AE22" s="38"/>
      <c r="AF22" s="20"/>
      <c r="AG22" s="20"/>
      <c r="AH22" s="38"/>
      <c r="AI22" s="20"/>
      <c r="AJ22" s="20"/>
      <c r="AK22" s="38"/>
      <c r="AL22" s="20"/>
      <c r="AM22" s="20"/>
      <c r="AN22" s="38"/>
      <c r="AO22" s="20"/>
      <c r="AP22" s="20"/>
      <c r="AQ22" s="38"/>
      <c r="AR22" s="20"/>
      <c r="AS22" s="20"/>
      <c r="AT22" s="38"/>
      <c r="AU22" s="20"/>
      <c r="AV22" s="20"/>
      <c r="AW22" s="38"/>
      <c r="AX22" s="20"/>
      <c r="AY22" s="20"/>
      <c r="AZ22" s="38"/>
      <c r="BA22" s="20"/>
      <c r="BB22" s="20"/>
      <c r="BC22" s="38"/>
      <c r="BD22" s="20"/>
      <c r="BE22" s="20"/>
      <c r="BF22" s="38"/>
      <c r="BG22" s="20"/>
      <c r="BH22" s="20"/>
      <c r="BI22" s="38"/>
      <c r="BJ22" s="20"/>
      <c r="BK22" s="20"/>
      <c r="BL22" s="38"/>
      <c r="BM22" s="20"/>
      <c r="BN22" s="20"/>
      <c r="BO22" s="38"/>
      <c r="BP22" s="20"/>
      <c r="BQ22" s="20"/>
      <c r="BR22" s="38"/>
      <c r="BS22" s="20"/>
      <c r="BT22" s="20"/>
      <c r="BU22" s="38"/>
      <c r="BV22" s="20"/>
      <c r="BW22" s="20"/>
      <c r="BX22" s="38"/>
      <c r="BY22" s="20"/>
      <c r="BZ22" s="20"/>
      <c r="CA22" s="38"/>
      <c r="CB22" s="20"/>
      <c r="CC22" s="20"/>
      <c r="CD22" s="38"/>
      <c r="CE22" s="20"/>
      <c r="CF22" s="20"/>
      <c r="CG22" s="38"/>
      <c r="CH22" s="20"/>
      <c r="CI22" s="20"/>
      <c r="CJ22" s="38"/>
      <c r="CK22" s="20"/>
      <c r="CL22" s="20"/>
      <c r="CM22" s="38"/>
      <c r="CN22" s="20"/>
      <c r="CO22" s="20"/>
      <c r="CP22" s="38"/>
      <c r="CQ22" s="20"/>
      <c r="CR22" s="20"/>
      <c r="CS22" s="38"/>
      <c r="CT22" s="20"/>
      <c r="CU22" s="20"/>
      <c r="CV22" s="38"/>
      <c r="CW22" s="20"/>
      <c r="CX22" s="20"/>
      <c r="CY22" s="38"/>
      <c r="CZ22" s="20"/>
      <c r="DA22" s="20"/>
      <c r="DB22" s="38"/>
      <c r="DC22" s="20"/>
      <c r="DD22" s="20"/>
      <c r="DE22" s="38"/>
      <c r="DF22" s="20"/>
      <c r="DG22" s="20"/>
      <c r="DH22" s="38"/>
      <c r="DI22" s="20"/>
      <c r="DJ22" s="20"/>
      <c r="DK22" s="38"/>
      <c r="DL22" s="20"/>
      <c r="DM22" s="20"/>
      <c r="DN22" s="38"/>
      <c r="DO22" s="20"/>
      <c r="DP22" s="20"/>
      <c r="DQ22" s="38"/>
      <c r="DR22" s="20"/>
      <c r="DS22" s="20"/>
      <c r="DT22" s="38"/>
      <c r="DU22" s="20"/>
      <c r="DV22" s="20"/>
      <c r="DW22" s="38"/>
      <c r="DX22" s="222"/>
      <c r="DY22" s="20"/>
      <c r="DZ22" s="38"/>
      <c r="EA22" s="20"/>
      <c r="EB22" s="20"/>
      <c r="EC22" s="38"/>
      <c r="ED22" s="20"/>
      <c r="EE22" s="20"/>
      <c r="EF22" s="38"/>
      <c r="EG22" s="20"/>
      <c r="EH22" s="20"/>
      <c r="EI22" s="38"/>
      <c r="EJ22" s="20"/>
      <c r="EK22" s="20"/>
      <c r="EL22" s="38"/>
      <c r="EM22" s="20"/>
      <c r="EN22" s="20"/>
      <c r="EO22" s="38"/>
      <c r="EP22" s="20"/>
      <c r="EQ22" s="20"/>
      <c r="ER22" s="38"/>
      <c r="ES22" s="20"/>
      <c r="ET22" s="20"/>
      <c r="EU22" s="38"/>
      <c r="EV22" s="20"/>
      <c r="EW22" s="20"/>
      <c r="EX22" s="38"/>
    </row>
    <row r="23" hidden="1" spans="1:154">
      <c r="A23" s="2"/>
      <c r="B23" s="2"/>
      <c r="C23" s="6"/>
      <c r="D23" s="2"/>
      <c r="E23" s="20"/>
      <c r="F23" s="20"/>
      <c r="G23" s="38"/>
      <c r="H23" s="20"/>
      <c r="I23" s="20"/>
      <c r="J23" s="38"/>
      <c r="K23" s="20"/>
      <c r="L23" s="20"/>
      <c r="M23" s="38"/>
      <c r="N23" s="20"/>
      <c r="O23" s="20"/>
      <c r="P23" s="38"/>
      <c r="Q23" s="20"/>
      <c r="R23" s="20"/>
      <c r="S23" s="38"/>
      <c r="T23" s="20"/>
      <c r="U23" s="20"/>
      <c r="V23" s="38"/>
      <c r="W23" s="20"/>
      <c r="X23" s="20"/>
      <c r="Y23" s="38"/>
      <c r="Z23" s="20"/>
      <c r="AA23" s="20"/>
      <c r="AB23" s="38"/>
      <c r="AC23" s="20"/>
      <c r="AD23" s="20"/>
      <c r="AE23" s="38"/>
      <c r="AF23" s="20"/>
      <c r="AG23" s="20"/>
      <c r="AH23" s="38"/>
      <c r="AI23" s="20"/>
      <c r="AJ23" s="20"/>
      <c r="AK23" s="38"/>
      <c r="AL23" s="20"/>
      <c r="AM23" s="20"/>
      <c r="AN23" s="38"/>
      <c r="AO23" s="20"/>
      <c r="AP23" s="20"/>
      <c r="AQ23" s="38"/>
      <c r="AR23" s="20"/>
      <c r="AS23" s="20"/>
      <c r="AT23" s="38"/>
      <c r="AU23" s="20"/>
      <c r="AV23" s="20"/>
      <c r="AW23" s="38"/>
      <c r="AX23" s="20"/>
      <c r="AY23" s="20"/>
      <c r="AZ23" s="38"/>
      <c r="BA23" s="20"/>
      <c r="BB23" s="20"/>
      <c r="BC23" s="38"/>
      <c r="BD23" s="20"/>
      <c r="BE23" s="20"/>
      <c r="BF23" s="38"/>
      <c r="BG23" s="20"/>
      <c r="BH23" s="20"/>
      <c r="BI23" s="38"/>
      <c r="BJ23" s="20"/>
      <c r="BK23" s="20"/>
      <c r="BL23" s="38"/>
      <c r="BM23" s="20"/>
      <c r="BN23" s="20"/>
      <c r="BO23" s="38"/>
      <c r="BP23" s="20"/>
      <c r="BQ23" s="20"/>
      <c r="BR23" s="38"/>
      <c r="BS23" s="20"/>
      <c r="BT23" s="20"/>
      <c r="BU23" s="38"/>
      <c r="BV23" s="20"/>
      <c r="BW23" s="20"/>
      <c r="BX23" s="38"/>
      <c r="BY23" s="20"/>
      <c r="BZ23" s="20"/>
      <c r="CA23" s="38"/>
      <c r="CB23" s="20"/>
      <c r="CC23" s="20"/>
      <c r="CD23" s="38"/>
      <c r="CE23" s="20"/>
      <c r="CF23" s="20"/>
      <c r="CG23" s="38"/>
      <c r="CH23" s="20"/>
      <c r="CI23" s="20"/>
      <c r="CJ23" s="38"/>
      <c r="CK23" s="20"/>
      <c r="CL23" s="20"/>
      <c r="CM23" s="38"/>
      <c r="CN23" s="20"/>
      <c r="CO23" s="20"/>
      <c r="CP23" s="38"/>
      <c r="CQ23" s="20"/>
      <c r="CR23" s="20"/>
      <c r="CS23" s="38"/>
      <c r="CT23" s="20"/>
      <c r="CU23" s="20"/>
      <c r="CV23" s="38"/>
      <c r="CW23" s="20"/>
      <c r="CX23" s="20"/>
      <c r="CY23" s="38"/>
      <c r="CZ23" s="20"/>
      <c r="DA23" s="20"/>
      <c r="DB23" s="38"/>
      <c r="DC23" s="20"/>
      <c r="DD23" s="20"/>
      <c r="DE23" s="38"/>
      <c r="DF23" s="20"/>
      <c r="DG23" s="20"/>
      <c r="DH23" s="38"/>
      <c r="DI23" s="20"/>
      <c r="DJ23" s="20"/>
      <c r="DK23" s="38"/>
      <c r="DL23" s="20"/>
      <c r="DM23" s="20"/>
      <c r="DN23" s="38"/>
      <c r="DO23" s="20"/>
      <c r="DP23" s="20"/>
      <c r="DQ23" s="38"/>
      <c r="DR23" s="20"/>
      <c r="DS23" s="20"/>
      <c r="DT23" s="38"/>
      <c r="DU23" s="20"/>
      <c r="DV23" s="20"/>
      <c r="DW23" s="38"/>
      <c r="DY23" s="20"/>
      <c r="DZ23" s="38"/>
      <c r="EA23" s="52"/>
      <c r="EB23" s="20"/>
      <c r="EC23" s="38"/>
      <c r="ED23" s="52"/>
      <c r="EE23" s="20"/>
      <c r="EF23" s="38"/>
      <c r="EG23" s="52"/>
      <c r="EH23" s="20"/>
      <c r="EI23" s="38"/>
      <c r="EJ23" s="52"/>
      <c r="EK23" s="20"/>
      <c r="EL23" s="38"/>
      <c r="EM23" s="52"/>
      <c r="EN23" s="20"/>
      <c r="EO23" s="38"/>
      <c r="EP23" s="52"/>
      <c r="EQ23" s="20"/>
      <c r="ER23" s="38"/>
      <c r="ES23" s="52"/>
      <c r="ET23" s="20"/>
      <c r="EU23" s="38"/>
      <c r="EV23" s="52"/>
      <c r="EW23" s="20"/>
      <c r="EX23" s="38"/>
    </row>
    <row r="24" spans="1:154">
      <c r="A24" s="2">
        <v>9</v>
      </c>
      <c r="B24" s="2" t="s">
        <v>182</v>
      </c>
      <c r="C24" s="37" t="s">
        <v>183</v>
      </c>
      <c r="D24" s="50" t="s">
        <v>559</v>
      </c>
      <c r="E24" s="20">
        <f>E6</f>
        <v>878</v>
      </c>
      <c r="F24" s="42">
        <f>G21</f>
        <v>239.054032355958</v>
      </c>
      <c r="G24" s="96">
        <f>E24/F24</f>
        <v>3.67280983025894</v>
      </c>
      <c r="H24" s="20">
        <f>H6</f>
        <v>1048</v>
      </c>
      <c r="I24" s="42">
        <f>J21</f>
        <v>257.541185150288</v>
      </c>
      <c r="J24" s="96">
        <f>H24/I24</f>
        <v>4.06925206695947</v>
      </c>
      <c r="K24" s="20">
        <f>K6</f>
        <v>1465</v>
      </c>
      <c r="L24" s="42">
        <f>M21</f>
        <v>257.626595077438</v>
      </c>
      <c r="M24" s="38">
        <f>K24/L24</f>
        <v>5.68652471442108</v>
      </c>
      <c r="N24" s="20">
        <f>N6</f>
        <v>790</v>
      </c>
      <c r="O24" s="42">
        <f>P21</f>
        <v>221.216937369867</v>
      </c>
      <c r="P24" s="96">
        <f>N24/O24</f>
        <v>3.57115512669425</v>
      </c>
      <c r="Q24" s="20">
        <f>Q6</f>
        <v>1305</v>
      </c>
      <c r="R24" s="42">
        <f>S21</f>
        <v>244.997217651728</v>
      </c>
      <c r="S24" s="38">
        <f>Q24/R24</f>
        <v>5.32659110380226</v>
      </c>
      <c r="T24" s="20">
        <f>T6</f>
        <v>894</v>
      </c>
      <c r="U24" s="42">
        <f>V21</f>
        <v>208.843648851118</v>
      </c>
      <c r="V24" s="96">
        <f>T24/U24</f>
        <v>4.28071432824525</v>
      </c>
      <c r="W24" s="20">
        <f>W6</f>
        <v>894</v>
      </c>
      <c r="X24" s="42">
        <f>Y21</f>
        <v>227.053161337056</v>
      </c>
      <c r="Y24" s="96">
        <f>W24/X24</f>
        <v>3.93740388698167</v>
      </c>
      <c r="Z24" s="20">
        <f>Z6</f>
        <v>1136</v>
      </c>
      <c r="AA24" s="42">
        <f>AB21</f>
        <v>314.512128186902</v>
      </c>
      <c r="AB24" s="96">
        <f>Z24/AA24</f>
        <v>3.61194338211632</v>
      </c>
      <c r="AC24" s="20">
        <f>AC6</f>
        <v>870</v>
      </c>
      <c r="AD24" s="42">
        <f>AE21</f>
        <v>131.251928716153</v>
      </c>
      <c r="AE24" s="96">
        <f>AC24/AD24</f>
        <v>6.62847402327681</v>
      </c>
      <c r="AF24" s="20">
        <f>AF6</f>
        <v>846</v>
      </c>
      <c r="AG24" s="42">
        <f>AH21</f>
        <v>158.111442212826</v>
      </c>
      <c r="AH24" s="38">
        <f>AF24/AG24</f>
        <v>5.35065639880282</v>
      </c>
      <c r="AI24" s="20">
        <f>AI6</f>
        <v>617</v>
      </c>
      <c r="AJ24" s="42">
        <f>AK21</f>
        <v>128.984119314262</v>
      </c>
      <c r="AK24" s="96">
        <f>AI24/AJ24</f>
        <v>4.78353461868214</v>
      </c>
      <c r="AL24" s="20">
        <f>AL6</f>
        <v>684</v>
      </c>
      <c r="AM24" s="42">
        <f>AN21</f>
        <v>206.766146392932</v>
      </c>
      <c r="AN24" s="96">
        <f>AL24/AM24</f>
        <v>3.3080850609855</v>
      </c>
      <c r="AO24" s="20">
        <f>AO6</f>
        <v>741</v>
      </c>
      <c r="AP24" s="42">
        <f>AQ21</f>
        <v>145.250590850722</v>
      </c>
      <c r="AQ24" s="38">
        <f>AO24/AP24</f>
        <v>5.1015283012621</v>
      </c>
      <c r="AR24" s="20">
        <f>AR6</f>
        <v>1301</v>
      </c>
      <c r="AS24" s="42">
        <f>AT21</f>
        <v>215.351562772661</v>
      </c>
      <c r="AT24" s="38">
        <f>AR24/AS24</f>
        <v>6.04128422960839</v>
      </c>
      <c r="AU24" s="20">
        <f>AU6</f>
        <v>786</v>
      </c>
      <c r="AV24" s="42">
        <f>AW21</f>
        <v>293.345352366412</v>
      </c>
      <c r="AW24" s="96">
        <f>AU24/AV24</f>
        <v>2.67943566741164</v>
      </c>
      <c r="AX24" s="20">
        <f>AX6</f>
        <v>952</v>
      </c>
      <c r="AY24" s="42">
        <f>AZ21</f>
        <v>160.197576705101</v>
      </c>
      <c r="AZ24" s="38">
        <f>AX24/AY24</f>
        <v>5.94266167803828</v>
      </c>
      <c r="BA24" s="231">
        <f>BA6</f>
        <v>983</v>
      </c>
      <c r="BB24" s="232">
        <f>BC21</f>
        <v>172.900528370517</v>
      </c>
      <c r="BC24" s="38">
        <f>BA24/BB24</f>
        <v>5.68534989027609</v>
      </c>
      <c r="BD24" s="231">
        <f>BD6</f>
        <v>686</v>
      </c>
      <c r="BE24" s="232">
        <f>BF21</f>
        <v>125.953319058271</v>
      </c>
      <c r="BF24" s="38">
        <f>BD24/BE24</f>
        <v>5.44646226974477</v>
      </c>
      <c r="BG24" s="231">
        <f>BG6</f>
        <v>1138</v>
      </c>
      <c r="BH24" s="232">
        <f>BI21</f>
        <v>207.276725041628</v>
      </c>
      <c r="BI24" s="38">
        <f>BG24/BH24</f>
        <v>5.4902449841942</v>
      </c>
      <c r="BJ24" s="231">
        <f>BJ6</f>
        <v>918</v>
      </c>
      <c r="BK24" s="232">
        <f>BL21</f>
        <v>150.075225477104</v>
      </c>
      <c r="BL24" s="38">
        <f>BJ24/BK24</f>
        <v>6.11693233897591</v>
      </c>
      <c r="BM24" s="231">
        <f>BM6</f>
        <v>826</v>
      </c>
      <c r="BN24" s="232">
        <f>BO21</f>
        <v>165.624325825059</v>
      </c>
      <c r="BO24" s="38">
        <f>BM24/BN24</f>
        <v>4.98719011162927</v>
      </c>
      <c r="BP24" s="20">
        <f>BP6</f>
        <v>1219</v>
      </c>
      <c r="BQ24" s="42">
        <f>BR21</f>
        <v>156.654881960951</v>
      </c>
      <c r="BR24" s="38">
        <f>BP24/BQ24</f>
        <v>7.78143639534873</v>
      </c>
      <c r="BS24" s="20">
        <f>BS6</f>
        <v>923</v>
      </c>
      <c r="BT24" s="42">
        <f>BU21</f>
        <v>135.365406488976</v>
      </c>
      <c r="BU24" s="38">
        <f>BS24/BT24</f>
        <v>6.81858108316004</v>
      </c>
      <c r="BV24" s="20">
        <f>BV6</f>
        <v>712</v>
      </c>
      <c r="BW24" s="42">
        <f>BX21</f>
        <v>140.612921271923</v>
      </c>
      <c r="BX24" s="38">
        <f>BV24/BW24</f>
        <v>5.06354603516915</v>
      </c>
      <c r="BY24" s="20">
        <f>BY6</f>
        <v>2165</v>
      </c>
      <c r="BZ24" s="42">
        <f>CA21</f>
        <v>148.211000151094</v>
      </c>
      <c r="CA24" s="38">
        <f>BY24/BZ24</f>
        <v>14.6075527308559</v>
      </c>
      <c r="CB24" s="20">
        <f>CB6</f>
        <v>1527</v>
      </c>
      <c r="CC24" s="42">
        <f>CD21</f>
        <v>214.385163959575</v>
      </c>
      <c r="CD24" s="38">
        <f>CB24/CC24</f>
        <v>7.12269436838424</v>
      </c>
      <c r="CE24" s="20">
        <f>CE6</f>
        <v>2194</v>
      </c>
      <c r="CF24" s="42">
        <f>CG21</f>
        <v>238.067840735421</v>
      </c>
      <c r="CG24" s="38">
        <f>CE24/CF24</f>
        <v>9.21586045902909</v>
      </c>
      <c r="CH24" s="20">
        <f>CH6</f>
        <v>1605</v>
      </c>
      <c r="CI24" s="42">
        <f>CJ21</f>
        <v>177.782244304286</v>
      </c>
      <c r="CJ24" s="38">
        <f>CH24/CI24</f>
        <v>9.0278981811757</v>
      </c>
      <c r="CK24" s="20">
        <f>CK6</f>
        <v>1738</v>
      </c>
      <c r="CL24" s="42">
        <f>CM21</f>
        <v>277.173978320271</v>
      </c>
      <c r="CM24" s="38">
        <f>CK24/CL24</f>
        <v>6.27042989580992</v>
      </c>
      <c r="CN24" s="231">
        <f>CN6</f>
        <v>1063</v>
      </c>
      <c r="CO24" s="232">
        <f>CP21</f>
        <v>167.199766518341</v>
      </c>
      <c r="CP24" s="38">
        <f>CN24/CO24</f>
        <v>6.35766438037099</v>
      </c>
      <c r="CQ24" s="231">
        <f>CQ6</f>
        <v>5833</v>
      </c>
      <c r="CR24" s="232">
        <f>CS21</f>
        <v>384.822537246372</v>
      </c>
      <c r="CS24" s="38">
        <f>CQ24/CR24</f>
        <v>15.1576361450618</v>
      </c>
      <c r="CT24" s="231">
        <f>CT6</f>
        <v>1077</v>
      </c>
      <c r="CU24" s="232">
        <f>CV21</f>
        <v>186.439409329045</v>
      </c>
      <c r="CV24" s="38">
        <f>CT24/CU24</f>
        <v>5.7766756710713</v>
      </c>
      <c r="CW24" s="20">
        <f>CW6</f>
        <v>849</v>
      </c>
      <c r="CX24" s="42">
        <f>CY21</f>
        <v>156.47626729249</v>
      </c>
      <c r="CY24" s="38">
        <f>CW24/CX24</f>
        <v>5.4257429237689</v>
      </c>
      <c r="CZ24" s="20">
        <f>CZ6</f>
        <v>1070</v>
      </c>
      <c r="DA24" s="42">
        <f>DB21</f>
        <v>156.177212772993</v>
      </c>
      <c r="DB24" s="38">
        <f>CZ24/DA24</f>
        <v>6.85119154710022</v>
      </c>
      <c r="DC24" s="20">
        <f>DC6</f>
        <v>3575</v>
      </c>
      <c r="DD24" s="42">
        <f>DE21</f>
        <v>223.219467159061</v>
      </c>
      <c r="DE24" s="38">
        <f>DC24/DD24</f>
        <v>16.0156282312624</v>
      </c>
      <c r="DF24" s="20">
        <f>DF6</f>
        <v>2194</v>
      </c>
      <c r="DG24" s="42">
        <f>DH21</f>
        <v>191.290251418839</v>
      </c>
      <c r="DH24" s="38">
        <f>DF24/DG24</f>
        <v>11.4694815011568</v>
      </c>
      <c r="DI24" s="20">
        <f>DI6</f>
        <v>2175</v>
      </c>
      <c r="DJ24" s="42">
        <f>DK21</f>
        <v>269.944911997308</v>
      </c>
      <c r="DK24" s="38">
        <f>DI24/DJ24</f>
        <v>8.0571994630582</v>
      </c>
      <c r="DL24" s="20">
        <f>DL6</f>
        <v>988</v>
      </c>
      <c r="DM24" s="42">
        <f>DN21</f>
        <v>171.283456038462</v>
      </c>
      <c r="DN24" s="38">
        <f>DL24/DM24</f>
        <v>5.76821616547802</v>
      </c>
      <c r="DO24" s="20">
        <f>DO6</f>
        <v>2289</v>
      </c>
      <c r="DP24" s="42">
        <f>DQ21</f>
        <v>169.619538496971</v>
      </c>
      <c r="DQ24" s="38">
        <f>DO24/DP24</f>
        <v>13.4949076048858</v>
      </c>
      <c r="DR24" s="20">
        <f>DR6</f>
        <v>1790</v>
      </c>
      <c r="DS24" s="42">
        <f>DT21</f>
        <v>187.265318956893</v>
      </c>
      <c r="DT24" s="38">
        <f>DR24/DS24</f>
        <v>9.55863055674521</v>
      </c>
      <c r="DU24" s="20">
        <f>DU6</f>
        <v>2260</v>
      </c>
      <c r="DV24" s="42">
        <f>DW21</f>
        <v>156.78702109202</v>
      </c>
      <c r="DW24" s="38">
        <f>DU24/DV24</f>
        <v>14.4144584434293</v>
      </c>
      <c r="DX24" s="20">
        <f>DX6</f>
        <v>1023</v>
      </c>
      <c r="DY24" s="42">
        <f>DZ21</f>
        <v>126.9802796</v>
      </c>
      <c r="DZ24" s="38">
        <f>DX24/DY24</f>
        <v>8.05636909307924</v>
      </c>
      <c r="EA24" s="20">
        <f>EA6</f>
        <v>1573</v>
      </c>
      <c r="EB24" s="42">
        <f>EC21</f>
        <v>185.855624249876</v>
      </c>
      <c r="EC24" s="38">
        <f>EA24/EB24</f>
        <v>8.46355877767338</v>
      </c>
      <c r="ED24" s="20">
        <f>ED6</f>
        <v>1583</v>
      </c>
      <c r="EE24" s="42">
        <f>EF21</f>
        <v>177.447204141085</v>
      </c>
      <c r="EF24" s="38">
        <f>ED24/EE24</f>
        <v>8.92096332349869</v>
      </c>
      <c r="EG24" s="20">
        <f>EG6</f>
        <v>1263</v>
      </c>
      <c r="EH24" s="42">
        <f>EI21</f>
        <v>158.169895215469</v>
      </c>
      <c r="EI24" s="38">
        <f>EG24/EH24</f>
        <v>7.98508463497092</v>
      </c>
      <c r="EJ24" s="20">
        <f>EJ6</f>
        <v>1950</v>
      </c>
      <c r="EK24" s="42">
        <f>EL21</f>
        <v>247.597229714286</v>
      </c>
      <c r="EL24" s="38">
        <f>EJ24/EK24</f>
        <v>7.8756939334507</v>
      </c>
      <c r="EM24" s="20">
        <f>EM6</f>
        <v>2180</v>
      </c>
      <c r="EN24" s="42">
        <f>EO21</f>
        <v>137.950597874094</v>
      </c>
      <c r="EO24" s="38">
        <f>EM24/EN24</f>
        <v>15.8027586222545</v>
      </c>
      <c r="EP24" s="20">
        <f>EP6</f>
        <v>1585</v>
      </c>
      <c r="EQ24" s="42">
        <f>ER21</f>
        <v>106.375519085714</v>
      </c>
      <c r="ER24" s="38">
        <f>EP24/EQ24</f>
        <v>14.9000447999963</v>
      </c>
      <c r="ES24" s="20">
        <f>ES6</f>
        <v>1500</v>
      </c>
      <c r="ET24" s="42">
        <f>EU21</f>
        <v>87.4141427498122</v>
      </c>
      <c r="EU24" s="38">
        <f>ES24/ET24</f>
        <v>17.1596946765599</v>
      </c>
      <c r="EV24" s="20">
        <f>EV6</f>
        <v>2837</v>
      </c>
      <c r="EW24" s="42">
        <f>EX21</f>
        <v>258.844157549234</v>
      </c>
      <c r="EX24" s="38">
        <f>EV24/EW24</f>
        <v>10.960262834831</v>
      </c>
    </row>
    <row r="25" ht="7" customHeight="1" spans="1:154">
      <c r="A25" s="2"/>
      <c r="B25" s="2"/>
      <c r="C25" s="2" t="s">
        <v>185</v>
      </c>
      <c r="D25" s="2"/>
      <c r="E25" s="20"/>
      <c r="F25" s="42"/>
      <c r="G25" s="96"/>
      <c r="H25" s="20"/>
      <c r="I25" s="42"/>
      <c r="J25" s="96"/>
      <c r="K25" s="20"/>
      <c r="L25" s="42"/>
      <c r="M25" s="38"/>
      <c r="N25" s="20"/>
      <c r="O25" s="42"/>
      <c r="P25" s="96"/>
      <c r="Q25" s="20"/>
      <c r="R25" s="42"/>
      <c r="S25" s="38"/>
      <c r="T25" s="20"/>
      <c r="U25" s="42"/>
      <c r="V25" s="96"/>
      <c r="W25" s="20"/>
      <c r="X25" s="42"/>
      <c r="Y25" s="96"/>
      <c r="Z25" s="20"/>
      <c r="AA25" s="42"/>
      <c r="AB25" s="96"/>
      <c r="AC25" s="20"/>
      <c r="AD25" s="42"/>
      <c r="AE25" s="96"/>
      <c r="AF25" s="20"/>
      <c r="AG25" s="42"/>
      <c r="AH25" s="38"/>
      <c r="AI25" s="20"/>
      <c r="AJ25" s="42"/>
      <c r="AK25" s="96"/>
      <c r="AL25" s="20"/>
      <c r="AM25" s="42"/>
      <c r="AN25" s="96"/>
      <c r="AO25" s="20"/>
      <c r="AP25" s="42"/>
      <c r="AQ25" s="38"/>
      <c r="AR25" s="20"/>
      <c r="AS25" s="42"/>
      <c r="AT25" s="38"/>
      <c r="AU25" s="20"/>
      <c r="AV25" s="42"/>
      <c r="AW25" s="96"/>
      <c r="AX25" s="20"/>
      <c r="AY25" s="42"/>
      <c r="AZ25" s="38"/>
      <c r="BA25" s="231"/>
      <c r="BB25" s="232"/>
      <c r="BC25" s="38"/>
      <c r="BD25" s="231"/>
      <c r="BE25" s="232"/>
      <c r="BF25" s="38"/>
      <c r="BG25" s="231"/>
      <c r="BH25" s="232"/>
      <c r="BI25" s="38"/>
      <c r="BJ25" s="231"/>
      <c r="BK25" s="232"/>
      <c r="BL25" s="38"/>
      <c r="BM25" s="231"/>
      <c r="BN25" s="232"/>
      <c r="BO25" s="38"/>
      <c r="BP25" s="20"/>
      <c r="BQ25" s="42"/>
      <c r="BR25" s="38"/>
      <c r="BS25" s="20"/>
      <c r="BT25" s="42"/>
      <c r="BU25" s="38"/>
      <c r="BV25" s="20"/>
      <c r="BW25" s="42"/>
      <c r="BX25" s="38"/>
      <c r="BY25" s="20"/>
      <c r="BZ25" s="42"/>
      <c r="CA25" s="38"/>
      <c r="CB25" s="20"/>
      <c r="CC25" s="42"/>
      <c r="CD25" s="38"/>
      <c r="CE25" s="20"/>
      <c r="CF25" s="42"/>
      <c r="CG25" s="38"/>
      <c r="CH25" s="20"/>
      <c r="CI25" s="42"/>
      <c r="CJ25" s="38"/>
      <c r="CK25" s="20"/>
      <c r="CL25" s="42"/>
      <c r="CM25" s="38"/>
      <c r="CN25" s="231"/>
      <c r="CO25" s="232"/>
      <c r="CP25" s="38"/>
      <c r="CQ25" s="231"/>
      <c r="CR25" s="232"/>
      <c r="CS25" s="38"/>
      <c r="CT25" s="231"/>
      <c r="CU25" s="232"/>
      <c r="CV25" s="38"/>
      <c r="CW25" s="20"/>
      <c r="CX25" s="42"/>
      <c r="CY25" s="38"/>
      <c r="CZ25" s="20"/>
      <c r="DA25" s="42"/>
      <c r="DB25" s="38"/>
      <c r="DC25" s="20"/>
      <c r="DD25" s="42"/>
      <c r="DE25" s="38"/>
      <c r="DF25" s="20"/>
      <c r="DG25" s="42"/>
      <c r="DH25" s="38"/>
      <c r="DI25" s="20"/>
      <c r="DJ25" s="42"/>
      <c r="DK25" s="38"/>
      <c r="DL25" s="20"/>
      <c r="DM25" s="42"/>
      <c r="DN25" s="38"/>
      <c r="DO25" s="20"/>
      <c r="DP25" s="42"/>
      <c r="DQ25" s="38"/>
      <c r="DR25" s="20"/>
      <c r="DS25" s="42"/>
      <c r="DT25" s="38"/>
      <c r="DU25" s="20"/>
      <c r="DV25" s="42"/>
      <c r="DW25" s="38"/>
      <c r="DX25" s="20"/>
      <c r="DY25" s="42"/>
      <c r="DZ25" s="38"/>
      <c r="EA25" s="20"/>
      <c r="EB25" s="42"/>
      <c r="EC25" s="38"/>
      <c r="ED25" s="20"/>
      <c r="EE25" s="42"/>
      <c r="EF25" s="38"/>
      <c r="EG25" s="20"/>
      <c r="EH25" s="42"/>
      <c r="EI25" s="38"/>
      <c r="EJ25" s="20"/>
      <c r="EK25" s="42"/>
      <c r="EL25" s="38"/>
      <c r="EM25" s="20"/>
      <c r="EN25" s="42"/>
      <c r="EO25" s="38"/>
      <c r="EP25" s="20"/>
      <c r="EQ25" s="42"/>
      <c r="ER25" s="38"/>
      <c r="ES25" s="20"/>
      <c r="ET25" s="42"/>
      <c r="EU25" s="38"/>
      <c r="EV25" s="20"/>
      <c r="EW25" s="42"/>
      <c r="EX25" s="38"/>
    </row>
    <row r="26" hidden="1" spans="1:154">
      <c r="A26" s="2"/>
      <c r="B26" s="2"/>
      <c r="C26" s="2"/>
      <c r="D26" s="2"/>
      <c r="E26" s="20"/>
      <c r="F26" s="2"/>
      <c r="G26" s="85"/>
      <c r="H26" s="20"/>
      <c r="I26" s="2"/>
      <c r="J26" s="85"/>
      <c r="K26" s="20"/>
      <c r="L26" s="2"/>
      <c r="M26" s="85"/>
      <c r="N26" s="20"/>
      <c r="O26" s="2"/>
      <c r="P26" s="85"/>
      <c r="Q26" s="20"/>
      <c r="R26" s="2"/>
      <c r="S26" s="85"/>
      <c r="T26" s="20"/>
      <c r="U26" s="2"/>
      <c r="V26" s="85"/>
      <c r="W26" s="20"/>
      <c r="X26" s="2"/>
      <c r="Y26" s="85"/>
      <c r="Z26" s="20"/>
      <c r="AA26" s="2"/>
      <c r="AB26" s="85"/>
      <c r="AC26" s="20"/>
      <c r="AD26" s="2"/>
      <c r="AE26" s="85"/>
      <c r="AF26" s="20"/>
      <c r="AG26" s="2"/>
      <c r="AH26" s="85"/>
      <c r="AI26" s="20"/>
      <c r="AJ26" s="2"/>
      <c r="AK26" s="85"/>
      <c r="AL26" s="20"/>
      <c r="AM26" s="2"/>
      <c r="AN26" s="85"/>
      <c r="AO26" s="20"/>
      <c r="AP26" s="2"/>
      <c r="AQ26" s="85"/>
      <c r="AR26" s="20"/>
      <c r="AS26" s="2"/>
      <c r="AT26" s="85"/>
      <c r="AU26" s="20"/>
      <c r="AV26" s="2"/>
      <c r="AW26" s="85"/>
      <c r="AX26" s="20"/>
      <c r="AY26" s="2"/>
      <c r="AZ26" s="85"/>
      <c r="BA26" s="20"/>
      <c r="BB26" s="2"/>
      <c r="BC26" s="85"/>
      <c r="BD26" s="20"/>
      <c r="BE26" s="2"/>
      <c r="BF26" s="85"/>
      <c r="BG26" s="20"/>
      <c r="BH26" s="2"/>
      <c r="BI26" s="85"/>
      <c r="BJ26" s="20"/>
      <c r="BK26" s="2"/>
      <c r="BL26" s="85"/>
      <c r="BM26" s="20"/>
      <c r="BN26" s="2"/>
      <c r="BO26" s="85"/>
      <c r="BP26" s="20"/>
      <c r="BQ26" s="2"/>
      <c r="BR26" s="85"/>
      <c r="BS26" s="20"/>
      <c r="BT26" s="2"/>
      <c r="BU26" s="85"/>
      <c r="BV26" s="20"/>
      <c r="BW26" s="2"/>
      <c r="BX26" s="85"/>
      <c r="BY26" s="20"/>
      <c r="BZ26" s="2"/>
      <c r="CA26" s="85"/>
      <c r="CB26" s="20"/>
      <c r="CC26" s="2"/>
      <c r="CD26" s="85"/>
      <c r="CE26" s="20"/>
      <c r="CF26" s="2"/>
      <c r="CG26" s="85"/>
      <c r="CH26" s="20"/>
      <c r="CI26" s="2"/>
      <c r="CJ26" s="85"/>
      <c r="CK26" s="20"/>
      <c r="CL26" s="2"/>
      <c r="CM26" s="85"/>
      <c r="CN26" s="20"/>
      <c r="CO26" s="2"/>
      <c r="CP26" s="85"/>
      <c r="CQ26" s="20"/>
      <c r="CR26" s="2"/>
      <c r="CS26" s="85"/>
      <c r="CT26" s="20"/>
      <c r="CU26" s="2"/>
      <c r="CV26" s="85"/>
      <c r="CW26" s="20"/>
      <c r="CX26" s="2"/>
      <c r="CY26" s="85"/>
      <c r="CZ26" s="20"/>
      <c r="DA26" s="2"/>
      <c r="DB26" s="85"/>
      <c r="DC26" s="20"/>
      <c r="DD26" s="2"/>
      <c r="DE26" s="85"/>
      <c r="DF26" s="20"/>
      <c r="DG26" s="2"/>
      <c r="DH26" s="85"/>
      <c r="DI26" s="20"/>
      <c r="DJ26" s="2"/>
      <c r="DK26" s="85"/>
      <c r="DL26" s="20"/>
      <c r="DM26" s="2"/>
      <c r="DN26" s="85"/>
      <c r="DO26" s="20"/>
      <c r="DP26" s="2"/>
      <c r="DQ26" s="85"/>
      <c r="DR26" s="20"/>
      <c r="DS26" s="2"/>
      <c r="DT26" s="85"/>
      <c r="DU26" s="20"/>
      <c r="DV26" s="2"/>
      <c r="DW26" s="85"/>
      <c r="DX26" s="20"/>
      <c r="DY26" s="2"/>
      <c r="DZ26" s="85"/>
      <c r="EA26" s="20"/>
      <c r="EB26" s="2"/>
      <c r="EC26" s="85"/>
      <c r="ED26" s="20"/>
      <c r="EE26" s="2"/>
      <c r="EF26" s="85"/>
      <c r="EG26" s="20"/>
      <c r="EH26" s="2"/>
      <c r="EI26" s="85"/>
      <c r="EJ26" s="20"/>
      <c r="EK26" s="2"/>
      <c r="EL26" s="85"/>
      <c r="EM26" s="20"/>
      <c r="EN26" s="2"/>
      <c r="EO26" s="85"/>
      <c r="EP26" s="20"/>
      <c r="EQ26" s="2"/>
      <c r="ER26" s="85"/>
      <c r="ES26" s="20"/>
      <c r="ET26" s="2"/>
      <c r="EU26" s="85"/>
      <c r="EV26" s="20"/>
      <c r="EW26" s="2"/>
      <c r="EX26" s="85"/>
    </row>
    <row r="27" ht="14" customHeight="1" spans="1:154">
      <c r="A27" s="2">
        <v>10</v>
      </c>
      <c r="B27" s="2" t="s">
        <v>186</v>
      </c>
      <c r="C27" s="37" t="s">
        <v>187</v>
      </c>
      <c r="D27" s="41" t="s">
        <v>237</v>
      </c>
      <c r="E27" s="42">
        <v>14</v>
      </c>
      <c r="F27" s="20">
        <f>E6</f>
        <v>878</v>
      </c>
      <c r="G27" s="96">
        <f>(E27/F27)*100</f>
        <v>1.59453302961276</v>
      </c>
      <c r="H27" s="42">
        <v>15</v>
      </c>
      <c r="I27" s="20">
        <f>H6</f>
        <v>1048</v>
      </c>
      <c r="J27" s="96">
        <f>(H27/I27)*100</f>
        <v>1.43129770992366</v>
      </c>
      <c r="K27" s="42">
        <v>14.73</v>
      </c>
      <c r="L27" s="20">
        <f>K6</f>
        <v>1465</v>
      </c>
      <c r="M27" s="96">
        <f>(K27/L27)*100</f>
        <v>1.00546075085324</v>
      </c>
      <c r="N27" s="42">
        <v>0</v>
      </c>
      <c r="O27" s="20">
        <f>N6</f>
        <v>790</v>
      </c>
      <c r="P27" s="38">
        <f>(N27/O27)*100</f>
        <v>0</v>
      </c>
      <c r="Q27" s="42">
        <v>15</v>
      </c>
      <c r="R27" s="20">
        <f>Q6</f>
        <v>1305</v>
      </c>
      <c r="S27" s="96">
        <f>(Q27/R27)*100</f>
        <v>1.14942528735632</v>
      </c>
      <c r="T27" s="42">
        <v>10</v>
      </c>
      <c r="U27" s="20">
        <f>T6</f>
        <v>894</v>
      </c>
      <c r="V27" s="96">
        <f>(T27/U27)*100</f>
        <v>1.11856823266219</v>
      </c>
      <c r="W27" s="42">
        <v>15</v>
      </c>
      <c r="X27" s="20">
        <f>W6</f>
        <v>894</v>
      </c>
      <c r="Y27" s="96">
        <f>(W27/X27)*100</f>
        <v>1.67785234899329</v>
      </c>
      <c r="Z27" s="42">
        <v>15</v>
      </c>
      <c r="AA27" s="20">
        <f>Z6</f>
        <v>1136</v>
      </c>
      <c r="AB27" s="38">
        <f>(Z27/AA27)*100</f>
        <v>1.32042253521127</v>
      </c>
      <c r="AC27" s="42">
        <v>9.47</v>
      </c>
      <c r="AD27" s="20">
        <f>AC6</f>
        <v>870</v>
      </c>
      <c r="AE27" s="38">
        <f>(AC27/AD27)*100</f>
        <v>1.08850574712644</v>
      </c>
      <c r="AF27" s="42">
        <v>7.89</v>
      </c>
      <c r="AG27" s="20">
        <f>AF6</f>
        <v>846</v>
      </c>
      <c r="AH27" s="38">
        <f>(AF27/AG27)*100</f>
        <v>0.932624113475177</v>
      </c>
      <c r="AI27" s="42">
        <v>7.89</v>
      </c>
      <c r="AJ27" s="20">
        <f>AI6</f>
        <v>617</v>
      </c>
      <c r="AK27" s="38">
        <f>(AI27/AJ27)*100</f>
        <v>1.27876823338736</v>
      </c>
      <c r="AL27" s="42">
        <v>0</v>
      </c>
      <c r="AM27" s="20">
        <f>AL6</f>
        <v>684</v>
      </c>
      <c r="AN27" s="38">
        <f>(AL27/AM27)*100</f>
        <v>0</v>
      </c>
      <c r="AO27" s="42">
        <v>6.96</v>
      </c>
      <c r="AP27" s="20">
        <f>AO6</f>
        <v>741</v>
      </c>
      <c r="AQ27" s="96">
        <f>(AO27/AP27)*100</f>
        <v>0.939271255060729</v>
      </c>
      <c r="AR27" s="42">
        <v>0</v>
      </c>
      <c r="AS27" s="20">
        <f>AR6</f>
        <v>1301</v>
      </c>
      <c r="AT27" s="38">
        <f>(AR27/AS27)*100</f>
        <v>0</v>
      </c>
      <c r="AU27" s="42">
        <v>0</v>
      </c>
      <c r="AV27" s="20">
        <f>AU6</f>
        <v>786</v>
      </c>
      <c r="AW27" s="38">
        <f>(AU27/AV27)*100</f>
        <v>0</v>
      </c>
      <c r="AX27" s="42">
        <v>14.21</v>
      </c>
      <c r="AY27" s="20">
        <f>AX6</f>
        <v>952</v>
      </c>
      <c r="AZ27" s="96">
        <f>(AX27/AY27)*100</f>
        <v>1.49264705882353</v>
      </c>
      <c r="BA27" s="42">
        <v>15</v>
      </c>
      <c r="BB27" s="20">
        <f>BA6</f>
        <v>983</v>
      </c>
      <c r="BC27" s="96">
        <f>(BA27/BB27)*100</f>
        <v>1.52594099694812</v>
      </c>
      <c r="BD27" s="42">
        <v>10</v>
      </c>
      <c r="BE27" s="20">
        <f>BD6</f>
        <v>686</v>
      </c>
      <c r="BF27" s="38">
        <f>(BD27/BE27)*100</f>
        <v>1.45772594752187</v>
      </c>
      <c r="BG27" s="42">
        <v>10</v>
      </c>
      <c r="BH27" s="20">
        <f>BG6</f>
        <v>1138</v>
      </c>
      <c r="BI27" s="38">
        <f>(BG27/BH27)*100</f>
        <v>0.878734622144113</v>
      </c>
      <c r="BJ27" s="42">
        <v>0</v>
      </c>
      <c r="BK27" s="20">
        <f>BJ6</f>
        <v>918</v>
      </c>
      <c r="BL27" s="38">
        <f>(BJ27/BK27)*100</f>
        <v>0</v>
      </c>
      <c r="BM27" s="42">
        <v>0</v>
      </c>
      <c r="BN27" s="20">
        <f>BM6</f>
        <v>826</v>
      </c>
      <c r="BO27" s="38">
        <f>(BM27/BN27)*100</f>
        <v>0</v>
      </c>
      <c r="BP27" s="42">
        <v>0</v>
      </c>
      <c r="BQ27" s="20">
        <f>BP6</f>
        <v>1219</v>
      </c>
      <c r="BR27" s="38">
        <f>(BP27/BQ27)*100</f>
        <v>0</v>
      </c>
      <c r="BS27" s="42">
        <v>5.26</v>
      </c>
      <c r="BT27" s="20">
        <f>BS6</f>
        <v>923</v>
      </c>
      <c r="BU27" s="38">
        <f>(BS27/BT27)*100</f>
        <v>0.56988082340195</v>
      </c>
      <c r="BV27" s="42">
        <v>0</v>
      </c>
      <c r="BW27" s="20">
        <f>BV6</f>
        <v>712</v>
      </c>
      <c r="BX27" s="38">
        <f>(BV27/BW27)*100</f>
        <v>0</v>
      </c>
      <c r="BY27" s="42">
        <v>0</v>
      </c>
      <c r="BZ27" s="20">
        <f>BY6</f>
        <v>2165</v>
      </c>
      <c r="CA27" s="38">
        <f>(BY27/BZ27)*100</f>
        <v>0</v>
      </c>
      <c r="CB27" s="42">
        <v>0</v>
      </c>
      <c r="CC27" s="20">
        <f>CB6</f>
        <v>1527</v>
      </c>
      <c r="CD27" s="38">
        <f>(CB27/CC27)*100</f>
        <v>0</v>
      </c>
      <c r="CE27" s="42">
        <v>0</v>
      </c>
      <c r="CF27" s="20">
        <f>CE6</f>
        <v>2194</v>
      </c>
      <c r="CG27" s="38">
        <f>(CE27/CF27)*100</f>
        <v>0</v>
      </c>
      <c r="CH27" s="42">
        <v>0</v>
      </c>
      <c r="CI27" s="20">
        <f>CH6</f>
        <v>1605</v>
      </c>
      <c r="CJ27" s="38">
        <f>(CH27/CI27)*100</f>
        <v>0</v>
      </c>
      <c r="CK27" s="42">
        <v>0</v>
      </c>
      <c r="CL27" s="20">
        <f>CK6</f>
        <v>1738</v>
      </c>
      <c r="CM27" s="38">
        <f>(CK27/CL27)*100</f>
        <v>0</v>
      </c>
      <c r="CN27" s="42">
        <v>0</v>
      </c>
      <c r="CO27" s="20">
        <f>CN6</f>
        <v>1063</v>
      </c>
      <c r="CP27" s="38">
        <f>(CN27/CO27)*100</f>
        <v>0</v>
      </c>
      <c r="CQ27" s="42">
        <v>15</v>
      </c>
      <c r="CR27" s="20">
        <f>CQ6</f>
        <v>5833</v>
      </c>
      <c r="CS27" s="38">
        <f>(CQ27/CR27)*100</f>
        <v>0.257157551860106</v>
      </c>
      <c r="CT27" s="42">
        <v>10</v>
      </c>
      <c r="CU27" s="20">
        <f>CT6</f>
        <v>1077</v>
      </c>
      <c r="CV27" s="38">
        <f>(CT27/CU27)*100</f>
        <v>0.928505106778087</v>
      </c>
      <c r="CW27" s="42">
        <v>10</v>
      </c>
      <c r="CX27" s="20">
        <f>CW6</f>
        <v>849</v>
      </c>
      <c r="CY27" s="38">
        <f>(CW27/CX27)*100</f>
        <v>1.17785630153121</v>
      </c>
      <c r="CZ27" s="42">
        <v>0</v>
      </c>
      <c r="DA27" s="20">
        <f>CZ6</f>
        <v>1070</v>
      </c>
      <c r="DB27" s="38">
        <f>(CZ27/DA27)*100</f>
        <v>0</v>
      </c>
      <c r="DC27" s="42">
        <v>0</v>
      </c>
      <c r="DD27" s="20">
        <f>DC6</f>
        <v>3575</v>
      </c>
      <c r="DE27" s="38">
        <f>(DC27/DD27)*100</f>
        <v>0</v>
      </c>
      <c r="DF27" s="42">
        <v>0</v>
      </c>
      <c r="DG27" s="20">
        <f>DF6</f>
        <v>2194</v>
      </c>
      <c r="DH27" s="38">
        <f>(DF27/DG27)*100</f>
        <v>0</v>
      </c>
      <c r="DI27" s="42">
        <v>0</v>
      </c>
      <c r="DJ27" s="20">
        <f>DI6</f>
        <v>2175</v>
      </c>
      <c r="DK27" s="38">
        <f>(DI27/DJ27)*100</f>
        <v>0</v>
      </c>
      <c r="DL27" s="42">
        <v>0</v>
      </c>
      <c r="DM27" s="20">
        <f>DL6</f>
        <v>988</v>
      </c>
      <c r="DN27" s="38">
        <f>(DL27/DM27)*100</f>
        <v>0</v>
      </c>
      <c r="DO27" s="42">
        <v>14.5</v>
      </c>
      <c r="DP27" s="20">
        <f>DO6</f>
        <v>2289</v>
      </c>
      <c r="DQ27" s="38">
        <f>(DO27/DP27)*100</f>
        <v>0.633464394932285</v>
      </c>
      <c r="DR27" s="42">
        <v>0</v>
      </c>
      <c r="DS27" s="20">
        <f>DR6</f>
        <v>1790</v>
      </c>
      <c r="DT27" s="38">
        <f>(DR27/DS27)*100</f>
        <v>0</v>
      </c>
      <c r="DU27" s="42">
        <v>15</v>
      </c>
      <c r="DV27" s="20">
        <f>DU6</f>
        <v>2260</v>
      </c>
      <c r="DW27" s="38">
        <f>(DU27/DV27)*100</f>
        <v>0.663716814159292</v>
      </c>
      <c r="DX27" s="42">
        <v>0</v>
      </c>
      <c r="DY27" s="20">
        <f>DX6</f>
        <v>1023</v>
      </c>
      <c r="DZ27" s="38">
        <f>(DX27/DY27)*100</f>
        <v>0</v>
      </c>
      <c r="EA27" s="42">
        <v>0</v>
      </c>
      <c r="EB27" s="20">
        <f>EA6</f>
        <v>1573</v>
      </c>
      <c r="EC27" s="38">
        <f>(EA27/EB27)*100</f>
        <v>0</v>
      </c>
      <c r="ED27" s="42">
        <v>0</v>
      </c>
      <c r="EE27" s="20">
        <f>ED6</f>
        <v>1583</v>
      </c>
      <c r="EF27" s="38">
        <f>(ED27/EE27)*100</f>
        <v>0</v>
      </c>
      <c r="EG27" s="42">
        <v>0</v>
      </c>
      <c r="EH27" s="20">
        <f>EG6</f>
        <v>1263</v>
      </c>
      <c r="EI27" s="38">
        <f>(EG27/EH27)*100</f>
        <v>0</v>
      </c>
      <c r="EJ27" s="42">
        <v>0</v>
      </c>
      <c r="EK27" s="20">
        <f>EJ6</f>
        <v>1950</v>
      </c>
      <c r="EL27" s="38">
        <f>(EJ27/EK27)*100</f>
        <v>0</v>
      </c>
      <c r="EM27" s="42">
        <v>0</v>
      </c>
      <c r="EN27" s="20">
        <f>EM6</f>
        <v>2180</v>
      </c>
      <c r="EO27" s="38">
        <f>(EM27/EN27)*100</f>
        <v>0</v>
      </c>
      <c r="EP27" s="42">
        <v>0</v>
      </c>
      <c r="EQ27" s="20">
        <f>EP6</f>
        <v>1585</v>
      </c>
      <c r="ER27" s="38">
        <f>(EP27/EQ27)*100</f>
        <v>0</v>
      </c>
      <c r="ES27" s="42">
        <v>0</v>
      </c>
      <c r="ET27" s="20">
        <f>ES6</f>
        <v>1500</v>
      </c>
      <c r="EU27" s="38">
        <f>(ES27/ET27)*100</f>
        <v>0</v>
      </c>
      <c r="EV27" s="42">
        <v>0</v>
      </c>
      <c r="EW27" s="20">
        <f>EV6</f>
        <v>2837</v>
      </c>
      <c r="EX27" s="38">
        <f>(EV27/EW27)*100</f>
        <v>0</v>
      </c>
    </row>
    <row r="28" ht="4" hidden="1" customHeight="1" spans="1:154">
      <c r="A28" s="2"/>
      <c r="B28" s="2"/>
      <c r="C28" s="2" t="s">
        <v>189</v>
      </c>
      <c r="D28" s="41"/>
      <c r="E28" s="42"/>
      <c r="F28" s="20"/>
      <c r="G28" s="96"/>
      <c r="H28" s="42"/>
      <c r="I28" s="20"/>
      <c r="J28" s="96"/>
      <c r="K28" s="42"/>
      <c r="L28" s="20"/>
      <c r="M28" s="96"/>
      <c r="N28" s="42"/>
      <c r="O28" s="20"/>
      <c r="P28" s="38"/>
      <c r="Q28" s="42"/>
      <c r="R28" s="20"/>
      <c r="S28" s="96"/>
      <c r="T28" s="42"/>
      <c r="U28" s="20"/>
      <c r="V28" s="96"/>
      <c r="W28" s="42"/>
      <c r="X28" s="20"/>
      <c r="Y28" s="96"/>
      <c r="Z28" s="42"/>
      <c r="AA28" s="20"/>
      <c r="AB28" s="38"/>
      <c r="AC28" s="42"/>
      <c r="AD28" s="20"/>
      <c r="AE28" s="38"/>
      <c r="AF28" s="42"/>
      <c r="AG28" s="20"/>
      <c r="AH28" s="38"/>
      <c r="AI28" s="42"/>
      <c r="AJ28" s="20"/>
      <c r="AK28" s="38"/>
      <c r="AL28" s="42"/>
      <c r="AM28" s="20"/>
      <c r="AN28" s="38"/>
      <c r="AO28" s="42"/>
      <c r="AP28" s="20"/>
      <c r="AQ28" s="96"/>
      <c r="AR28" s="42"/>
      <c r="AS28" s="20"/>
      <c r="AT28" s="38"/>
      <c r="AU28" s="42"/>
      <c r="AV28" s="20"/>
      <c r="AW28" s="38"/>
      <c r="AX28" s="42"/>
      <c r="AY28" s="20"/>
      <c r="AZ28" s="96"/>
      <c r="BA28" s="42"/>
      <c r="BB28" s="20"/>
      <c r="BC28" s="96"/>
      <c r="BD28" s="42"/>
      <c r="BE28" s="20"/>
      <c r="BF28" s="38"/>
      <c r="BG28" s="42"/>
      <c r="BH28" s="20"/>
      <c r="BI28" s="38"/>
      <c r="BJ28" s="42"/>
      <c r="BK28" s="20"/>
      <c r="BL28" s="38"/>
      <c r="BM28" s="42"/>
      <c r="BN28" s="20"/>
      <c r="BO28" s="38"/>
      <c r="BP28" s="42"/>
      <c r="BQ28" s="20"/>
      <c r="BR28" s="38"/>
      <c r="BS28" s="42"/>
      <c r="BT28" s="20"/>
      <c r="BU28" s="38"/>
      <c r="BV28" s="42"/>
      <c r="BW28" s="20"/>
      <c r="BX28" s="38"/>
      <c r="BY28" s="42"/>
      <c r="BZ28" s="20"/>
      <c r="CA28" s="38"/>
      <c r="CB28" s="42"/>
      <c r="CC28" s="20"/>
      <c r="CD28" s="38"/>
      <c r="CE28" s="42"/>
      <c r="CF28" s="20"/>
      <c r="CG28" s="38"/>
      <c r="CH28" s="42"/>
      <c r="CI28" s="20"/>
      <c r="CJ28" s="38"/>
      <c r="CK28" s="42"/>
      <c r="CL28" s="20"/>
      <c r="CM28" s="38"/>
      <c r="CN28" s="42"/>
      <c r="CO28" s="20"/>
      <c r="CP28" s="38"/>
      <c r="CQ28" s="42"/>
      <c r="CR28" s="20"/>
      <c r="CS28" s="38"/>
      <c r="CT28" s="42"/>
      <c r="CU28" s="20"/>
      <c r="CV28" s="38"/>
      <c r="CW28" s="42"/>
      <c r="CX28" s="20"/>
      <c r="CY28" s="38"/>
      <c r="CZ28" s="42"/>
      <c r="DA28" s="20"/>
      <c r="DB28" s="38"/>
      <c r="DC28" s="42"/>
      <c r="DD28" s="20"/>
      <c r="DE28" s="38"/>
      <c r="DF28" s="42"/>
      <c r="DG28" s="20"/>
      <c r="DH28" s="38"/>
      <c r="DI28" s="42"/>
      <c r="DJ28" s="20"/>
      <c r="DK28" s="38"/>
      <c r="DL28" s="42"/>
      <c r="DM28" s="20"/>
      <c r="DN28" s="38"/>
      <c r="DO28" s="42"/>
      <c r="DP28" s="20"/>
      <c r="DQ28" s="38"/>
      <c r="DR28" s="42"/>
      <c r="DS28" s="20"/>
      <c r="DT28" s="38"/>
      <c r="DU28" s="42"/>
      <c r="DV28" s="20"/>
      <c r="DW28" s="38"/>
      <c r="DX28" s="42"/>
      <c r="DY28" s="20"/>
      <c r="DZ28" s="38"/>
      <c r="EA28" s="42"/>
      <c r="EB28" s="20"/>
      <c r="EC28" s="38"/>
      <c r="ED28" s="42"/>
      <c r="EE28" s="20"/>
      <c r="EF28" s="38"/>
      <c r="EG28" s="42"/>
      <c r="EH28" s="20"/>
      <c r="EI28" s="38"/>
      <c r="EJ28" s="42"/>
      <c r="EK28" s="20"/>
      <c r="EL28" s="38"/>
      <c r="EM28" s="42"/>
      <c r="EN28" s="20"/>
      <c r="EO28" s="38"/>
      <c r="EP28" s="42"/>
      <c r="EQ28" s="20"/>
      <c r="ER28" s="38"/>
      <c r="ES28" s="42"/>
      <c r="ET28" s="20"/>
      <c r="EU28" s="38"/>
      <c r="EV28" s="42"/>
      <c r="EW28" s="20"/>
      <c r="EX28" s="38"/>
    </row>
    <row r="29" hidden="1" spans="1:154">
      <c r="A29" s="2"/>
      <c r="B29" s="2"/>
      <c r="C29" s="2"/>
      <c r="D29" s="41"/>
      <c r="E29" s="86"/>
      <c r="F29" s="20"/>
      <c r="G29" s="38"/>
      <c r="H29" s="86"/>
      <c r="I29" s="20"/>
      <c r="J29" s="38"/>
      <c r="K29" s="86"/>
      <c r="L29" s="20"/>
      <c r="M29" s="38"/>
      <c r="N29" s="86"/>
      <c r="O29" s="20"/>
      <c r="P29" s="38"/>
      <c r="Q29" s="86"/>
      <c r="R29" s="20"/>
      <c r="S29" s="38"/>
      <c r="T29" s="86"/>
      <c r="U29" s="20"/>
      <c r="V29" s="38"/>
      <c r="W29" s="86"/>
      <c r="X29" s="20"/>
      <c r="Y29" s="38"/>
      <c r="Z29" s="86"/>
      <c r="AA29" s="20"/>
      <c r="AB29" s="38"/>
      <c r="AC29" s="86"/>
      <c r="AD29" s="20"/>
      <c r="AE29" s="38"/>
      <c r="AF29" s="86"/>
      <c r="AG29" s="20"/>
      <c r="AH29" s="38"/>
      <c r="AI29" s="86"/>
      <c r="AJ29" s="20"/>
      <c r="AK29" s="38"/>
      <c r="AL29" s="233" t="s">
        <v>190</v>
      </c>
      <c r="AM29" s="20"/>
      <c r="AN29" s="38"/>
      <c r="AO29" s="233"/>
      <c r="AP29" s="20"/>
      <c r="AQ29" s="38"/>
      <c r="AR29" s="86" t="s">
        <v>191</v>
      </c>
      <c r="AS29" s="20"/>
      <c r="AT29" s="38"/>
      <c r="AU29" s="86"/>
      <c r="AV29" s="20"/>
      <c r="AW29" s="38"/>
      <c r="AX29" s="86"/>
      <c r="AY29" s="20"/>
      <c r="AZ29" s="38"/>
      <c r="BA29" s="86"/>
      <c r="BB29" s="20"/>
      <c r="BC29" s="38"/>
      <c r="BD29" s="86"/>
      <c r="BE29" s="20"/>
      <c r="BF29" s="38"/>
      <c r="BG29" s="86"/>
      <c r="BH29" s="20"/>
      <c r="BI29" s="38"/>
      <c r="BJ29" s="86"/>
      <c r="BK29" s="20"/>
      <c r="BL29" s="38"/>
      <c r="BM29" s="86"/>
      <c r="BN29" s="20"/>
      <c r="BO29" s="38"/>
      <c r="BP29" s="86"/>
      <c r="BQ29" s="20"/>
      <c r="BR29" s="38"/>
      <c r="BS29" s="86"/>
      <c r="BT29" s="20"/>
      <c r="BU29" s="38"/>
      <c r="BV29" s="86"/>
      <c r="BW29" s="20"/>
      <c r="BX29" s="38"/>
      <c r="BY29" s="86"/>
      <c r="BZ29" s="20"/>
      <c r="CA29" s="38"/>
      <c r="CB29" s="86"/>
      <c r="CC29" s="20"/>
      <c r="CD29" s="38"/>
      <c r="CE29" s="86"/>
      <c r="CF29" s="20"/>
      <c r="CG29" s="38"/>
      <c r="CH29" s="86"/>
      <c r="CI29" s="20"/>
      <c r="CJ29" s="38"/>
      <c r="CK29" s="86"/>
      <c r="CL29" s="20"/>
      <c r="CM29" s="38"/>
      <c r="CN29" s="86"/>
      <c r="CO29" s="20"/>
      <c r="CP29" s="38"/>
      <c r="CQ29" s="86"/>
      <c r="CR29" s="20"/>
      <c r="CS29" s="38"/>
      <c r="CT29" s="86"/>
      <c r="CU29" s="20"/>
      <c r="CV29" s="38"/>
      <c r="CW29" s="86"/>
      <c r="CX29" s="20"/>
      <c r="CY29" s="38"/>
      <c r="CZ29" s="86"/>
      <c r="DA29" s="20"/>
      <c r="DB29" s="38"/>
      <c r="DC29" s="86"/>
      <c r="DD29" s="20"/>
      <c r="DE29" s="38"/>
      <c r="DF29" s="86"/>
      <c r="DG29" s="20"/>
      <c r="DH29" s="38"/>
      <c r="DI29" s="86"/>
      <c r="DJ29" s="20"/>
      <c r="DK29" s="38"/>
      <c r="DL29" s="86"/>
      <c r="DM29" s="20"/>
      <c r="DN29" s="38"/>
      <c r="DO29" s="86"/>
      <c r="DP29" s="20"/>
      <c r="DQ29" s="38"/>
      <c r="DR29" s="86"/>
      <c r="DS29" s="20"/>
      <c r="DT29" s="38"/>
      <c r="DU29" s="86"/>
      <c r="DV29" s="20"/>
      <c r="DW29" s="38"/>
      <c r="DX29" s="86"/>
      <c r="DY29" s="20"/>
      <c r="DZ29" s="38"/>
      <c r="EA29" s="86"/>
      <c r="EB29" s="20"/>
      <c r="EC29" s="38"/>
      <c r="ED29" s="86"/>
      <c r="EE29" s="20"/>
      <c r="EF29" s="38"/>
      <c r="EG29" s="86"/>
      <c r="EH29" s="20"/>
      <c r="EI29" s="38"/>
      <c r="EJ29" s="86"/>
      <c r="EK29" s="20"/>
      <c r="EL29" s="38"/>
      <c r="EM29" s="86"/>
      <c r="EN29" s="20"/>
      <c r="EO29" s="38"/>
      <c r="EP29" s="86"/>
      <c r="EQ29" s="20"/>
      <c r="ER29" s="38"/>
      <c r="ES29" s="86"/>
      <c r="ET29" s="20"/>
      <c r="EU29" s="38"/>
      <c r="EV29" s="86"/>
      <c r="EW29" s="20"/>
      <c r="EX29" s="38"/>
    </row>
    <row r="30" ht="18" hidden="1" customHeight="1" spans="1:154">
      <c r="A30" s="2">
        <v>11</v>
      </c>
      <c r="B30" s="2" t="s">
        <v>192</v>
      </c>
      <c r="C30" s="41" t="s">
        <v>193</v>
      </c>
      <c r="D30" s="2" t="s">
        <v>194</v>
      </c>
      <c r="E30" s="2">
        <v>16.02</v>
      </c>
      <c r="F30" s="42">
        <v>14.71</v>
      </c>
      <c r="G30" s="232">
        <f>E30</f>
        <v>16.02</v>
      </c>
      <c r="H30" s="2">
        <v>17.51</v>
      </c>
      <c r="I30" s="42">
        <v>17.86</v>
      </c>
      <c r="J30" s="232">
        <f>H30</f>
        <v>17.51</v>
      </c>
      <c r="K30" s="2">
        <v>14.44</v>
      </c>
      <c r="L30" s="42">
        <v>12.46</v>
      </c>
      <c r="M30" s="232">
        <f>K30</f>
        <v>14.44</v>
      </c>
      <c r="N30" s="2">
        <v>16.62</v>
      </c>
      <c r="O30" s="42">
        <v>13.53</v>
      </c>
      <c r="P30" s="232">
        <f>N30</f>
        <v>16.62</v>
      </c>
      <c r="Q30" s="2">
        <v>11.33</v>
      </c>
      <c r="R30" s="42">
        <v>11.3</v>
      </c>
      <c r="S30" s="232">
        <f>Q30</f>
        <v>11.33</v>
      </c>
      <c r="T30" s="2">
        <v>13.2</v>
      </c>
      <c r="U30" s="42">
        <v>11.11</v>
      </c>
      <c r="V30" s="232">
        <f>T30</f>
        <v>13.2</v>
      </c>
      <c r="W30" s="2">
        <v>11.56</v>
      </c>
      <c r="X30" s="42">
        <v>11.93</v>
      </c>
      <c r="Y30" s="232">
        <f>W30</f>
        <v>11.56</v>
      </c>
      <c r="Z30" s="2">
        <v>11.56</v>
      </c>
      <c r="AA30" s="42">
        <v>11.93</v>
      </c>
      <c r="AB30" s="232">
        <f>Z30</f>
        <v>11.56</v>
      </c>
      <c r="AC30" s="2">
        <v>26.85</v>
      </c>
      <c r="AD30" s="42">
        <v>20.92</v>
      </c>
      <c r="AE30" s="232">
        <f>AC30</f>
        <v>26.85</v>
      </c>
      <c r="AF30" s="2">
        <v>13.35</v>
      </c>
      <c r="AG30" s="42">
        <v>12.74</v>
      </c>
      <c r="AH30" s="232">
        <f>AF30</f>
        <v>13.35</v>
      </c>
      <c r="AI30" s="2">
        <v>13.35</v>
      </c>
      <c r="AJ30" s="42">
        <v>12.74</v>
      </c>
      <c r="AK30" s="232">
        <f>AI30</f>
        <v>13.35</v>
      </c>
      <c r="AL30" s="2">
        <v>10.07</v>
      </c>
      <c r="AM30" s="42">
        <v>8.02</v>
      </c>
      <c r="AN30" s="232">
        <f>AL30</f>
        <v>10.07</v>
      </c>
      <c r="AO30" s="2">
        <v>12.24</v>
      </c>
      <c r="AP30" s="42">
        <v>11.51</v>
      </c>
      <c r="AQ30" s="232">
        <f>AO30</f>
        <v>12.24</v>
      </c>
      <c r="AR30" s="2">
        <v>10.91</v>
      </c>
      <c r="AS30" s="42">
        <v>10.38</v>
      </c>
      <c r="AT30" s="232">
        <f>AR30</f>
        <v>10.91</v>
      </c>
      <c r="AU30" s="2">
        <v>11.59</v>
      </c>
      <c r="AV30" s="42">
        <v>10.1</v>
      </c>
      <c r="AW30" s="232">
        <f>AU30</f>
        <v>11.59</v>
      </c>
      <c r="AX30" s="2">
        <v>11.88</v>
      </c>
      <c r="AY30" s="42">
        <v>11.48</v>
      </c>
      <c r="AZ30" s="232">
        <f>AX30</f>
        <v>11.88</v>
      </c>
      <c r="BA30" s="2">
        <v>9.97</v>
      </c>
      <c r="BB30" s="42">
        <v>10.11</v>
      </c>
      <c r="BC30" s="232">
        <f>BA30</f>
        <v>9.97</v>
      </c>
      <c r="BD30" s="2">
        <v>18.45</v>
      </c>
      <c r="BE30" s="42">
        <v>18.49</v>
      </c>
      <c r="BF30" s="232">
        <f>BD30</f>
        <v>18.45</v>
      </c>
      <c r="BG30" s="2">
        <v>18.45</v>
      </c>
      <c r="BH30" s="42">
        <v>18.49</v>
      </c>
      <c r="BI30" s="232">
        <f>BG30</f>
        <v>18.45</v>
      </c>
      <c r="BJ30" s="2">
        <v>9.23</v>
      </c>
      <c r="BK30" s="42">
        <v>8.15</v>
      </c>
      <c r="BL30" s="232">
        <f>BJ30</f>
        <v>9.23</v>
      </c>
      <c r="BM30" s="2">
        <v>10.71</v>
      </c>
      <c r="BN30" s="42">
        <v>10.91</v>
      </c>
      <c r="BO30" s="232">
        <f>BM30</f>
        <v>10.71</v>
      </c>
      <c r="BP30" s="2">
        <v>11.28</v>
      </c>
      <c r="BQ30" s="42">
        <v>10.82</v>
      </c>
      <c r="BR30" s="232">
        <f>BP30</f>
        <v>11.28</v>
      </c>
      <c r="BS30" s="2">
        <v>14.05</v>
      </c>
      <c r="BT30" s="42">
        <v>15.18</v>
      </c>
      <c r="BU30" s="232">
        <f>BS30</f>
        <v>14.05</v>
      </c>
      <c r="BV30" s="2">
        <v>13.82</v>
      </c>
      <c r="BW30" s="42">
        <v>15.94</v>
      </c>
      <c r="BX30" s="232">
        <f>BV30</f>
        <v>13.82</v>
      </c>
      <c r="BY30" s="2">
        <v>8.37</v>
      </c>
      <c r="BZ30" s="42">
        <v>8.04</v>
      </c>
      <c r="CA30" s="232">
        <f>BY30</f>
        <v>8.37</v>
      </c>
      <c r="CB30" s="2">
        <v>11.46</v>
      </c>
      <c r="CC30" s="42">
        <v>9.72</v>
      </c>
      <c r="CD30" s="232">
        <f>CB30</f>
        <v>11.46</v>
      </c>
      <c r="CE30" s="2">
        <v>9.14</v>
      </c>
      <c r="CF30" s="42">
        <v>8.25</v>
      </c>
      <c r="CG30" s="232">
        <f>CE30</f>
        <v>9.14</v>
      </c>
      <c r="CH30" s="2">
        <v>9.14</v>
      </c>
      <c r="CI30" s="42">
        <v>8.25</v>
      </c>
      <c r="CJ30" s="232">
        <f>CH30</f>
        <v>9.14</v>
      </c>
      <c r="CK30" s="2">
        <v>9.31</v>
      </c>
      <c r="CL30" s="42">
        <v>8.85</v>
      </c>
      <c r="CM30" s="232">
        <f>CK30</f>
        <v>9.31</v>
      </c>
      <c r="CN30" s="2">
        <v>9.31</v>
      </c>
      <c r="CO30" s="42">
        <v>8.85</v>
      </c>
      <c r="CP30" s="232">
        <f>CN30</f>
        <v>9.31</v>
      </c>
      <c r="CQ30" s="2">
        <v>17.33</v>
      </c>
      <c r="CR30" s="42">
        <v>16.45</v>
      </c>
      <c r="CS30" s="232">
        <f>CQ30</f>
        <v>17.33</v>
      </c>
      <c r="CT30" s="2">
        <v>11.08</v>
      </c>
      <c r="CU30" s="42">
        <v>12.31</v>
      </c>
      <c r="CV30" s="232">
        <f>CT30</f>
        <v>11.08</v>
      </c>
      <c r="CW30" s="2">
        <v>11.08</v>
      </c>
      <c r="CX30" s="42">
        <v>12.31</v>
      </c>
      <c r="CY30" s="232">
        <f>CW30</f>
        <v>11.08</v>
      </c>
      <c r="CZ30" s="2">
        <v>8.68</v>
      </c>
      <c r="DA30" s="42">
        <v>8.03</v>
      </c>
      <c r="DB30" s="232">
        <f>CZ30</f>
        <v>8.68</v>
      </c>
      <c r="DC30" s="2">
        <v>9.3</v>
      </c>
      <c r="DD30" s="42">
        <v>11.02</v>
      </c>
      <c r="DE30" s="232">
        <f>DC30</f>
        <v>9.3</v>
      </c>
      <c r="DF30" s="2">
        <v>12.82</v>
      </c>
      <c r="DG30" s="42">
        <v>10.55</v>
      </c>
      <c r="DH30" s="232">
        <f>DF30</f>
        <v>12.82</v>
      </c>
      <c r="DI30" s="2">
        <v>8.8</v>
      </c>
      <c r="DJ30" s="42">
        <v>8.24</v>
      </c>
      <c r="DK30" s="232">
        <f>DI30</f>
        <v>8.8</v>
      </c>
      <c r="DL30" s="2">
        <v>9.49</v>
      </c>
      <c r="DM30" s="42">
        <v>10.71</v>
      </c>
      <c r="DN30" s="232">
        <f>DL30</f>
        <v>9.49</v>
      </c>
      <c r="DO30" s="2">
        <v>10.09</v>
      </c>
      <c r="DP30" s="42">
        <v>8.73</v>
      </c>
      <c r="DQ30" s="232">
        <f>DO30</f>
        <v>10.09</v>
      </c>
      <c r="DR30" s="2">
        <v>8.88</v>
      </c>
      <c r="DS30" s="42">
        <v>8.3</v>
      </c>
      <c r="DT30" s="232">
        <f>DR30</f>
        <v>8.88</v>
      </c>
      <c r="DU30" s="2">
        <v>8.72</v>
      </c>
      <c r="DV30" s="42">
        <v>8.03</v>
      </c>
      <c r="DW30" s="232">
        <f>DU30</f>
        <v>8.72</v>
      </c>
      <c r="DX30" s="2">
        <v>8.99</v>
      </c>
      <c r="DY30" s="42">
        <v>8.3</v>
      </c>
      <c r="DZ30" s="232">
        <f>DX30</f>
        <v>8.99</v>
      </c>
      <c r="EA30" s="2">
        <v>8.99</v>
      </c>
      <c r="EB30" s="42">
        <v>8.3</v>
      </c>
      <c r="EC30" s="232">
        <f>EA30</f>
        <v>8.99</v>
      </c>
      <c r="ED30" s="2">
        <v>8.68</v>
      </c>
      <c r="EE30" s="42">
        <v>8.09</v>
      </c>
      <c r="EF30" s="232">
        <f>ED30</f>
        <v>8.68</v>
      </c>
      <c r="EG30" s="2">
        <v>10.55</v>
      </c>
      <c r="EH30" s="42">
        <v>10.99</v>
      </c>
      <c r="EI30" s="232">
        <f>EG30</f>
        <v>10.55</v>
      </c>
      <c r="EJ30" s="2">
        <v>8.97</v>
      </c>
      <c r="EK30" s="42">
        <v>8.72</v>
      </c>
      <c r="EL30" s="232">
        <f>EJ30</f>
        <v>8.97</v>
      </c>
      <c r="EM30" s="2">
        <v>9.69</v>
      </c>
      <c r="EN30" s="42">
        <v>9.15</v>
      </c>
      <c r="EO30" s="232">
        <f>EM30</f>
        <v>9.69</v>
      </c>
      <c r="EP30" s="2">
        <v>9.69</v>
      </c>
      <c r="EQ30" s="42">
        <v>9.15</v>
      </c>
      <c r="ER30" s="232">
        <f>EP30</f>
        <v>9.69</v>
      </c>
      <c r="ES30" s="2">
        <v>9.69</v>
      </c>
      <c r="ET30" s="42">
        <v>9.15</v>
      </c>
      <c r="EU30" s="232">
        <f>ES30</f>
        <v>9.69</v>
      </c>
      <c r="EV30" s="2">
        <v>15</v>
      </c>
      <c r="EW30" s="42">
        <v>11.68</v>
      </c>
      <c r="EX30" s="232">
        <f>EV30</f>
        <v>15</v>
      </c>
    </row>
    <row r="31" hidden="1" spans="1:154">
      <c r="A31" s="2"/>
      <c r="B31" s="2"/>
      <c r="D31" s="41"/>
      <c r="E31" s="42"/>
      <c r="F31" s="20"/>
      <c r="G31" s="38"/>
      <c r="H31" s="42"/>
      <c r="I31" s="20"/>
      <c r="J31" s="38"/>
      <c r="K31" s="42"/>
      <c r="L31" s="20"/>
      <c r="M31" s="38"/>
      <c r="N31" s="42"/>
      <c r="O31" s="20"/>
      <c r="P31" s="38"/>
      <c r="Q31" s="42"/>
      <c r="R31" s="20"/>
      <c r="S31" s="38"/>
      <c r="T31" s="42"/>
      <c r="U31" s="20"/>
      <c r="V31" s="38"/>
      <c r="W31" s="42"/>
      <c r="X31" s="20"/>
      <c r="Y31" s="38"/>
      <c r="Z31" s="42"/>
      <c r="AA31" s="20"/>
      <c r="AB31" s="38"/>
      <c r="AC31" s="42"/>
      <c r="AD31" s="20"/>
      <c r="AE31" s="38"/>
      <c r="AF31" s="42"/>
      <c r="AG31" s="20"/>
      <c r="AH31" s="38"/>
      <c r="AI31" s="42"/>
      <c r="AJ31" s="20"/>
      <c r="AK31" s="38"/>
      <c r="AL31" s="42"/>
      <c r="AM31" s="20"/>
      <c r="AN31" s="38"/>
      <c r="AO31" s="42"/>
      <c r="AP31" s="20"/>
      <c r="AQ31" s="38"/>
      <c r="AR31" s="42"/>
      <c r="AS31" s="20"/>
      <c r="AT31" s="38"/>
      <c r="AU31" s="42"/>
      <c r="AV31" s="20"/>
      <c r="AW31" s="38"/>
      <c r="AX31" s="42"/>
      <c r="AY31" s="20"/>
      <c r="AZ31" s="38"/>
      <c r="BA31" s="42"/>
      <c r="BB31" s="20"/>
      <c r="BC31" s="38"/>
      <c r="BD31" s="42"/>
      <c r="BE31" s="20"/>
      <c r="BF31" s="38"/>
      <c r="BG31" s="42"/>
      <c r="BH31" s="20"/>
      <c r="BI31" s="38"/>
      <c r="BJ31" s="42"/>
      <c r="BK31" s="20"/>
      <c r="BL31" s="38"/>
      <c r="BM31" s="42"/>
      <c r="BN31" s="20"/>
      <c r="BO31" s="38"/>
      <c r="BP31" s="42"/>
      <c r="BQ31" s="20"/>
      <c r="BR31" s="38"/>
      <c r="BS31" s="42"/>
      <c r="BT31" s="20"/>
      <c r="BU31" s="38"/>
      <c r="BV31" s="42"/>
      <c r="BW31" s="20"/>
      <c r="BX31" s="38"/>
      <c r="BY31" s="42"/>
      <c r="BZ31" s="20"/>
      <c r="CA31" s="38"/>
      <c r="CB31" s="42"/>
      <c r="CC31" s="20"/>
      <c r="CD31" s="38"/>
      <c r="CE31" s="42"/>
      <c r="CF31" s="20"/>
      <c r="CG31" s="38"/>
      <c r="CH31" s="42"/>
      <c r="CI31" s="20"/>
      <c r="CJ31" s="38"/>
      <c r="CK31" s="42"/>
      <c r="CL31" s="20"/>
      <c r="CM31" s="38"/>
      <c r="CN31" s="42"/>
      <c r="CO31" s="20"/>
      <c r="CP31" s="38"/>
      <c r="CQ31" s="42"/>
      <c r="CR31" s="20"/>
      <c r="CS31" s="38"/>
      <c r="CT31" s="42"/>
      <c r="CU31" s="20"/>
      <c r="CV31" s="38"/>
      <c r="CW31" s="42"/>
      <c r="CX31" s="20"/>
      <c r="CY31" s="38"/>
      <c r="CZ31" s="42"/>
      <c r="DA31" s="20"/>
      <c r="DB31" s="38"/>
      <c r="DC31" s="42"/>
      <c r="DD31" s="20"/>
      <c r="DE31" s="38"/>
      <c r="DF31" s="42"/>
      <c r="DG31" s="20"/>
      <c r="DH31" s="38"/>
      <c r="DI31" s="42"/>
      <c r="DJ31" s="20"/>
      <c r="DK31" s="38"/>
      <c r="DL31" s="42"/>
      <c r="DM31" s="20"/>
      <c r="DN31" s="38"/>
      <c r="DO31" s="42"/>
      <c r="DP31" s="20"/>
      <c r="DQ31" s="38"/>
      <c r="DR31" s="42"/>
      <c r="DS31" s="20"/>
      <c r="DT31" s="38"/>
      <c r="DU31" s="42"/>
      <c r="DV31" s="20"/>
      <c r="DW31" s="38"/>
      <c r="DX31" s="42"/>
      <c r="DY31" s="20"/>
      <c r="DZ31" s="38"/>
      <c r="EA31" s="42"/>
      <c r="EB31" s="20"/>
      <c r="EC31" s="38"/>
      <c r="ED31" s="42"/>
      <c r="EE31" s="20"/>
      <c r="EF31" s="38"/>
      <c r="EG31" s="42"/>
      <c r="EH31" s="20"/>
      <c r="EI31" s="38"/>
      <c r="EJ31" s="42"/>
      <c r="EK31" s="20"/>
      <c r="EL31" s="38"/>
      <c r="EM31" s="42"/>
      <c r="EN31" s="20"/>
      <c r="EO31" s="38"/>
      <c r="EP31" s="42"/>
      <c r="EQ31" s="20"/>
      <c r="ER31" s="38"/>
      <c r="ES31" s="42"/>
      <c r="ET31" s="20"/>
      <c r="EU31" s="38"/>
      <c r="EV31" s="42"/>
      <c r="EW31" s="20"/>
      <c r="EX31" s="38"/>
    </row>
    <row r="32" ht="16.5" customHeight="1" spans="1:154">
      <c r="A32" s="2">
        <v>12</v>
      </c>
      <c r="B32" s="3" t="s">
        <v>196</v>
      </c>
      <c r="C32" s="2" t="s">
        <v>197</v>
      </c>
      <c r="D32" s="2" t="s">
        <v>628</v>
      </c>
      <c r="E32" s="42">
        <v>2.65</v>
      </c>
      <c r="F32" s="42">
        <v>2.18</v>
      </c>
      <c r="G32" s="96">
        <f>E32</f>
        <v>2.65</v>
      </c>
      <c r="H32" s="42">
        <v>2.55</v>
      </c>
      <c r="I32" s="42">
        <v>3</v>
      </c>
      <c r="J32" s="96">
        <f>H32</f>
        <v>2.55</v>
      </c>
      <c r="K32" s="42">
        <v>4.87</v>
      </c>
      <c r="L32" s="42">
        <v>4.66</v>
      </c>
      <c r="M32" s="96">
        <f>K32</f>
        <v>4.87</v>
      </c>
      <c r="N32" s="42">
        <v>8.44</v>
      </c>
      <c r="O32" s="42">
        <v>10.6</v>
      </c>
      <c r="P32" s="38">
        <f>N32</f>
        <v>8.44</v>
      </c>
      <c r="Q32" s="42">
        <v>4.11</v>
      </c>
      <c r="R32" s="42">
        <v>3.69</v>
      </c>
      <c r="S32" s="96">
        <f>Q32</f>
        <v>4.11</v>
      </c>
      <c r="T32" s="42">
        <v>7.73</v>
      </c>
      <c r="U32" s="42">
        <v>5.89</v>
      </c>
      <c r="V32" s="96">
        <f>T32</f>
        <v>7.73</v>
      </c>
      <c r="W32" s="42">
        <v>9.49</v>
      </c>
      <c r="X32" s="42">
        <v>7.92</v>
      </c>
      <c r="Y32" s="38">
        <f>W32</f>
        <v>9.49</v>
      </c>
      <c r="Z32" s="42">
        <v>9.49</v>
      </c>
      <c r="AA32" s="42">
        <v>7.92</v>
      </c>
      <c r="AB32" s="38">
        <f>Z32</f>
        <v>9.49</v>
      </c>
      <c r="AC32" s="42">
        <v>3.84</v>
      </c>
      <c r="AD32" s="42">
        <v>3.16</v>
      </c>
      <c r="AE32" s="38">
        <f>AC32</f>
        <v>3.84</v>
      </c>
      <c r="AF32" s="42">
        <v>9.99</v>
      </c>
      <c r="AG32" s="42">
        <v>8.23</v>
      </c>
      <c r="AH32" s="38">
        <f>AF32</f>
        <v>9.99</v>
      </c>
      <c r="AI32" s="42">
        <v>9.99</v>
      </c>
      <c r="AJ32" s="42">
        <v>8.23</v>
      </c>
      <c r="AK32" s="38">
        <f>AI32</f>
        <v>9.99</v>
      </c>
      <c r="AL32" s="234">
        <v>11.32</v>
      </c>
      <c r="AM32" s="234">
        <v>10.41</v>
      </c>
      <c r="AN32" s="38">
        <f>AL32</f>
        <v>11.32</v>
      </c>
      <c r="AO32" s="42">
        <v>4.7</v>
      </c>
      <c r="AP32" s="42">
        <v>6.11</v>
      </c>
      <c r="AQ32" s="96">
        <f>AO32</f>
        <v>4.7</v>
      </c>
      <c r="AR32" s="42">
        <v>3.62</v>
      </c>
      <c r="AS32" s="42">
        <v>4.07</v>
      </c>
      <c r="AT32" s="96">
        <f>AR32</f>
        <v>3.62</v>
      </c>
      <c r="AU32" s="42">
        <v>4.7</v>
      </c>
      <c r="AV32" s="42">
        <v>7.25</v>
      </c>
      <c r="AW32" s="96">
        <f>AU32</f>
        <v>4.7</v>
      </c>
      <c r="AX32" s="42">
        <v>7.54</v>
      </c>
      <c r="AY32" s="42">
        <v>5.56</v>
      </c>
      <c r="AZ32" s="96">
        <f>AX32</f>
        <v>7.54</v>
      </c>
      <c r="BA32" s="42">
        <v>64</v>
      </c>
      <c r="BB32" s="42">
        <v>58.99</v>
      </c>
      <c r="BC32" s="38">
        <f>BA32</f>
        <v>64</v>
      </c>
      <c r="BD32" s="42">
        <v>3.34</v>
      </c>
      <c r="BE32" s="42">
        <v>3.31</v>
      </c>
      <c r="BF32" s="38">
        <f>BD32</f>
        <v>3.34</v>
      </c>
      <c r="BG32" s="42">
        <v>3.34</v>
      </c>
      <c r="BH32" s="42">
        <v>3.31</v>
      </c>
      <c r="BI32" s="38">
        <f>BG32</f>
        <v>3.34</v>
      </c>
      <c r="BJ32" s="42">
        <v>6</v>
      </c>
      <c r="BK32" s="42">
        <v>4.8</v>
      </c>
      <c r="BL32" s="38">
        <f>BJ32</f>
        <v>6</v>
      </c>
      <c r="BM32" s="42">
        <v>9.6</v>
      </c>
      <c r="BN32" s="235">
        <v>20.5</v>
      </c>
      <c r="BO32" s="38">
        <f>BM32</f>
        <v>9.6</v>
      </c>
      <c r="BP32" s="42">
        <v>7.43</v>
      </c>
      <c r="BQ32" s="42">
        <v>10.19</v>
      </c>
      <c r="BR32" s="96">
        <f>BP32</f>
        <v>7.43</v>
      </c>
      <c r="BS32" s="42">
        <v>6.87</v>
      </c>
      <c r="BT32" s="42">
        <v>10.48</v>
      </c>
      <c r="BU32" s="96">
        <f>BS32</f>
        <v>6.87</v>
      </c>
      <c r="BV32" s="42">
        <v>4.43</v>
      </c>
      <c r="BW32" s="42">
        <v>6.35</v>
      </c>
      <c r="BX32" s="96">
        <f>BV32</f>
        <v>4.43</v>
      </c>
      <c r="BY32" s="42">
        <v>4.73</v>
      </c>
      <c r="BZ32" s="42">
        <v>3.03</v>
      </c>
      <c r="CA32" s="96">
        <f>BY32</f>
        <v>4.73</v>
      </c>
      <c r="CB32" s="42">
        <v>4.8</v>
      </c>
      <c r="CC32" s="42">
        <v>3.94</v>
      </c>
      <c r="CD32" s="96">
        <f>CB32</f>
        <v>4.8</v>
      </c>
      <c r="CE32" s="42">
        <v>1.96</v>
      </c>
      <c r="CF32" s="42">
        <v>3.77</v>
      </c>
      <c r="CG32" s="96">
        <f>CE32</f>
        <v>1.96</v>
      </c>
      <c r="CH32" s="42">
        <v>1.96</v>
      </c>
      <c r="CI32" s="42">
        <v>3.77</v>
      </c>
      <c r="CJ32" s="96">
        <f>CH32</f>
        <v>1.96</v>
      </c>
      <c r="CK32" s="42">
        <v>4.54</v>
      </c>
      <c r="CL32" s="42">
        <v>4.95</v>
      </c>
      <c r="CM32" s="96">
        <f>CK32</f>
        <v>4.54</v>
      </c>
      <c r="CN32" s="42">
        <v>4.54</v>
      </c>
      <c r="CO32" s="42">
        <v>4.95</v>
      </c>
      <c r="CP32" s="38">
        <f>CN32</f>
        <v>4.54</v>
      </c>
      <c r="CQ32" s="42">
        <v>12.8</v>
      </c>
      <c r="CR32" s="42">
        <v>13.22</v>
      </c>
      <c r="CS32" s="38">
        <f>CQ32</f>
        <v>12.8</v>
      </c>
      <c r="CT32" s="42">
        <v>4.67</v>
      </c>
      <c r="CU32" s="42">
        <v>3.79</v>
      </c>
      <c r="CV32" s="96">
        <f>CT32</f>
        <v>4.67</v>
      </c>
      <c r="CW32" s="42">
        <v>4.67</v>
      </c>
      <c r="CX32" s="42">
        <v>3.79</v>
      </c>
      <c r="CY32" s="96">
        <f>CW32</f>
        <v>4.67</v>
      </c>
      <c r="CZ32" s="42">
        <v>2.13</v>
      </c>
      <c r="DA32" s="42">
        <v>4.21</v>
      </c>
      <c r="DB32" s="96">
        <f>CZ32</f>
        <v>2.13</v>
      </c>
      <c r="DC32" s="42">
        <v>4.85</v>
      </c>
      <c r="DD32" s="42">
        <v>2.13</v>
      </c>
      <c r="DE32" s="96">
        <f>DC32</f>
        <v>4.85</v>
      </c>
      <c r="DF32" s="42">
        <v>4.69</v>
      </c>
      <c r="DG32" s="42">
        <v>3.39</v>
      </c>
      <c r="DH32" s="96">
        <f>DF32</f>
        <v>4.69</v>
      </c>
      <c r="DI32" s="42">
        <v>12.21</v>
      </c>
      <c r="DJ32" s="42">
        <v>17.42</v>
      </c>
      <c r="DK32" s="96">
        <f>DI32</f>
        <v>12.21</v>
      </c>
      <c r="DL32" s="42">
        <v>5.33</v>
      </c>
      <c r="DM32" s="42">
        <v>3.49</v>
      </c>
      <c r="DN32" s="96">
        <f>DL32</f>
        <v>5.33</v>
      </c>
      <c r="DO32" s="42">
        <v>1.58</v>
      </c>
      <c r="DP32" s="42">
        <v>1.82</v>
      </c>
      <c r="DQ32" s="96">
        <f>DO32</f>
        <v>1.58</v>
      </c>
      <c r="DR32" s="42">
        <v>4.2</v>
      </c>
      <c r="DS32" s="42">
        <v>7.35</v>
      </c>
      <c r="DT32" s="96">
        <f>DR32</f>
        <v>4.2</v>
      </c>
      <c r="DU32" s="42">
        <v>2.91</v>
      </c>
      <c r="DV32" s="42">
        <v>3.67</v>
      </c>
      <c r="DW32" s="96">
        <f>DU32</f>
        <v>2.91</v>
      </c>
      <c r="DX32" s="42">
        <v>4</v>
      </c>
      <c r="DY32" s="42">
        <v>4.98</v>
      </c>
      <c r="DZ32" s="96">
        <f>DX32</f>
        <v>4</v>
      </c>
      <c r="EA32" s="42">
        <v>4</v>
      </c>
      <c r="EB32" s="42">
        <v>4.98</v>
      </c>
      <c r="EC32" s="96">
        <f>EA32</f>
        <v>4</v>
      </c>
      <c r="ED32" s="42">
        <v>4.51</v>
      </c>
      <c r="EE32" s="42">
        <v>5.84</v>
      </c>
      <c r="EF32" s="96">
        <f>ED32</f>
        <v>4.51</v>
      </c>
      <c r="EG32" s="42">
        <v>6.16</v>
      </c>
      <c r="EH32" s="42">
        <v>6.65</v>
      </c>
      <c r="EI32" s="38">
        <f>EG32</f>
        <v>6.16</v>
      </c>
      <c r="EJ32" s="42">
        <v>9.79</v>
      </c>
      <c r="EK32" s="42">
        <v>6.49</v>
      </c>
      <c r="EL32" s="38">
        <f>EJ32</f>
        <v>9.79</v>
      </c>
      <c r="EM32" s="42">
        <v>3.93</v>
      </c>
      <c r="EN32" s="42">
        <v>8.67</v>
      </c>
      <c r="EO32" s="38">
        <f>EM32</f>
        <v>3.93</v>
      </c>
      <c r="EP32" s="42">
        <v>3.93</v>
      </c>
      <c r="EQ32" s="42">
        <v>8.67</v>
      </c>
      <c r="ER32" s="38">
        <f>EP32</f>
        <v>3.93</v>
      </c>
      <c r="ES32" s="42">
        <v>3.93</v>
      </c>
      <c r="ET32" s="42">
        <v>8.67</v>
      </c>
      <c r="EU32" s="38">
        <f>ES32</f>
        <v>3.93</v>
      </c>
      <c r="EV32" s="42">
        <v>4.76</v>
      </c>
      <c r="EW32" s="42">
        <v>4.82</v>
      </c>
      <c r="EX32" s="96">
        <f>EV32</f>
        <v>4.76</v>
      </c>
    </row>
    <row r="33" hidden="1" spans="1:154">
      <c r="A33" s="2"/>
      <c r="B33" s="23"/>
      <c r="C33" s="2"/>
      <c r="D33" s="2"/>
      <c r="E33" s="82"/>
      <c r="F33" s="82"/>
      <c r="G33" s="38"/>
      <c r="H33" s="82"/>
      <c r="I33" s="82"/>
      <c r="J33" s="38"/>
      <c r="K33" s="82"/>
      <c r="L33" s="82"/>
      <c r="M33" s="38"/>
      <c r="N33" s="82"/>
      <c r="O33" s="82"/>
      <c r="P33" s="38"/>
      <c r="Q33" s="82"/>
      <c r="R33" s="82"/>
      <c r="S33" s="38"/>
      <c r="T33" s="82"/>
      <c r="U33" s="82"/>
      <c r="V33" s="38"/>
      <c r="W33" s="82"/>
      <c r="X33" s="82"/>
      <c r="Y33" s="38"/>
      <c r="Z33" s="82"/>
      <c r="AA33" s="82"/>
      <c r="AB33" s="38"/>
      <c r="AC33" s="82"/>
      <c r="AD33" s="82"/>
      <c r="AE33" s="38"/>
      <c r="AF33" s="82"/>
      <c r="AG33" s="82"/>
      <c r="AH33" s="38"/>
      <c r="AI33" s="82"/>
      <c r="AJ33" s="82"/>
      <c r="AK33" s="38"/>
      <c r="AL33" s="82"/>
      <c r="AM33" s="82"/>
      <c r="AN33" s="38"/>
      <c r="AO33" s="82"/>
      <c r="AP33" s="82"/>
      <c r="AQ33" s="38"/>
      <c r="AR33" s="82"/>
      <c r="AS33" s="82"/>
      <c r="AT33" s="38"/>
      <c r="AU33" s="82"/>
      <c r="AV33" s="82"/>
      <c r="AW33" s="38"/>
      <c r="AX33" s="82"/>
      <c r="AY33" s="82"/>
      <c r="AZ33" s="38"/>
      <c r="BA33" s="82"/>
      <c r="BB33" s="82"/>
      <c r="BC33" s="38"/>
      <c r="BD33" s="82"/>
      <c r="BE33" s="82"/>
      <c r="BF33" s="38"/>
      <c r="BG33" s="82"/>
      <c r="BH33" s="82"/>
      <c r="BI33" s="38"/>
      <c r="BJ33" s="82"/>
      <c r="BK33" s="82"/>
      <c r="BL33" s="38"/>
      <c r="BM33" s="82"/>
      <c r="BN33" s="82"/>
      <c r="BO33" s="38"/>
      <c r="BP33" s="82"/>
      <c r="BQ33" s="82"/>
      <c r="BR33" s="38"/>
      <c r="BS33" s="82"/>
      <c r="BT33" s="82"/>
      <c r="BU33" s="38"/>
      <c r="BV33" s="82"/>
      <c r="BW33" s="82"/>
      <c r="BX33" s="38"/>
      <c r="BY33" s="82"/>
      <c r="BZ33" s="82"/>
      <c r="CA33" s="38"/>
      <c r="CB33" s="82"/>
      <c r="CC33" s="82"/>
      <c r="CD33" s="38"/>
      <c r="CE33" s="82"/>
      <c r="CF33" s="82"/>
      <c r="CG33" s="38"/>
      <c r="CH33" s="236" t="s">
        <v>625</v>
      </c>
      <c r="CI33" s="82"/>
      <c r="CJ33" s="38"/>
      <c r="CK33" s="82"/>
      <c r="CL33" s="82"/>
      <c r="CM33" s="38"/>
      <c r="CN33" s="82"/>
      <c r="CO33" s="82"/>
      <c r="CP33" s="38"/>
      <c r="CQ33" s="82"/>
      <c r="CR33" s="82"/>
      <c r="CS33" s="38"/>
      <c r="CT33" s="82"/>
      <c r="CU33" s="82"/>
      <c r="CV33" s="38"/>
      <c r="CW33" s="82"/>
      <c r="CX33" s="82"/>
      <c r="CY33" s="38"/>
      <c r="CZ33" s="82"/>
      <c r="DA33" s="82"/>
      <c r="DB33" s="38"/>
      <c r="DC33" s="82"/>
      <c r="DD33" s="82"/>
      <c r="DE33" s="38"/>
      <c r="DF33" s="82"/>
      <c r="DG33" s="82"/>
      <c r="DH33" s="38"/>
      <c r="DI33" s="82"/>
      <c r="DJ33" s="82"/>
      <c r="DK33" s="38"/>
      <c r="DL33" s="82"/>
      <c r="DM33" s="82"/>
      <c r="DN33" s="38"/>
      <c r="DO33" s="82"/>
      <c r="DP33" s="82"/>
      <c r="DQ33" s="38"/>
      <c r="DR33" s="82"/>
      <c r="DS33" s="82"/>
      <c r="DT33" s="38"/>
      <c r="DU33" s="82"/>
      <c r="DV33" s="82"/>
      <c r="DW33" s="38"/>
      <c r="DX33" s="82"/>
      <c r="DY33" s="82"/>
      <c r="DZ33" s="38"/>
      <c r="EA33" s="82"/>
      <c r="EB33" s="82"/>
      <c r="EC33" s="38"/>
      <c r="ED33" s="82"/>
      <c r="EE33" s="82"/>
      <c r="EF33" s="38"/>
      <c r="EG33" s="82"/>
      <c r="EH33" s="82"/>
      <c r="EI33" s="38"/>
      <c r="EJ33" s="82"/>
      <c r="EK33" s="82"/>
      <c r="EL33" s="38"/>
      <c r="EM33" s="82"/>
      <c r="EN33" s="82"/>
      <c r="EO33" s="38"/>
      <c r="EP33" s="82"/>
      <c r="EQ33" s="82"/>
      <c r="ER33" s="38"/>
      <c r="ES33" s="82"/>
      <c r="ET33" s="82"/>
      <c r="EU33" s="38"/>
      <c r="EV33" s="82"/>
      <c r="EW33" s="82"/>
      <c r="EX33" s="38"/>
    </row>
    <row r="34" ht="20" customHeight="1" spans="1:154">
      <c r="A34" s="2">
        <v>13</v>
      </c>
      <c r="B34" s="66" t="s">
        <v>199</v>
      </c>
      <c r="C34" s="41" t="s">
        <v>200</v>
      </c>
      <c r="D34" s="2" t="s">
        <v>629</v>
      </c>
      <c r="E34" s="42">
        <v>116.67</v>
      </c>
      <c r="F34" s="42">
        <v>115.1</v>
      </c>
      <c r="G34" s="96">
        <f>E34</f>
        <v>116.67</v>
      </c>
      <c r="H34" s="42">
        <v>97.13</v>
      </c>
      <c r="I34" s="42">
        <v>95.39</v>
      </c>
      <c r="J34" s="96">
        <f>H34</f>
        <v>97.13</v>
      </c>
      <c r="K34" s="42">
        <v>124.23</v>
      </c>
      <c r="L34" s="42">
        <v>121.42</v>
      </c>
      <c r="M34" s="38">
        <f>K34</f>
        <v>124.23</v>
      </c>
      <c r="N34" s="42">
        <v>121.14</v>
      </c>
      <c r="O34" s="42">
        <v>111.93</v>
      </c>
      <c r="P34" s="96">
        <f>N34</f>
        <v>121.14</v>
      </c>
      <c r="Q34" s="235">
        <v>389.29</v>
      </c>
      <c r="R34" s="235">
        <v>369.78</v>
      </c>
      <c r="S34" s="38">
        <f>Q34</f>
        <v>389.29</v>
      </c>
      <c r="T34" s="42">
        <v>112.97</v>
      </c>
      <c r="U34" s="42">
        <v>112.67</v>
      </c>
      <c r="V34" s="96">
        <f>T34</f>
        <v>112.97</v>
      </c>
      <c r="W34" s="42">
        <v>111.01</v>
      </c>
      <c r="X34" s="42">
        <v>122.11</v>
      </c>
      <c r="Y34" s="96">
        <f>W34</f>
        <v>111.01</v>
      </c>
      <c r="Z34" s="42">
        <v>111.01</v>
      </c>
      <c r="AA34" s="42">
        <v>122.11</v>
      </c>
      <c r="AB34" s="96">
        <f>Z34</f>
        <v>111.01</v>
      </c>
      <c r="AC34" s="42">
        <v>110.81</v>
      </c>
      <c r="AD34" s="42">
        <v>129.46</v>
      </c>
      <c r="AE34" s="96">
        <f>AC34</f>
        <v>110.81</v>
      </c>
      <c r="AF34" s="42">
        <v>123.2</v>
      </c>
      <c r="AG34" s="42">
        <v>119.79</v>
      </c>
      <c r="AH34" s="96">
        <f>AF34</f>
        <v>123.2</v>
      </c>
      <c r="AI34" s="42">
        <v>123.2</v>
      </c>
      <c r="AJ34" s="42">
        <v>119.79</v>
      </c>
      <c r="AK34" s="96">
        <f>AI34</f>
        <v>123.2</v>
      </c>
      <c r="AL34" s="42">
        <v>116.33</v>
      </c>
      <c r="AM34" s="42">
        <v>117.19</v>
      </c>
      <c r="AN34" s="96">
        <f>AL34</f>
        <v>116.33</v>
      </c>
      <c r="AO34" s="42">
        <v>111.28</v>
      </c>
      <c r="AP34" s="42">
        <v>108.44</v>
      </c>
      <c r="AQ34" s="96">
        <f>AO34</f>
        <v>111.28</v>
      </c>
      <c r="AR34" s="42">
        <v>272.43</v>
      </c>
      <c r="AS34" s="42">
        <v>276.89</v>
      </c>
      <c r="AT34" s="38">
        <f>AR34</f>
        <v>272.43</v>
      </c>
      <c r="AU34" s="42">
        <v>26.83</v>
      </c>
      <c r="AV34" s="42">
        <v>29.11</v>
      </c>
      <c r="AW34" s="96">
        <f>AU34</f>
        <v>26.83</v>
      </c>
      <c r="AX34" s="42">
        <v>108.56</v>
      </c>
      <c r="AY34" s="42">
        <v>108.34</v>
      </c>
      <c r="AZ34" s="96">
        <f>AX34</f>
        <v>108.56</v>
      </c>
      <c r="BA34" s="42">
        <v>110</v>
      </c>
      <c r="BB34" s="42">
        <v>105.07</v>
      </c>
      <c r="BC34" s="96">
        <f>BA34</f>
        <v>110</v>
      </c>
      <c r="BD34" s="42">
        <v>91.71</v>
      </c>
      <c r="BE34" s="42">
        <v>117.67</v>
      </c>
      <c r="BF34" s="96">
        <f>BD34</f>
        <v>91.71</v>
      </c>
      <c r="BG34" s="42">
        <v>91.71</v>
      </c>
      <c r="BH34" s="42">
        <v>117.67</v>
      </c>
      <c r="BI34" s="96">
        <f>BG34</f>
        <v>91.71</v>
      </c>
      <c r="BJ34" s="42">
        <v>94.23</v>
      </c>
      <c r="BK34" s="42">
        <v>93.36</v>
      </c>
      <c r="BL34" s="96">
        <f>BJ34</f>
        <v>94.23</v>
      </c>
      <c r="BM34" s="42">
        <v>105.05</v>
      </c>
      <c r="BN34" s="42">
        <v>109.99</v>
      </c>
      <c r="BO34" s="96">
        <f>BM34</f>
        <v>105.05</v>
      </c>
      <c r="BP34" s="42">
        <v>109.78</v>
      </c>
      <c r="BQ34" s="42">
        <v>114.59</v>
      </c>
      <c r="BR34" s="96">
        <f>BP34</f>
        <v>109.78</v>
      </c>
      <c r="BS34" s="42">
        <v>112.11</v>
      </c>
      <c r="BT34" s="42">
        <v>117.95</v>
      </c>
      <c r="BU34" s="96">
        <f>BS34</f>
        <v>112.11</v>
      </c>
      <c r="BV34" s="42">
        <v>430.71</v>
      </c>
      <c r="BW34" s="42">
        <v>412.61</v>
      </c>
      <c r="BX34" s="96">
        <f>BV34</f>
        <v>430.71</v>
      </c>
      <c r="BY34" s="42">
        <v>105.56</v>
      </c>
      <c r="BZ34" s="42">
        <v>102.86</v>
      </c>
      <c r="CA34" s="96">
        <f>BY34</f>
        <v>105.56</v>
      </c>
      <c r="CB34" s="42">
        <v>110.71</v>
      </c>
      <c r="CC34" s="42">
        <v>112.71</v>
      </c>
      <c r="CD34" s="96">
        <f>CB34</f>
        <v>110.71</v>
      </c>
      <c r="CE34" s="42">
        <v>109.03</v>
      </c>
      <c r="CF34" s="42">
        <v>107.41</v>
      </c>
      <c r="CG34" s="96">
        <f>CE34</f>
        <v>109.03</v>
      </c>
      <c r="CH34" s="42">
        <v>109.03</v>
      </c>
      <c r="CI34" s="42">
        <v>107.41</v>
      </c>
      <c r="CJ34" s="96">
        <f>CH34</f>
        <v>109.03</v>
      </c>
      <c r="CK34" s="42">
        <v>106.64</v>
      </c>
      <c r="CL34" s="42">
        <v>114.36</v>
      </c>
      <c r="CM34" s="96">
        <f>CK34</f>
        <v>106.64</v>
      </c>
      <c r="CN34" s="42">
        <v>106.64</v>
      </c>
      <c r="CO34" s="42">
        <v>114.36</v>
      </c>
      <c r="CP34" s="96">
        <f>CN34</f>
        <v>106.64</v>
      </c>
      <c r="CQ34" s="42">
        <v>0</v>
      </c>
      <c r="CR34" s="42">
        <v>0</v>
      </c>
      <c r="CS34" s="96">
        <f>CQ34</f>
        <v>0</v>
      </c>
      <c r="CT34" s="42">
        <v>110.7</v>
      </c>
      <c r="CU34" s="42">
        <v>114.51</v>
      </c>
      <c r="CV34" s="96">
        <f>CT34</f>
        <v>110.7</v>
      </c>
      <c r="CW34" s="42">
        <v>110.7</v>
      </c>
      <c r="CX34" s="42">
        <v>114.51</v>
      </c>
      <c r="CY34" s="38">
        <f>CW34</f>
        <v>110.7</v>
      </c>
      <c r="CZ34" s="42">
        <v>215.9</v>
      </c>
      <c r="DA34" s="42">
        <v>199.45</v>
      </c>
      <c r="DB34" s="38">
        <f>CZ34</f>
        <v>215.9</v>
      </c>
      <c r="DC34" s="42">
        <v>175.25</v>
      </c>
      <c r="DD34" s="42">
        <v>182</v>
      </c>
      <c r="DE34" s="38">
        <f>DC34</f>
        <v>175.25</v>
      </c>
      <c r="DF34" s="42">
        <v>249.94</v>
      </c>
      <c r="DG34" s="42">
        <v>264.22</v>
      </c>
      <c r="DH34" s="38">
        <f>DF34</f>
        <v>249.94</v>
      </c>
      <c r="DI34" s="42">
        <v>142.17</v>
      </c>
      <c r="DJ34" s="42">
        <v>140.36</v>
      </c>
      <c r="DK34" s="38">
        <f>DI34</f>
        <v>142.17</v>
      </c>
      <c r="DL34" s="42">
        <v>99.83</v>
      </c>
      <c r="DM34" s="42">
        <v>106.75</v>
      </c>
      <c r="DN34" s="38">
        <f>DL34</f>
        <v>99.83</v>
      </c>
      <c r="DO34" s="234">
        <v>417.94</v>
      </c>
      <c r="DP34" s="234">
        <v>477.66</v>
      </c>
      <c r="DQ34" s="38">
        <f>DO34</f>
        <v>417.94</v>
      </c>
      <c r="DR34" s="42">
        <v>152.32</v>
      </c>
      <c r="DS34" s="42">
        <v>148.82</v>
      </c>
      <c r="DT34" s="38">
        <f>DR34</f>
        <v>152.32</v>
      </c>
      <c r="DU34" s="234">
        <v>427.56</v>
      </c>
      <c r="DV34" s="234">
        <v>481.31</v>
      </c>
      <c r="DW34" s="38">
        <f>DU34</f>
        <v>427.56</v>
      </c>
      <c r="DX34" s="42">
        <v>103.35</v>
      </c>
      <c r="DY34" s="237">
        <v>893.15</v>
      </c>
      <c r="DZ34" s="38">
        <f>DX34</f>
        <v>103.35</v>
      </c>
      <c r="EA34" s="42">
        <v>103.35</v>
      </c>
      <c r="EB34" s="42">
        <v>103.35</v>
      </c>
      <c r="EC34" s="38">
        <f>EA34</f>
        <v>103.35</v>
      </c>
      <c r="ED34" s="42">
        <v>101.02</v>
      </c>
      <c r="EE34" s="42">
        <v>105.54</v>
      </c>
      <c r="EF34" s="96">
        <f>ED34</f>
        <v>101.02</v>
      </c>
      <c r="EG34" s="42">
        <v>107.68</v>
      </c>
      <c r="EH34" s="42">
        <v>106.29</v>
      </c>
      <c r="EI34" s="38">
        <f>EG34</f>
        <v>107.68</v>
      </c>
      <c r="EJ34" s="234">
        <v>345</v>
      </c>
      <c r="EK34" s="234">
        <v>281.28</v>
      </c>
      <c r="EL34" s="38">
        <f>EJ34</f>
        <v>345</v>
      </c>
      <c r="EM34" s="234">
        <v>0</v>
      </c>
      <c r="EN34" s="234">
        <v>0</v>
      </c>
      <c r="EO34" s="38">
        <f>EM34</f>
        <v>0</v>
      </c>
      <c r="EP34" s="234">
        <v>0</v>
      </c>
      <c r="EQ34" s="234">
        <v>0</v>
      </c>
      <c r="ER34" s="38">
        <f>EP34</f>
        <v>0</v>
      </c>
      <c r="ES34" s="234">
        <v>0</v>
      </c>
      <c r="ET34" s="234">
        <v>0</v>
      </c>
      <c r="EU34" s="38">
        <f>ES34</f>
        <v>0</v>
      </c>
      <c r="EV34" s="234">
        <v>359.27</v>
      </c>
      <c r="EW34" s="234">
        <v>275.69</v>
      </c>
      <c r="EX34" s="38">
        <f>EV34</f>
        <v>359.27</v>
      </c>
    </row>
    <row r="35" hidden="1" spans="1:154">
      <c r="A35" s="2"/>
      <c r="B35" s="2"/>
      <c r="C35" s="2"/>
      <c r="D35" s="41"/>
      <c r="E35" s="42"/>
      <c r="F35" s="20"/>
      <c r="G35" s="38"/>
      <c r="H35" s="42"/>
      <c r="I35" s="20"/>
      <c r="J35" s="38"/>
      <c r="K35" s="42"/>
      <c r="L35" s="20"/>
      <c r="M35" s="38"/>
      <c r="N35" s="42"/>
      <c r="O35" s="20"/>
      <c r="P35" s="38"/>
      <c r="Q35" s="42"/>
      <c r="R35" s="20"/>
      <c r="S35" s="38"/>
      <c r="T35" s="42"/>
      <c r="U35" s="20"/>
      <c r="V35" s="38"/>
      <c r="W35" s="42"/>
      <c r="X35" s="20"/>
      <c r="Y35" s="38"/>
      <c r="Z35" s="42"/>
      <c r="AA35" s="20"/>
      <c r="AB35" s="38"/>
      <c r="AC35" s="42"/>
      <c r="AD35" s="20"/>
      <c r="AE35" s="38"/>
      <c r="AF35" s="42"/>
      <c r="AG35" s="20"/>
      <c r="AH35" s="38"/>
      <c r="AI35" s="42"/>
      <c r="AJ35" s="20"/>
      <c r="AK35" s="38"/>
      <c r="AL35" s="42"/>
      <c r="AM35" s="20"/>
      <c r="AN35" s="38"/>
      <c r="AO35" s="42"/>
      <c r="AP35" s="20"/>
      <c r="AQ35" s="38"/>
      <c r="AR35" s="42"/>
      <c r="AS35" s="20"/>
      <c r="AT35" s="38"/>
      <c r="AU35" s="42"/>
      <c r="AV35" s="20"/>
      <c r="AW35" s="38"/>
      <c r="AX35" s="42"/>
      <c r="AY35" s="20"/>
      <c r="AZ35" s="38"/>
      <c r="BA35" s="42"/>
      <c r="BB35" s="20"/>
      <c r="BC35" s="38"/>
      <c r="BD35" s="42"/>
      <c r="BE35" s="20"/>
      <c r="BF35" s="38"/>
      <c r="BG35" s="42"/>
      <c r="BH35" s="20"/>
      <c r="BI35" s="38"/>
      <c r="BJ35" s="42"/>
      <c r="BK35" s="20"/>
      <c r="BL35" s="38"/>
      <c r="BM35" s="42"/>
      <c r="BN35" s="20"/>
      <c r="BO35" s="38"/>
      <c r="BP35" s="42"/>
      <c r="BQ35" s="20"/>
      <c r="BR35" s="38"/>
      <c r="BS35" s="42"/>
      <c r="BT35" s="20"/>
      <c r="BU35" s="38"/>
      <c r="BV35" s="42"/>
      <c r="BW35" s="20"/>
      <c r="BX35" s="38"/>
      <c r="BY35" s="42"/>
      <c r="BZ35" s="20"/>
      <c r="CA35" s="38"/>
      <c r="CB35" s="42"/>
      <c r="CC35" s="20"/>
      <c r="CD35" s="38"/>
      <c r="CE35" s="42"/>
      <c r="CF35" s="20"/>
      <c r="CG35" s="38"/>
      <c r="CH35" s="42"/>
      <c r="CI35" s="20"/>
      <c r="CJ35" s="38"/>
      <c r="CK35" s="42"/>
      <c r="CL35" s="20"/>
      <c r="CM35" s="38"/>
      <c r="CN35" s="42"/>
      <c r="CO35" s="20"/>
      <c r="CP35" s="38"/>
      <c r="CQ35" s="42"/>
      <c r="CR35" s="20"/>
      <c r="CS35" s="38"/>
      <c r="CT35" s="42"/>
      <c r="CU35" s="20"/>
      <c r="CV35" s="38"/>
      <c r="CW35" s="238" t="s">
        <v>626</v>
      </c>
      <c r="CX35" s="20"/>
      <c r="CY35" s="38"/>
      <c r="CZ35" s="20"/>
      <c r="DA35" s="20"/>
      <c r="DB35" s="38"/>
      <c r="DC35" s="20"/>
      <c r="DD35" s="20"/>
      <c r="DE35" s="38"/>
      <c r="DF35" s="20"/>
      <c r="DG35" s="20"/>
      <c r="DH35" s="38"/>
      <c r="DI35" s="20"/>
      <c r="DJ35" s="20"/>
      <c r="DK35" s="38"/>
      <c r="DL35" s="20"/>
      <c r="DM35" s="20"/>
      <c r="DN35" s="38"/>
      <c r="DO35" s="20"/>
      <c r="DP35" s="20"/>
      <c r="DQ35" s="38"/>
      <c r="DR35" s="20"/>
      <c r="DS35" s="20"/>
      <c r="DT35" s="38"/>
      <c r="DU35" s="20"/>
      <c r="DV35" s="20"/>
      <c r="DW35" s="38"/>
      <c r="DX35" s="20"/>
      <c r="DY35" s="20"/>
      <c r="DZ35" s="38"/>
      <c r="EA35" s="20"/>
      <c r="EB35" s="20"/>
      <c r="EC35" s="38"/>
      <c r="ED35" s="20"/>
      <c r="EE35" s="20"/>
      <c r="EF35" s="38"/>
      <c r="EG35" s="20"/>
      <c r="EH35" s="20"/>
      <c r="EI35" s="38"/>
      <c r="EJ35" s="20"/>
      <c r="EK35" s="20"/>
      <c r="EL35" s="38"/>
      <c r="EM35" s="20"/>
      <c r="EN35" s="20"/>
      <c r="EO35" s="38"/>
      <c r="EP35" s="20"/>
      <c r="EQ35" s="20"/>
      <c r="ER35" s="38"/>
      <c r="ES35" s="20"/>
      <c r="ET35" s="20"/>
      <c r="EU35" s="38"/>
      <c r="EV35" s="20"/>
      <c r="EW35" s="20"/>
      <c r="EX35" s="38"/>
    </row>
    <row r="36" hidden="1" spans="1:154">
      <c r="A36" s="2">
        <v>14</v>
      </c>
      <c r="B36" s="2" t="s">
        <v>297</v>
      </c>
      <c r="C36" s="37" t="s">
        <v>298</v>
      </c>
      <c r="D36" s="2" t="s">
        <v>299</v>
      </c>
      <c r="E36" s="239"/>
      <c r="F36" s="239"/>
      <c r="G36" s="44">
        <v>2.6027</v>
      </c>
      <c r="H36" s="239"/>
      <c r="I36" s="239"/>
      <c r="J36" s="44">
        <v>0.2303</v>
      </c>
      <c r="K36" s="239"/>
      <c r="L36" s="239"/>
      <c r="M36" s="44">
        <v>0.0838</v>
      </c>
      <c r="N36" s="239"/>
      <c r="O36" s="239"/>
      <c r="P36" s="44">
        <v>0.0768</v>
      </c>
      <c r="Q36" s="239"/>
      <c r="R36" s="239"/>
      <c r="S36" s="44">
        <v>0.203</v>
      </c>
      <c r="T36" s="239"/>
      <c r="U36" s="239"/>
      <c r="V36" s="44">
        <v>0.0609</v>
      </c>
      <c r="W36" s="239"/>
      <c r="X36" s="239"/>
      <c r="Y36" s="44">
        <v>0.0509</v>
      </c>
      <c r="Z36" s="239"/>
      <c r="AA36" s="239"/>
      <c r="AB36" s="44">
        <v>0.0509</v>
      </c>
      <c r="AC36" s="239"/>
      <c r="AD36" s="239"/>
      <c r="AE36" s="44">
        <v>0.1151</v>
      </c>
      <c r="AF36" s="239"/>
      <c r="AG36" s="239"/>
      <c r="AH36" s="44">
        <v>0.0169</v>
      </c>
      <c r="AI36" s="239"/>
      <c r="AJ36" s="239"/>
      <c r="AK36" s="44">
        <v>0.0169</v>
      </c>
      <c r="AL36" s="239"/>
      <c r="AM36" s="239"/>
      <c r="AN36" s="44">
        <v>0.1104</v>
      </c>
      <c r="AO36" s="239"/>
      <c r="AP36" s="239"/>
      <c r="AQ36" s="44">
        <v>0.0827</v>
      </c>
      <c r="AR36" s="239"/>
      <c r="AS36" s="239"/>
      <c r="AT36" s="44">
        <v>0.0437</v>
      </c>
      <c r="AU36" s="239"/>
      <c r="AV36" s="239"/>
      <c r="AW36" s="44">
        <v>0.1648</v>
      </c>
      <c r="AX36" s="239"/>
      <c r="AY36" s="239"/>
      <c r="AZ36" s="44">
        <v>0.1627</v>
      </c>
      <c r="BA36" s="239"/>
      <c r="BB36" s="239"/>
      <c r="BC36" s="44">
        <v>0.0621</v>
      </c>
      <c r="BD36" s="239"/>
      <c r="BE36" s="239"/>
      <c r="BF36" s="44">
        <v>0.2691</v>
      </c>
      <c r="BG36" s="239"/>
      <c r="BH36" s="239"/>
      <c r="BI36" s="44">
        <v>0.2691</v>
      </c>
      <c r="BJ36" s="239"/>
      <c r="BK36" s="239"/>
      <c r="BL36" s="44">
        <v>0.0721</v>
      </c>
      <c r="BM36" s="239"/>
      <c r="BN36" s="239"/>
      <c r="BO36" s="44">
        <v>0.0672</v>
      </c>
      <c r="BP36" s="239"/>
      <c r="BQ36" s="239"/>
      <c r="BR36" s="44">
        <v>0.1128</v>
      </c>
      <c r="BS36" s="239"/>
      <c r="BT36" s="239"/>
      <c r="BU36" s="44">
        <v>0.2497</v>
      </c>
      <c r="BV36" s="239"/>
      <c r="BW36" s="239"/>
      <c r="BX36" s="44">
        <v>0.1008</v>
      </c>
      <c r="BY36" s="239"/>
      <c r="BZ36" s="239"/>
      <c r="CA36" s="44">
        <v>0.0393</v>
      </c>
      <c r="CB36" s="239"/>
      <c r="CC36" s="239"/>
      <c r="CD36" s="44">
        <v>0.1517</v>
      </c>
      <c r="CE36" s="239"/>
      <c r="CF36" s="239"/>
      <c r="CG36" s="44">
        <v>0.0538</v>
      </c>
      <c r="CH36" s="239"/>
      <c r="CI36" s="239"/>
      <c r="CJ36" s="44">
        <v>0.0538</v>
      </c>
      <c r="CK36" s="239"/>
      <c r="CL36" s="239"/>
      <c r="CM36" s="44">
        <v>0.1435</v>
      </c>
      <c r="CN36" s="239"/>
      <c r="CO36" s="239"/>
      <c r="CP36" s="44">
        <v>0.1435</v>
      </c>
      <c r="CQ36" s="239"/>
      <c r="CR36" s="239"/>
      <c r="CS36" s="44">
        <v>0</v>
      </c>
      <c r="CT36" s="239"/>
      <c r="CU36" s="239"/>
      <c r="CV36" s="44">
        <v>0.1025</v>
      </c>
      <c r="CW36" s="239"/>
      <c r="CX36" s="239"/>
      <c r="CY36" s="44">
        <v>0.1025</v>
      </c>
      <c r="CZ36" s="239"/>
      <c r="DA36" s="239"/>
      <c r="DB36" s="44">
        <v>0.1025</v>
      </c>
      <c r="DC36" s="239"/>
      <c r="DD36" s="239"/>
      <c r="DE36" s="44">
        <v>0.2405</v>
      </c>
      <c r="DF36" s="239"/>
      <c r="DG36" s="239"/>
      <c r="DH36" s="44">
        <v>0.1555</v>
      </c>
      <c r="DI36" s="239"/>
      <c r="DJ36" s="239"/>
      <c r="DK36" s="44">
        <v>0.1251</v>
      </c>
      <c r="DL36" s="239"/>
      <c r="DM36" s="239"/>
      <c r="DN36" s="44">
        <v>0.1343</v>
      </c>
      <c r="DO36" s="239"/>
      <c r="DP36" s="239"/>
      <c r="DQ36" s="44">
        <v>0.2039</v>
      </c>
      <c r="DR36" s="239"/>
      <c r="DS36" s="239"/>
      <c r="DT36" s="44">
        <v>0.1181</v>
      </c>
      <c r="DU36" s="239"/>
      <c r="DV36" s="239"/>
      <c r="DW36" s="44">
        <v>0.0769</v>
      </c>
      <c r="DX36" s="239"/>
      <c r="DY36" s="239"/>
      <c r="DZ36" s="44">
        <v>0.0769</v>
      </c>
      <c r="EA36" s="239"/>
      <c r="EB36" s="239"/>
      <c r="EC36" s="44">
        <v>0.0769</v>
      </c>
      <c r="ED36" s="239"/>
      <c r="EE36" s="239"/>
      <c r="EF36" s="44">
        <v>0.1179</v>
      </c>
      <c r="EG36" s="239"/>
      <c r="EH36" s="239"/>
      <c r="EI36" s="44">
        <v>0.1156</v>
      </c>
      <c r="EJ36" s="239"/>
      <c r="EK36" s="239"/>
      <c r="EL36" s="44">
        <v>0.3264</v>
      </c>
      <c r="EM36" s="239"/>
      <c r="EN36" s="239"/>
      <c r="EO36" s="44">
        <v>0.3632</v>
      </c>
      <c r="EP36" s="239"/>
      <c r="EQ36" s="239"/>
      <c r="ER36" s="44">
        <v>0.3632</v>
      </c>
      <c r="ES36" s="239"/>
      <c r="ET36" s="239"/>
      <c r="EU36" s="44">
        <v>0.3632</v>
      </c>
      <c r="EV36" s="239"/>
      <c r="EW36" s="239"/>
      <c r="EX36" s="44">
        <v>0.0864</v>
      </c>
    </row>
    <row r="37" ht="3" hidden="1" customHeight="1" spans="1:154">
      <c r="A37" s="2"/>
      <c r="B37" s="2"/>
      <c r="C37" s="6" t="s">
        <v>300</v>
      </c>
      <c r="D37" s="2"/>
      <c r="E37" s="239"/>
      <c r="F37" s="240"/>
      <c r="G37" s="44"/>
      <c r="H37" s="239"/>
      <c r="I37" s="240"/>
      <c r="J37" s="44"/>
      <c r="K37" s="239"/>
      <c r="L37" s="240"/>
      <c r="M37" s="44"/>
      <c r="N37" s="239"/>
      <c r="O37" s="240"/>
      <c r="P37" s="44"/>
      <c r="Q37" s="239"/>
      <c r="R37" s="240"/>
      <c r="S37" s="44"/>
      <c r="T37" s="239"/>
      <c r="U37" s="240"/>
      <c r="V37" s="44"/>
      <c r="W37" s="239"/>
      <c r="X37" s="240"/>
      <c r="Y37" s="44"/>
      <c r="Z37" s="239"/>
      <c r="AA37" s="240"/>
      <c r="AB37" s="44"/>
      <c r="AC37" s="239"/>
      <c r="AD37" s="240"/>
      <c r="AE37" s="44"/>
      <c r="AF37" s="239"/>
      <c r="AG37" s="240"/>
      <c r="AH37" s="44"/>
      <c r="AI37" s="239"/>
      <c r="AJ37" s="240"/>
      <c r="AK37" s="44"/>
      <c r="AL37" s="239"/>
      <c r="AM37" s="240"/>
      <c r="AN37" s="44"/>
      <c r="AO37" s="239"/>
      <c r="AP37" s="240"/>
      <c r="AQ37" s="44"/>
      <c r="AR37" s="239"/>
      <c r="AS37" s="240"/>
      <c r="AT37" s="44"/>
      <c r="AU37" s="239"/>
      <c r="AV37" s="240"/>
      <c r="AW37" s="44"/>
      <c r="AX37" s="239"/>
      <c r="AY37" s="240"/>
      <c r="AZ37" s="44"/>
      <c r="BA37" s="239"/>
      <c r="BB37" s="240"/>
      <c r="BC37" s="44"/>
      <c r="BD37" s="239"/>
      <c r="BE37" s="240"/>
      <c r="BF37" s="44"/>
      <c r="BG37" s="239"/>
      <c r="BH37" s="240"/>
      <c r="BI37" s="44"/>
      <c r="BJ37" s="239"/>
      <c r="BK37" s="240"/>
      <c r="BL37" s="44"/>
      <c r="BM37" s="239"/>
      <c r="BN37" s="240"/>
      <c r="BO37" s="44"/>
      <c r="BP37" s="239"/>
      <c r="BQ37" s="240"/>
      <c r="BR37" s="44"/>
      <c r="BS37" s="239"/>
      <c r="BT37" s="240"/>
      <c r="BU37" s="44"/>
      <c r="BV37" s="239"/>
      <c r="BW37" s="240"/>
      <c r="BX37" s="44"/>
      <c r="BY37" s="239"/>
      <c r="BZ37" s="240"/>
      <c r="CA37" s="44"/>
      <c r="CB37" s="239"/>
      <c r="CC37" s="240"/>
      <c r="CD37" s="44"/>
      <c r="CE37" s="239"/>
      <c r="CF37" s="240"/>
      <c r="CG37" s="44"/>
      <c r="CH37" s="239"/>
      <c r="CI37" s="240"/>
      <c r="CJ37" s="44"/>
      <c r="CK37" s="239"/>
      <c r="CL37" s="240"/>
      <c r="CM37" s="44"/>
      <c r="CN37" s="239"/>
      <c r="CO37" s="240"/>
      <c r="CP37" s="44"/>
      <c r="CQ37" s="239"/>
      <c r="CR37" s="240"/>
      <c r="CS37" s="44"/>
      <c r="CT37" s="239"/>
      <c r="CU37" s="240"/>
      <c r="CV37" s="44"/>
      <c r="CW37" s="239"/>
      <c r="CX37" s="240"/>
      <c r="CY37" s="44"/>
      <c r="CZ37" s="239"/>
      <c r="DA37" s="240"/>
      <c r="DB37" s="44"/>
      <c r="DC37" s="239"/>
      <c r="DD37" s="240"/>
      <c r="DE37" s="44"/>
      <c r="DF37" s="239"/>
      <c r="DG37" s="240"/>
      <c r="DH37" s="44"/>
      <c r="DI37" s="239"/>
      <c r="DJ37" s="240"/>
      <c r="DK37" s="44"/>
      <c r="DL37" s="239"/>
      <c r="DM37" s="240"/>
      <c r="DN37" s="44"/>
      <c r="DO37" s="239"/>
      <c r="DP37" s="240"/>
      <c r="DQ37" s="44"/>
      <c r="DR37" s="239"/>
      <c r="DS37" s="240"/>
      <c r="DT37" s="44"/>
      <c r="DU37" s="239"/>
      <c r="DV37" s="240"/>
      <c r="DW37" s="44"/>
      <c r="DX37" s="239"/>
      <c r="DY37" s="240"/>
      <c r="DZ37" s="44"/>
      <c r="EA37" s="239"/>
      <c r="EB37" s="240"/>
      <c r="EC37" s="44"/>
      <c r="ED37" s="239"/>
      <c r="EE37" s="240"/>
      <c r="EF37" s="44"/>
      <c r="EG37" s="239"/>
      <c r="EH37" s="240"/>
      <c r="EI37" s="44"/>
      <c r="EJ37" s="239"/>
      <c r="EK37" s="240"/>
      <c r="EL37" s="44"/>
      <c r="EM37" s="239"/>
      <c r="EN37" s="240"/>
      <c r="EO37" s="44"/>
      <c r="EP37" s="239"/>
      <c r="EQ37" s="240"/>
      <c r="ER37" s="44"/>
      <c r="ES37" s="239"/>
      <c r="ET37" s="240"/>
      <c r="EU37" s="44"/>
      <c r="EV37" s="239"/>
      <c r="EW37" s="240"/>
      <c r="EX37" s="44"/>
    </row>
  </sheetData>
  <mergeCells count="1279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X1:AZ1"/>
    <mergeCell ref="BA1:BC1"/>
    <mergeCell ref="BD1:BF1"/>
    <mergeCell ref="BG1:BI1"/>
    <mergeCell ref="BJ1:BL1"/>
    <mergeCell ref="BM1:BO1"/>
    <mergeCell ref="BP1:BR1"/>
    <mergeCell ref="BS1:BU1"/>
    <mergeCell ref="BV1:BX1"/>
    <mergeCell ref="BY1:CA1"/>
    <mergeCell ref="CB1:CD1"/>
    <mergeCell ref="CE1:CG1"/>
    <mergeCell ref="CH1:CJ1"/>
    <mergeCell ref="CK1:CM1"/>
    <mergeCell ref="CN1:CP1"/>
    <mergeCell ref="CQ1:CS1"/>
    <mergeCell ref="CT1:CV1"/>
    <mergeCell ref="CW1:CY1"/>
    <mergeCell ref="CZ1:DB1"/>
    <mergeCell ref="DC1:DE1"/>
    <mergeCell ref="DF1:DH1"/>
    <mergeCell ref="DI1:DK1"/>
    <mergeCell ref="DL1:DN1"/>
    <mergeCell ref="DO1:DQ1"/>
    <mergeCell ref="DR1:DT1"/>
    <mergeCell ref="DU1:DW1"/>
    <mergeCell ref="DX1:DZ1"/>
    <mergeCell ref="EA1:EC1"/>
    <mergeCell ref="ED1:EF1"/>
    <mergeCell ref="EG1:EI1"/>
    <mergeCell ref="EJ1:EL1"/>
    <mergeCell ref="EM1:EO1"/>
    <mergeCell ref="EP1:ER1"/>
    <mergeCell ref="ES1:EU1"/>
    <mergeCell ref="EV1:EX1"/>
    <mergeCell ref="Z10:AA10"/>
    <mergeCell ref="AI10:AJ10"/>
    <mergeCell ref="Z13:AA13"/>
    <mergeCell ref="A3:A4"/>
    <mergeCell ref="A6:A7"/>
    <mergeCell ref="A11:A12"/>
    <mergeCell ref="A14:A15"/>
    <mergeCell ref="A21:A22"/>
    <mergeCell ref="A24:A25"/>
    <mergeCell ref="A27:A28"/>
    <mergeCell ref="A36:A37"/>
    <mergeCell ref="B3:B4"/>
    <mergeCell ref="B6:B7"/>
    <mergeCell ref="B11:B12"/>
    <mergeCell ref="B14:B15"/>
    <mergeCell ref="B21:B22"/>
    <mergeCell ref="B24:B25"/>
    <mergeCell ref="B27:B28"/>
    <mergeCell ref="B36:B37"/>
    <mergeCell ref="C11:C12"/>
    <mergeCell ref="D3:D4"/>
    <mergeCell ref="D6:D7"/>
    <mergeCell ref="D11:D12"/>
    <mergeCell ref="D14:D15"/>
    <mergeCell ref="D21:D22"/>
    <mergeCell ref="D24:D25"/>
    <mergeCell ref="D27:D28"/>
    <mergeCell ref="D36:D37"/>
    <mergeCell ref="E3:E4"/>
    <mergeCell ref="E6:E7"/>
    <mergeCell ref="E11:E12"/>
    <mergeCell ref="E14:E15"/>
    <mergeCell ref="E21:E22"/>
    <mergeCell ref="E24:E25"/>
    <mergeCell ref="E27:E28"/>
    <mergeCell ref="E36:E37"/>
    <mergeCell ref="F3:F4"/>
    <mergeCell ref="F6:F7"/>
    <mergeCell ref="F11:F12"/>
    <mergeCell ref="F14:F15"/>
    <mergeCell ref="F21:F22"/>
    <mergeCell ref="F24:F25"/>
    <mergeCell ref="F27:F28"/>
    <mergeCell ref="F36:F37"/>
    <mergeCell ref="G3:G4"/>
    <mergeCell ref="G6:G7"/>
    <mergeCell ref="G11:G12"/>
    <mergeCell ref="G14:G15"/>
    <mergeCell ref="G21:G22"/>
    <mergeCell ref="G24:G25"/>
    <mergeCell ref="G27:G28"/>
    <mergeCell ref="G36:G37"/>
    <mergeCell ref="H3:H4"/>
    <mergeCell ref="H6:H7"/>
    <mergeCell ref="H11:H12"/>
    <mergeCell ref="H14:H15"/>
    <mergeCell ref="H21:H22"/>
    <mergeCell ref="H24:H25"/>
    <mergeCell ref="H27:H28"/>
    <mergeCell ref="H36:H37"/>
    <mergeCell ref="I3:I4"/>
    <mergeCell ref="I6:I7"/>
    <mergeCell ref="I11:I12"/>
    <mergeCell ref="I14:I15"/>
    <mergeCell ref="I21:I22"/>
    <mergeCell ref="I24:I25"/>
    <mergeCell ref="I27:I28"/>
    <mergeCell ref="I36:I37"/>
    <mergeCell ref="J3:J4"/>
    <mergeCell ref="J6:J7"/>
    <mergeCell ref="J11:J12"/>
    <mergeCell ref="J14:J15"/>
    <mergeCell ref="J21:J22"/>
    <mergeCell ref="J24:J25"/>
    <mergeCell ref="J27:J28"/>
    <mergeCell ref="J36:J37"/>
    <mergeCell ref="K3:K4"/>
    <mergeCell ref="K6:K7"/>
    <mergeCell ref="K11:K12"/>
    <mergeCell ref="K14:K15"/>
    <mergeCell ref="K21:K22"/>
    <mergeCell ref="K24:K25"/>
    <mergeCell ref="K27:K28"/>
    <mergeCell ref="K36:K37"/>
    <mergeCell ref="L3:L4"/>
    <mergeCell ref="L6:L7"/>
    <mergeCell ref="L11:L12"/>
    <mergeCell ref="L14:L15"/>
    <mergeCell ref="L21:L22"/>
    <mergeCell ref="L24:L25"/>
    <mergeCell ref="L27:L28"/>
    <mergeCell ref="L36:L37"/>
    <mergeCell ref="M3:M4"/>
    <mergeCell ref="M6:M7"/>
    <mergeCell ref="M11:M12"/>
    <mergeCell ref="M14:M15"/>
    <mergeCell ref="M21:M22"/>
    <mergeCell ref="M24:M25"/>
    <mergeCell ref="M27:M28"/>
    <mergeCell ref="M36:M37"/>
    <mergeCell ref="N3:N4"/>
    <mergeCell ref="N6:N7"/>
    <mergeCell ref="N11:N12"/>
    <mergeCell ref="N14:N15"/>
    <mergeCell ref="N21:N22"/>
    <mergeCell ref="N24:N25"/>
    <mergeCell ref="N27:N28"/>
    <mergeCell ref="N36:N37"/>
    <mergeCell ref="O3:O4"/>
    <mergeCell ref="O6:O7"/>
    <mergeCell ref="O11:O12"/>
    <mergeCell ref="O14:O15"/>
    <mergeCell ref="O21:O22"/>
    <mergeCell ref="O24:O25"/>
    <mergeCell ref="O27:O28"/>
    <mergeCell ref="O36:O37"/>
    <mergeCell ref="P3:P4"/>
    <mergeCell ref="P6:P7"/>
    <mergeCell ref="P11:P12"/>
    <mergeCell ref="P14:P15"/>
    <mergeCell ref="P21:P22"/>
    <mergeCell ref="P24:P25"/>
    <mergeCell ref="P27:P28"/>
    <mergeCell ref="P36:P37"/>
    <mergeCell ref="Q3:Q4"/>
    <mergeCell ref="Q6:Q7"/>
    <mergeCell ref="Q11:Q12"/>
    <mergeCell ref="Q14:Q15"/>
    <mergeCell ref="Q21:Q22"/>
    <mergeCell ref="Q24:Q25"/>
    <mergeCell ref="Q27:Q28"/>
    <mergeCell ref="Q36:Q37"/>
    <mergeCell ref="R3:R4"/>
    <mergeCell ref="R6:R7"/>
    <mergeCell ref="R11:R12"/>
    <mergeCell ref="R14:R15"/>
    <mergeCell ref="R21:R22"/>
    <mergeCell ref="R24:R25"/>
    <mergeCell ref="R27:R28"/>
    <mergeCell ref="R36:R37"/>
    <mergeCell ref="S3:S4"/>
    <mergeCell ref="S6:S7"/>
    <mergeCell ref="S11:S12"/>
    <mergeCell ref="S14:S15"/>
    <mergeCell ref="S21:S22"/>
    <mergeCell ref="S24:S25"/>
    <mergeCell ref="S27:S28"/>
    <mergeCell ref="S36:S37"/>
    <mergeCell ref="T3:T4"/>
    <mergeCell ref="T6:T7"/>
    <mergeCell ref="T11:T12"/>
    <mergeCell ref="T14:T15"/>
    <mergeCell ref="T21:T22"/>
    <mergeCell ref="T24:T25"/>
    <mergeCell ref="T27:T28"/>
    <mergeCell ref="T36:T37"/>
    <mergeCell ref="U3:U4"/>
    <mergeCell ref="U6:U7"/>
    <mergeCell ref="U11:U12"/>
    <mergeCell ref="U14:U15"/>
    <mergeCell ref="U21:U22"/>
    <mergeCell ref="U24:U25"/>
    <mergeCell ref="U27:U28"/>
    <mergeCell ref="U36:U37"/>
    <mergeCell ref="V3:V4"/>
    <mergeCell ref="V6:V7"/>
    <mergeCell ref="V11:V12"/>
    <mergeCell ref="V14:V15"/>
    <mergeCell ref="V21:V22"/>
    <mergeCell ref="V24:V25"/>
    <mergeCell ref="V27:V28"/>
    <mergeCell ref="V36:V37"/>
    <mergeCell ref="W3:W4"/>
    <mergeCell ref="W6:W7"/>
    <mergeCell ref="W11:W12"/>
    <mergeCell ref="W14:W15"/>
    <mergeCell ref="W21:W22"/>
    <mergeCell ref="W24:W25"/>
    <mergeCell ref="W27:W28"/>
    <mergeCell ref="W36:W37"/>
    <mergeCell ref="X3:X4"/>
    <mergeCell ref="X6:X7"/>
    <mergeCell ref="X11:X12"/>
    <mergeCell ref="X14:X15"/>
    <mergeCell ref="X21:X22"/>
    <mergeCell ref="X24:X25"/>
    <mergeCell ref="X27:X28"/>
    <mergeCell ref="X36:X37"/>
    <mergeCell ref="Y3:Y4"/>
    <mergeCell ref="Y6:Y7"/>
    <mergeCell ref="Y11:Y12"/>
    <mergeCell ref="Y14:Y15"/>
    <mergeCell ref="Y21:Y22"/>
    <mergeCell ref="Y24:Y25"/>
    <mergeCell ref="Y27:Y28"/>
    <mergeCell ref="Y36:Y37"/>
    <mergeCell ref="Z3:Z4"/>
    <mergeCell ref="Z6:Z7"/>
    <mergeCell ref="Z11:Z12"/>
    <mergeCell ref="Z14:Z15"/>
    <mergeCell ref="Z21:Z22"/>
    <mergeCell ref="Z24:Z25"/>
    <mergeCell ref="Z27:Z28"/>
    <mergeCell ref="Z36:Z37"/>
    <mergeCell ref="AA3:AA4"/>
    <mergeCell ref="AA6:AA7"/>
    <mergeCell ref="AA11:AA12"/>
    <mergeCell ref="AA14:AA15"/>
    <mergeCell ref="AA21:AA22"/>
    <mergeCell ref="AA24:AA25"/>
    <mergeCell ref="AA27:AA28"/>
    <mergeCell ref="AA36:AA37"/>
    <mergeCell ref="AB3:AB4"/>
    <mergeCell ref="AB6:AB7"/>
    <mergeCell ref="AB11:AB12"/>
    <mergeCell ref="AB14:AB15"/>
    <mergeCell ref="AB21:AB22"/>
    <mergeCell ref="AB24:AB25"/>
    <mergeCell ref="AB27:AB28"/>
    <mergeCell ref="AB36:AB37"/>
    <mergeCell ref="AC3:AC4"/>
    <mergeCell ref="AC6:AC7"/>
    <mergeCell ref="AC11:AC12"/>
    <mergeCell ref="AC14:AC15"/>
    <mergeCell ref="AC21:AC22"/>
    <mergeCell ref="AC24:AC25"/>
    <mergeCell ref="AC27:AC28"/>
    <mergeCell ref="AC36:AC37"/>
    <mergeCell ref="AD3:AD4"/>
    <mergeCell ref="AD6:AD7"/>
    <mergeCell ref="AD11:AD12"/>
    <mergeCell ref="AD14:AD15"/>
    <mergeCell ref="AD21:AD22"/>
    <mergeCell ref="AD24:AD25"/>
    <mergeCell ref="AD27:AD28"/>
    <mergeCell ref="AD36:AD37"/>
    <mergeCell ref="AE3:AE4"/>
    <mergeCell ref="AE6:AE7"/>
    <mergeCell ref="AE11:AE12"/>
    <mergeCell ref="AE14:AE15"/>
    <mergeCell ref="AE21:AE22"/>
    <mergeCell ref="AE24:AE25"/>
    <mergeCell ref="AE27:AE28"/>
    <mergeCell ref="AE36:AE37"/>
    <mergeCell ref="AF3:AF4"/>
    <mergeCell ref="AF6:AF7"/>
    <mergeCell ref="AF11:AF12"/>
    <mergeCell ref="AF14:AF15"/>
    <mergeCell ref="AF21:AF22"/>
    <mergeCell ref="AF24:AF25"/>
    <mergeCell ref="AF27:AF28"/>
    <mergeCell ref="AF36:AF37"/>
    <mergeCell ref="AG3:AG4"/>
    <mergeCell ref="AG6:AG7"/>
    <mergeCell ref="AG11:AG12"/>
    <mergeCell ref="AG14:AG15"/>
    <mergeCell ref="AG21:AG22"/>
    <mergeCell ref="AG24:AG25"/>
    <mergeCell ref="AG27:AG28"/>
    <mergeCell ref="AG36:AG37"/>
    <mergeCell ref="AH3:AH4"/>
    <mergeCell ref="AH6:AH7"/>
    <mergeCell ref="AH11:AH12"/>
    <mergeCell ref="AH14:AH15"/>
    <mergeCell ref="AH21:AH22"/>
    <mergeCell ref="AH24:AH25"/>
    <mergeCell ref="AH27:AH28"/>
    <mergeCell ref="AH36:AH37"/>
    <mergeCell ref="AI3:AI4"/>
    <mergeCell ref="AI6:AI7"/>
    <mergeCell ref="AI11:AI12"/>
    <mergeCell ref="AI14:AI15"/>
    <mergeCell ref="AI21:AI22"/>
    <mergeCell ref="AI24:AI25"/>
    <mergeCell ref="AI27:AI28"/>
    <mergeCell ref="AI36:AI37"/>
    <mergeCell ref="AJ3:AJ4"/>
    <mergeCell ref="AJ6:AJ7"/>
    <mergeCell ref="AJ11:AJ12"/>
    <mergeCell ref="AJ14:AJ15"/>
    <mergeCell ref="AJ21:AJ22"/>
    <mergeCell ref="AJ24:AJ25"/>
    <mergeCell ref="AJ27:AJ28"/>
    <mergeCell ref="AJ36:AJ37"/>
    <mergeCell ref="AK3:AK4"/>
    <mergeCell ref="AK6:AK7"/>
    <mergeCell ref="AK11:AK12"/>
    <mergeCell ref="AK14:AK15"/>
    <mergeCell ref="AK21:AK22"/>
    <mergeCell ref="AK24:AK25"/>
    <mergeCell ref="AK27:AK28"/>
    <mergeCell ref="AK36:AK37"/>
    <mergeCell ref="AL3:AL4"/>
    <mergeCell ref="AL6:AL7"/>
    <mergeCell ref="AL11:AL12"/>
    <mergeCell ref="AL14:AL15"/>
    <mergeCell ref="AL21:AL22"/>
    <mergeCell ref="AL24:AL25"/>
    <mergeCell ref="AL27:AL28"/>
    <mergeCell ref="AL36:AL37"/>
    <mergeCell ref="AM3:AM4"/>
    <mergeCell ref="AM6:AM7"/>
    <mergeCell ref="AM11:AM12"/>
    <mergeCell ref="AM14:AM15"/>
    <mergeCell ref="AM21:AM22"/>
    <mergeCell ref="AM24:AM25"/>
    <mergeCell ref="AM27:AM28"/>
    <mergeCell ref="AM36:AM37"/>
    <mergeCell ref="AN3:AN4"/>
    <mergeCell ref="AN6:AN7"/>
    <mergeCell ref="AN11:AN12"/>
    <mergeCell ref="AN14:AN15"/>
    <mergeCell ref="AN21:AN22"/>
    <mergeCell ref="AN24:AN25"/>
    <mergeCell ref="AN27:AN28"/>
    <mergeCell ref="AN36:AN37"/>
    <mergeCell ref="AO3:AO4"/>
    <mergeCell ref="AO6:AO7"/>
    <mergeCell ref="AO11:AO12"/>
    <mergeCell ref="AO14:AO15"/>
    <mergeCell ref="AO21:AO22"/>
    <mergeCell ref="AO24:AO25"/>
    <mergeCell ref="AO27:AO28"/>
    <mergeCell ref="AO36:AO37"/>
    <mergeCell ref="AP3:AP4"/>
    <mergeCell ref="AP6:AP7"/>
    <mergeCell ref="AP11:AP12"/>
    <mergeCell ref="AP14:AP15"/>
    <mergeCell ref="AP21:AP22"/>
    <mergeCell ref="AP24:AP25"/>
    <mergeCell ref="AP27:AP28"/>
    <mergeCell ref="AP36:AP37"/>
    <mergeCell ref="AQ3:AQ4"/>
    <mergeCell ref="AQ6:AQ7"/>
    <mergeCell ref="AQ11:AQ12"/>
    <mergeCell ref="AQ14:AQ15"/>
    <mergeCell ref="AQ21:AQ22"/>
    <mergeCell ref="AQ24:AQ25"/>
    <mergeCell ref="AQ27:AQ28"/>
    <mergeCell ref="AQ36:AQ37"/>
    <mergeCell ref="AR3:AR4"/>
    <mergeCell ref="AR6:AR7"/>
    <mergeCell ref="AR11:AR12"/>
    <mergeCell ref="AR14:AR15"/>
    <mergeCell ref="AR21:AR22"/>
    <mergeCell ref="AR24:AR25"/>
    <mergeCell ref="AR27:AR28"/>
    <mergeCell ref="AR36:AR37"/>
    <mergeCell ref="AS3:AS4"/>
    <mergeCell ref="AS6:AS7"/>
    <mergeCell ref="AS11:AS12"/>
    <mergeCell ref="AS14:AS15"/>
    <mergeCell ref="AS21:AS22"/>
    <mergeCell ref="AS24:AS25"/>
    <mergeCell ref="AS27:AS28"/>
    <mergeCell ref="AS36:AS37"/>
    <mergeCell ref="AT3:AT4"/>
    <mergeCell ref="AT6:AT7"/>
    <mergeCell ref="AT11:AT12"/>
    <mergeCell ref="AT14:AT15"/>
    <mergeCell ref="AT21:AT22"/>
    <mergeCell ref="AT24:AT25"/>
    <mergeCell ref="AT27:AT28"/>
    <mergeCell ref="AT36:AT37"/>
    <mergeCell ref="AU3:AU4"/>
    <mergeCell ref="AU6:AU7"/>
    <mergeCell ref="AU11:AU12"/>
    <mergeCell ref="AU14:AU15"/>
    <mergeCell ref="AU21:AU22"/>
    <mergeCell ref="AU24:AU25"/>
    <mergeCell ref="AU27:AU28"/>
    <mergeCell ref="AU36:AU37"/>
    <mergeCell ref="AV3:AV4"/>
    <mergeCell ref="AV6:AV7"/>
    <mergeCell ref="AV11:AV12"/>
    <mergeCell ref="AV14:AV15"/>
    <mergeCell ref="AV21:AV22"/>
    <mergeCell ref="AV24:AV25"/>
    <mergeCell ref="AV27:AV28"/>
    <mergeCell ref="AV36:AV37"/>
    <mergeCell ref="AW3:AW4"/>
    <mergeCell ref="AW6:AW7"/>
    <mergeCell ref="AW11:AW12"/>
    <mergeCell ref="AW14:AW15"/>
    <mergeCell ref="AW21:AW22"/>
    <mergeCell ref="AW24:AW25"/>
    <mergeCell ref="AW27:AW28"/>
    <mergeCell ref="AW36:AW37"/>
    <mergeCell ref="AX3:AX4"/>
    <mergeCell ref="AX6:AX7"/>
    <mergeCell ref="AX11:AX12"/>
    <mergeCell ref="AX14:AX15"/>
    <mergeCell ref="AX21:AX22"/>
    <mergeCell ref="AX24:AX25"/>
    <mergeCell ref="AX27:AX28"/>
    <mergeCell ref="AX36:AX37"/>
    <mergeCell ref="AY3:AY4"/>
    <mergeCell ref="AY6:AY7"/>
    <mergeCell ref="AY11:AY12"/>
    <mergeCell ref="AY14:AY15"/>
    <mergeCell ref="AY21:AY22"/>
    <mergeCell ref="AY24:AY25"/>
    <mergeCell ref="AY27:AY28"/>
    <mergeCell ref="AY36:AY37"/>
    <mergeCell ref="AZ3:AZ4"/>
    <mergeCell ref="AZ6:AZ7"/>
    <mergeCell ref="AZ11:AZ12"/>
    <mergeCell ref="AZ14:AZ15"/>
    <mergeCell ref="AZ21:AZ22"/>
    <mergeCell ref="AZ24:AZ25"/>
    <mergeCell ref="AZ27:AZ28"/>
    <mergeCell ref="AZ36:AZ37"/>
    <mergeCell ref="BA3:BA4"/>
    <mergeCell ref="BA6:BA7"/>
    <mergeCell ref="BA11:BA12"/>
    <mergeCell ref="BA14:BA15"/>
    <mergeCell ref="BA21:BA22"/>
    <mergeCell ref="BA24:BA25"/>
    <mergeCell ref="BA27:BA28"/>
    <mergeCell ref="BA36:BA37"/>
    <mergeCell ref="BB3:BB4"/>
    <mergeCell ref="BB6:BB7"/>
    <mergeCell ref="BB11:BB12"/>
    <mergeCell ref="BB14:BB15"/>
    <mergeCell ref="BB21:BB22"/>
    <mergeCell ref="BB24:BB25"/>
    <mergeCell ref="BB27:BB28"/>
    <mergeCell ref="BB36:BB37"/>
    <mergeCell ref="BC3:BC4"/>
    <mergeCell ref="BC6:BC7"/>
    <mergeCell ref="BC11:BC12"/>
    <mergeCell ref="BC14:BC15"/>
    <mergeCell ref="BC21:BC22"/>
    <mergeCell ref="BC24:BC25"/>
    <mergeCell ref="BC27:BC28"/>
    <mergeCell ref="BC36:BC37"/>
    <mergeCell ref="BD3:BD4"/>
    <mergeCell ref="BD6:BD7"/>
    <mergeCell ref="BD11:BD12"/>
    <mergeCell ref="BD14:BD15"/>
    <mergeCell ref="BD21:BD22"/>
    <mergeCell ref="BD24:BD25"/>
    <mergeCell ref="BD27:BD28"/>
    <mergeCell ref="BD36:BD37"/>
    <mergeCell ref="BE3:BE4"/>
    <mergeCell ref="BE6:BE7"/>
    <mergeCell ref="BE11:BE12"/>
    <mergeCell ref="BE14:BE15"/>
    <mergeCell ref="BE21:BE22"/>
    <mergeCell ref="BE24:BE25"/>
    <mergeCell ref="BE27:BE28"/>
    <mergeCell ref="BE36:BE37"/>
    <mergeCell ref="BF3:BF4"/>
    <mergeCell ref="BF6:BF7"/>
    <mergeCell ref="BF11:BF12"/>
    <mergeCell ref="BF14:BF15"/>
    <mergeCell ref="BF21:BF22"/>
    <mergeCell ref="BF24:BF25"/>
    <mergeCell ref="BF27:BF28"/>
    <mergeCell ref="BF36:BF37"/>
    <mergeCell ref="BG3:BG4"/>
    <mergeCell ref="BG6:BG7"/>
    <mergeCell ref="BG11:BG12"/>
    <mergeCell ref="BG14:BG15"/>
    <mergeCell ref="BG21:BG22"/>
    <mergeCell ref="BG24:BG25"/>
    <mergeCell ref="BG27:BG28"/>
    <mergeCell ref="BG36:BG37"/>
    <mergeCell ref="BH3:BH4"/>
    <mergeCell ref="BH6:BH7"/>
    <mergeCell ref="BH11:BH12"/>
    <mergeCell ref="BH14:BH15"/>
    <mergeCell ref="BH21:BH22"/>
    <mergeCell ref="BH24:BH25"/>
    <mergeCell ref="BH27:BH28"/>
    <mergeCell ref="BH36:BH37"/>
    <mergeCell ref="BI3:BI4"/>
    <mergeCell ref="BI6:BI7"/>
    <mergeCell ref="BI11:BI12"/>
    <mergeCell ref="BI14:BI15"/>
    <mergeCell ref="BI21:BI22"/>
    <mergeCell ref="BI24:BI25"/>
    <mergeCell ref="BI27:BI28"/>
    <mergeCell ref="BI36:BI37"/>
    <mergeCell ref="BJ3:BJ4"/>
    <mergeCell ref="BJ6:BJ7"/>
    <mergeCell ref="BJ11:BJ12"/>
    <mergeCell ref="BJ14:BJ15"/>
    <mergeCell ref="BJ21:BJ22"/>
    <mergeCell ref="BJ24:BJ25"/>
    <mergeCell ref="BJ27:BJ28"/>
    <mergeCell ref="BJ36:BJ37"/>
    <mergeCell ref="BK3:BK4"/>
    <mergeCell ref="BK6:BK7"/>
    <mergeCell ref="BK11:BK12"/>
    <mergeCell ref="BK14:BK15"/>
    <mergeCell ref="BK21:BK22"/>
    <mergeCell ref="BK24:BK25"/>
    <mergeCell ref="BK27:BK28"/>
    <mergeCell ref="BK36:BK37"/>
    <mergeCell ref="BL3:BL4"/>
    <mergeCell ref="BL6:BL7"/>
    <mergeCell ref="BL11:BL12"/>
    <mergeCell ref="BL14:BL15"/>
    <mergeCell ref="BL21:BL22"/>
    <mergeCell ref="BL24:BL25"/>
    <mergeCell ref="BL27:BL28"/>
    <mergeCell ref="BL36:BL37"/>
    <mergeCell ref="BM3:BM4"/>
    <mergeCell ref="BM6:BM7"/>
    <mergeCell ref="BM11:BM12"/>
    <mergeCell ref="BM14:BM15"/>
    <mergeCell ref="BM21:BM22"/>
    <mergeCell ref="BM24:BM25"/>
    <mergeCell ref="BM27:BM28"/>
    <mergeCell ref="BM36:BM37"/>
    <mergeCell ref="BN3:BN4"/>
    <mergeCell ref="BN6:BN7"/>
    <mergeCell ref="BN11:BN12"/>
    <mergeCell ref="BN14:BN15"/>
    <mergeCell ref="BN21:BN22"/>
    <mergeCell ref="BN24:BN25"/>
    <mergeCell ref="BN27:BN28"/>
    <mergeCell ref="BN36:BN37"/>
    <mergeCell ref="BO3:BO4"/>
    <mergeCell ref="BO6:BO7"/>
    <mergeCell ref="BO11:BO12"/>
    <mergeCell ref="BO14:BO15"/>
    <mergeCell ref="BO21:BO22"/>
    <mergeCell ref="BO24:BO25"/>
    <mergeCell ref="BO27:BO28"/>
    <mergeCell ref="BO36:BO37"/>
    <mergeCell ref="BP3:BP4"/>
    <mergeCell ref="BP6:BP7"/>
    <mergeCell ref="BP11:BP12"/>
    <mergeCell ref="BP14:BP15"/>
    <mergeCell ref="BP21:BP22"/>
    <mergeCell ref="BP24:BP25"/>
    <mergeCell ref="BP27:BP28"/>
    <mergeCell ref="BP36:BP37"/>
    <mergeCell ref="BQ3:BQ4"/>
    <mergeCell ref="BQ6:BQ7"/>
    <mergeCell ref="BQ11:BQ12"/>
    <mergeCell ref="BQ14:BQ15"/>
    <mergeCell ref="BQ21:BQ22"/>
    <mergeCell ref="BQ24:BQ25"/>
    <mergeCell ref="BQ27:BQ28"/>
    <mergeCell ref="BQ36:BQ37"/>
    <mergeCell ref="BR3:BR4"/>
    <mergeCell ref="BR6:BR7"/>
    <mergeCell ref="BR11:BR12"/>
    <mergeCell ref="BR14:BR15"/>
    <mergeCell ref="BR21:BR22"/>
    <mergeCell ref="BR24:BR25"/>
    <mergeCell ref="BR27:BR28"/>
    <mergeCell ref="BR36:BR37"/>
    <mergeCell ref="BS3:BS4"/>
    <mergeCell ref="BS6:BS7"/>
    <mergeCell ref="BS11:BS12"/>
    <mergeCell ref="BS14:BS15"/>
    <mergeCell ref="BS21:BS22"/>
    <mergeCell ref="BS24:BS25"/>
    <mergeCell ref="BS27:BS28"/>
    <mergeCell ref="BS36:BS37"/>
    <mergeCell ref="BT3:BT4"/>
    <mergeCell ref="BT6:BT7"/>
    <mergeCell ref="BT11:BT12"/>
    <mergeCell ref="BT14:BT15"/>
    <mergeCell ref="BT21:BT22"/>
    <mergeCell ref="BT24:BT25"/>
    <mergeCell ref="BT27:BT28"/>
    <mergeCell ref="BT36:BT37"/>
    <mergeCell ref="BU3:BU4"/>
    <mergeCell ref="BU6:BU7"/>
    <mergeCell ref="BU11:BU12"/>
    <mergeCell ref="BU14:BU15"/>
    <mergeCell ref="BU21:BU22"/>
    <mergeCell ref="BU24:BU25"/>
    <mergeCell ref="BU27:BU28"/>
    <mergeCell ref="BU36:BU37"/>
    <mergeCell ref="BV3:BV4"/>
    <mergeCell ref="BV6:BV7"/>
    <mergeCell ref="BV11:BV12"/>
    <mergeCell ref="BV14:BV15"/>
    <mergeCell ref="BV21:BV22"/>
    <mergeCell ref="BV24:BV25"/>
    <mergeCell ref="BV27:BV28"/>
    <mergeCell ref="BV36:BV37"/>
    <mergeCell ref="BW3:BW4"/>
    <mergeCell ref="BW6:BW7"/>
    <mergeCell ref="BW11:BW12"/>
    <mergeCell ref="BW14:BW15"/>
    <mergeCell ref="BW21:BW22"/>
    <mergeCell ref="BW24:BW25"/>
    <mergeCell ref="BW27:BW28"/>
    <mergeCell ref="BW36:BW37"/>
    <mergeCell ref="BX3:BX4"/>
    <mergeCell ref="BX6:BX7"/>
    <mergeCell ref="BX11:BX12"/>
    <mergeCell ref="BX14:BX15"/>
    <mergeCell ref="BX21:BX22"/>
    <mergeCell ref="BX24:BX25"/>
    <mergeCell ref="BX27:BX28"/>
    <mergeCell ref="BX36:BX37"/>
    <mergeCell ref="BY3:BY4"/>
    <mergeCell ref="BY6:BY7"/>
    <mergeCell ref="BY11:BY12"/>
    <mergeCell ref="BY14:BY15"/>
    <mergeCell ref="BY21:BY22"/>
    <mergeCell ref="BY24:BY25"/>
    <mergeCell ref="BY27:BY28"/>
    <mergeCell ref="BY36:BY37"/>
    <mergeCell ref="BZ3:BZ4"/>
    <mergeCell ref="BZ6:BZ7"/>
    <mergeCell ref="BZ11:BZ12"/>
    <mergeCell ref="BZ14:BZ15"/>
    <mergeCell ref="BZ21:BZ22"/>
    <mergeCell ref="BZ24:BZ25"/>
    <mergeCell ref="BZ27:BZ28"/>
    <mergeCell ref="BZ36:BZ37"/>
    <mergeCell ref="CA3:CA4"/>
    <mergeCell ref="CA6:CA7"/>
    <mergeCell ref="CA11:CA12"/>
    <mergeCell ref="CA14:CA15"/>
    <mergeCell ref="CA21:CA22"/>
    <mergeCell ref="CA24:CA25"/>
    <mergeCell ref="CA27:CA28"/>
    <mergeCell ref="CA36:CA37"/>
    <mergeCell ref="CB3:CB4"/>
    <mergeCell ref="CB6:CB7"/>
    <mergeCell ref="CB11:CB12"/>
    <mergeCell ref="CB14:CB15"/>
    <mergeCell ref="CB21:CB22"/>
    <mergeCell ref="CB24:CB25"/>
    <mergeCell ref="CB27:CB28"/>
    <mergeCell ref="CB36:CB37"/>
    <mergeCell ref="CC3:CC4"/>
    <mergeCell ref="CC6:CC7"/>
    <mergeCell ref="CC11:CC12"/>
    <mergeCell ref="CC14:CC15"/>
    <mergeCell ref="CC21:CC22"/>
    <mergeCell ref="CC24:CC25"/>
    <mergeCell ref="CC27:CC28"/>
    <mergeCell ref="CC36:CC37"/>
    <mergeCell ref="CD3:CD4"/>
    <mergeCell ref="CD6:CD7"/>
    <mergeCell ref="CD11:CD12"/>
    <mergeCell ref="CD14:CD15"/>
    <mergeCell ref="CD21:CD22"/>
    <mergeCell ref="CD24:CD25"/>
    <mergeCell ref="CD27:CD28"/>
    <mergeCell ref="CD36:CD37"/>
    <mergeCell ref="CE3:CE4"/>
    <mergeCell ref="CE6:CE7"/>
    <mergeCell ref="CE11:CE12"/>
    <mergeCell ref="CE14:CE15"/>
    <mergeCell ref="CE21:CE22"/>
    <mergeCell ref="CE24:CE25"/>
    <mergeCell ref="CE27:CE28"/>
    <mergeCell ref="CE36:CE37"/>
    <mergeCell ref="CF3:CF4"/>
    <mergeCell ref="CF6:CF7"/>
    <mergeCell ref="CF11:CF12"/>
    <mergeCell ref="CF14:CF15"/>
    <mergeCell ref="CF21:CF22"/>
    <mergeCell ref="CF24:CF25"/>
    <mergeCell ref="CF27:CF28"/>
    <mergeCell ref="CF36:CF37"/>
    <mergeCell ref="CG3:CG4"/>
    <mergeCell ref="CG6:CG7"/>
    <mergeCell ref="CG11:CG12"/>
    <mergeCell ref="CG14:CG15"/>
    <mergeCell ref="CG21:CG22"/>
    <mergeCell ref="CG24:CG25"/>
    <mergeCell ref="CG27:CG28"/>
    <mergeCell ref="CG36:CG37"/>
    <mergeCell ref="CH3:CH4"/>
    <mergeCell ref="CH6:CH7"/>
    <mergeCell ref="CH11:CH12"/>
    <mergeCell ref="CH14:CH15"/>
    <mergeCell ref="CH21:CH22"/>
    <mergeCell ref="CH24:CH25"/>
    <mergeCell ref="CH27:CH28"/>
    <mergeCell ref="CH36:CH37"/>
    <mergeCell ref="CI3:CI4"/>
    <mergeCell ref="CI6:CI7"/>
    <mergeCell ref="CI11:CI12"/>
    <mergeCell ref="CI14:CI15"/>
    <mergeCell ref="CI21:CI22"/>
    <mergeCell ref="CI24:CI25"/>
    <mergeCell ref="CI27:CI28"/>
    <mergeCell ref="CI36:CI37"/>
    <mergeCell ref="CJ3:CJ4"/>
    <mergeCell ref="CJ6:CJ7"/>
    <mergeCell ref="CJ11:CJ12"/>
    <mergeCell ref="CJ14:CJ15"/>
    <mergeCell ref="CJ21:CJ22"/>
    <mergeCell ref="CJ24:CJ25"/>
    <mergeCell ref="CJ27:CJ28"/>
    <mergeCell ref="CJ36:CJ37"/>
    <mergeCell ref="CK3:CK4"/>
    <mergeCell ref="CK6:CK7"/>
    <mergeCell ref="CK11:CK12"/>
    <mergeCell ref="CK14:CK15"/>
    <mergeCell ref="CK21:CK22"/>
    <mergeCell ref="CK24:CK25"/>
    <mergeCell ref="CK27:CK28"/>
    <mergeCell ref="CK36:CK37"/>
    <mergeCell ref="CL3:CL4"/>
    <mergeCell ref="CL6:CL7"/>
    <mergeCell ref="CL11:CL12"/>
    <mergeCell ref="CL14:CL15"/>
    <mergeCell ref="CL21:CL22"/>
    <mergeCell ref="CL24:CL25"/>
    <mergeCell ref="CL27:CL28"/>
    <mergeCell ref="CL36:CL37"/>
    <mergeCell ref="CM3:CM4"/>
    <mergeCell ref="CM6:CM7"/>
    <mergeCell ref="CM11:CM12"/>
    <mergeCell ref="CM14:CM15"/>
    <mergeCell ref="CM21:CM22"/>
    <mergeCell ref="CM24:CM25"/>
    <mergeCell ref="CM27:CM28"/>
    <mergeCell ref="CM36:CM37"/>
    <mergeCell ref="CN3:CN4"/>
    <mergeCell ref="CN6:CN7"/>
    <mergeCell ref="CN11:CN12"/>
    <mergeCell ref="CN14:CN15"/>
    <mergeCell ref="CN21:CN22"/>
    <mergeCell ref="CN24:CN25"/>
    <mergeCell ref="CN27:CN28"/>
    <mergeCell ref="CN36:CN37"/>
    <mergeCell ref="CO3:CO4"/>
    <mergeCell ref="CO6:CO7"/>
    <mergeCell ref="CO11:CO12"/>
    <mergeCell ref="CO14:CO15"/>
    <mergeCell ref="CO21:CO22"/>
    <mergeCell ref="CO24:CO25"/>
    <mergeCell ref="CO27:CO28"/>
    <mergeCell ref="CO36:CO37"/>
    <mergeCell ref="CP3:CP4"/>
    <mergeCell ref="CP6:CP7"/>
    <mergeCell ref="CP11:CP12"/>
    <mergeCell ref="CP14:CP15"/>
    <mergeCell ref="CP21:CP22"/>
    <mergeCell ref="CP24:CP25"/>
    <mergeCell ref="CP27:CP28"/>
    <mergeCell ref="CP36:CP37"/>
    <mergeCell ref="CQ3:CQ4"/>
    <mergeCell ref="CQ6:CQ7"/>
    <mergeCell ref="CQ11:CQ12"/>
    <mergeCell ref="CQ14:CQ15"/>
    <mergeCell ref="CQ21:CQ22"/>
    <mergeCell ref="CQ24:CQ25"/>
    <mergeCell ref="CQ27:CQ28"/>
    <mergeCell ref="CQ36:CQ37"/>
    <mergeCell ref="CR3:CR4"/>
    <mergeCell ref="CR6:CR7"/>
    <mergeCell ref="CR11:CR12"/>
    <mergeCell ref="CR14:CR15"/>
    <mergeCell ref="CR21:CR22"/>
    <mergeCell ref="CR24:CR25"/>
    <mergeCell ref="CR27:CR28"/>
    <mergeCell ref="CR36:CR37"/>
    <mergeCell ref="CS3:CS4"/>
    <mergeCell ref="CS6:CS7"/>
    <mergeCell ref="CS11:CS12"/>
    <mergeCell ref="CS14:CS15"/>
    <mergeCell ref="CS21:CS22"/>
    <mergeCell ref="CS24:CS25"/>
    <mergeCell ref="CS27:CS28"/>
    <mergeCell ref="CS36:CS37"/>
    <mergeCell ref="CT3:CT4"/>
    <mergeCell ref="CT6:CT7"/>
    <mergeCell ref="CT11:CT12"/>
    <mergeCell ref="CT14:CT15"/>
    <mergeCell ref="CT21:CT22"/>
    <mergeCell ref="CT24:CT25"/>
    <mergeCell ref="CT27:CT28"/>
    <mergeCell ref="CT36:CT37"/>
    <mergeCell ref="CU3:CU4"/>
    <mergeCell ref="CU6:CU7"/>
    <mergeCell ref="CU11:CU12"/>
    <mergeCell ref="CU14:CU15"/>
    <mergeCell ref="CU21:CU22"/>
    <mergeCell ref="CU24:CU25"/>
    <mergeCell ref="CU27:CU28"/>
    <mergeCell ref="CU36:CU37"/>
    <mergeCell ref="CV3:CV4"/>
    <mergeCell ref="CV6:CV7"/>
    <mergeCell ref="CV11:CV12"/>
    <mergeCell ref="CV14:CV15"/>
    <mergeCell ref="CV21:CV22"/>
    <mergeCell ref="CV24:CV25"/>
    <mergeCell ref="CV27:CV28"/>
    <mergeCell ref="CV36:CV37"/>
    <mergeCell ref="CW3:CW4"/>
    <mergeCell ref="CW6:CW7"/>
    <mergeCell ref="CW11:CW12"/>
    <mergeCell ref="CW14:CW15"/>
    <mergeCell ref="CW21:CW22"/>
    <mergeCell ref="CW24:CW25"/>
    <mergeCell ref="CW27:CW28"/>
    <mergeCell ref="CW36:CW37"/>
    <mergeCell ref="CX3:CX4"/>
    <mergeCell ref="CX6:CX7"/>
    <mergeCell ref="CX11:CX12"/>
    <mergeCell ref="CX14:CX15"/>
    <mergeCell ref="CX21:CX22"/>
    <mergeCell ref="CX24:CX25"/>
    <mergeCell ref="CX27:CX28"/>
    <mergeCell ref="CX36:CX37"/>
    <mergeCell ref="CY3:CY4"/>
    <mergeCell ref="CY6:CY7"/>
    <mergeCell ref="CY11:CY12"/>
    <mergeCell ref="CY14:CY15"/>
    <mergeCell ref="CY21:CY22"/>
    <mergeCell ref="CY24:CY25"/>
    <mergeCell ref="CY27:CY28"/>
    <mergeCell ref="CY36:CY37"/>
    <mergeCell ref="CZ3:CZ4"/>
    <mergeCell ref="CZ6:CZ7"/>
    <mergeCell ref="CZ11:CZ12"/>
    <mergeCell ref="CZ14:CZ15"/>
    <mergeCell ref="CZ21:CZ22"/>
    <mergeCell ref="CZ24:CZ25"/>
    <mergeCell ref="CZ27:CZ28"/>
    <mergeCell ref="CZ36:CZ37"/>
    <mergeCell ref="DA3:DA4"/>
    <mergeCell ref="DA6:DA7"/>
    <mergeCell ref="DA11:DA12"/>
    <mergeCell ref="DA14:DA15"/>
    <mergeCell ref="DA21:DA22"/>
    <mergeCell ref="DA24:DA25"/>
    <mergeCell ref="DA27:DA28"/>
    <mergeCell ref="DA36:DA37"/>
    <mergeCell ref="DB3:DB4"/>
    <mergeCell ref="DB6:DB7"/>
    <mergeCell ref="DB11:DB12"/>
    <mergeCell ref="DB14:DB15"/>
    <mergeCell ref="DB21:DB22"/>
    <mergeCell ref="DB24:DB25"/>
    <mergeCell ref="DB27:DB28"/>
    <mergeCell ref="DB36:DB37"/>
    <mergeCell ref="DC3:DC4"/>
    <mergeCell ref="DC6:DC7"/>
    <mergeCell ref="DC11:DC12"/>
    <mergeCell ref="DC14:DC15"/>
    <mergeCell ref="DC21:DC22"/>
    <mergeCell ref="DC24:DC25"/>
    <mergeCell ref="DC27:DC28"/>
    <mergeCell ref="DC36:DC37"/>
    <mergeCell ref="DD3:DD4"/>
    <mergeCell ref="DD6:DD7"/>
    <mergeCell ref="DD11:DD12"/>
    <mergeCell ref="DD14:DD15"/>
    <mergeCell ref="DD21:DD22"/>
    <mergeCell ref="DD24:DD25"/>
    <mergeCell ref="DD27:DD28"/>
    <mergeCell ref="DD36:DD37"/>
    <mergeCell ref="DE3:DE4"/>
    <mergeCell ref="DE6:DE7"/>
    <mergeCell ref="DE11:DE12"/>
    <mergeCell ref="DE14:DE15"/>
    <mergeCell ref="DE21:DE22"/>
    <mergeCell ref="DE24:DE25"/>
    <mergeCell ref="DE27:DE28"/>
    <mergeCell ref="DE36:DE37"/>
    <mergeCell ref="DF3:DF4"/>
    <mergeCell ref="DF6:DF7"/>
    <mergeCell ref="DF11:DF12"/>
    <mergeCell ref="DF14:DF15"/>
    <mergeCell ref="DF21:DF22"/>
    <mergeCell ref="DF24:DF25"/>
    <mergeCell ref="DF27:DF28"/>
    <mergeCell ref="DF36:DF37"/>
    <mergeCell ref="DG3:DG4"/>
    <mergeCell ref="DG6:DG7"/>
    <mergeCell ref="DG11:DG12"/>
    <mergeCell ref="DG14:DG15"/>
    <mergeCell ref="DG21:DG22"/>
    <mergeCell ref="DG24:DG25"/>
    <mergeCell ref="DG27:DG28"/>
    <mergeCell ref="DG36:DG37"/>
    <mergeCell ref="DH3:DH4"/>
    <mergeCell ref="DH6:DH7"/>
    <mergeCell ref="DH11:DH12"/>
    <mergeCell ref="DH14:DH15"/>
    <mergeCell ref="DH21:DH22"/>
    <mergeCell ref="DH24:DH25"/>
    <mergeCell ref="DH27:DH28"/>
    <mergeCell ref="DH36:DH37"/>
    <mergeCell ref="DI3:DI4"/>
    <mergeCell ref="DI6:DI7"/>
    <mergeCell ref="DI11:DI12"/>
    <mergeCell ref="DI14:DI15"/>
    <mergeCell ref="DI21:DI22"/>
    <mergeCell ref="DI24:DI25"/>
    <mergeCell ref="DI27:DI28"/>
    <mergeCell ref="DI36:DI37"/>
    <mergeCell ref="DJ3:DJ4"/>
    <mergeCell ref="DJ6:DJ7"/>
    <mergeCell ref="DJ11:DJ12"/>
    <mergeCell ref="DJ14:DJ15"/>
    <mergeCell ref="DJ21:DJ22"/>
    <mergeCell ref="DJ24:DJ25"/>
    <mergeCell ref="DJ27:DJ28"/>
    <mergeCell ref="DJ36:DJ37"/>
    <mergeCell ref="DK3:DK4"/>
    <mergeCell ref="DK6:DK7"/>
    <mergeCell ref="DK11:DK12"/>
    <mergeCell ref="DK14:DK15"/>
    <mergeCell ref="DK21:DK22"/>
    <mergeCell ref="DK24:DK25"/>
    <mergeCell ref="DK27:DK28"/>
    <mergeCell ref="DK36:DK37"/>
    <mergeCell ref="DL3:DL4"/>
    <mergeCell ref="DL6:DL7"/>
    <mergeCell ref="DL11:DL12"/>
    <mergeCell ref="DL14:DL15"/>
    <mergeCell ref="DL21:DL22"/>
    <mergeCell ref="DL24:DL25"/>
    <mergeCell ref="DL27:DL28"/>
    <mergeCell ref="DL36:DL37"/>
    <mergeCell ref="DM3:DM4"/>
    <mergeCell ref="DM6:DM7"/>
    <mergeCell ref="DM11:DM12"/>
    <mergeCell ref="DM14:DM15"/>
    <mergeCell ref="DM21:DM22"/>
    <mergeCell ref="DM24:DM25"/>
    <mergeCell ref="DM27:DM28"/>
    <mergeCell ref="DM36:DM37"/>
    <mergeCell ref="DN3:DN4"/>
    <mergeCell ref="DN6:DN7"/>
    <mergeCell ref="DN11:DN12"/>
    <mergeCell ref="DN14:DN15"/>
    <mergeCell ref="DN21:DN22"/>
    <mergeCell ref="DN24:DN25"/>
    <mergeCell ref="DN27:DN28"/>
    <mergeCell ref="DN36:DN37"/>
    <mergeCell ref="DO3:DO4"/>
    <mergeCell ref="DO6:DO7"/>
    <mergeCell ref="DO11:DO12"/>
    <mergeCell ref="DO14:DO15"/>
    <mergeCell ref="DO21:DO22"/>
    <mergeCell ref="DO24:DO25"/>
    <mergeCell ref="DO27:DO28"/>
    <mergeCell ref="DO36:DO37"/>
    <mergeCell ref="DP3:DP4"/>
    <mergeCell ref="DP6:DP7"/>
    <mergeCell ref="DP11:DP12"/>
    <mergeCell ref="DP14:DP15"/>
    <mergeCell ref="DP21:DP22"/>
    <mergeCell ref="DP24:DP25"/>
    <mergeCell ref="DP27:DP28"/>
    <mergeCell ref="DP36:DP37"/>
    <mergeCell ref="DQ3:DQ4"/>
    <mergeCell ref="DQ6:DQ7"/>
    <mergeCell ref="DQ11:DQ12"/>
    <mergeCell ref="DQ14:DQ15"/>
    <mergeCell ref="DQ21:DQ22"/>
    <mergeCell ref="DQ24:DQ25"/>
    <mergeCell ref="DQ27:DQ28"/>
    <mergeCell ref="DQ36:DQ37"/>
    <mergeCell ref="DR3:DR4"/>
    <mergeCell ref="DR6:DR7"/>
    <mergeCell ref="DR11:DR12"/>
    <mergeCell ref="DR14:DR15"/>
    <mergeCell ref="DR21:DR22"/>
    <mergeCell ref="DR24:DR25"/>
    <mergeCell ref="DR27:DR28"/>
    <mergeCell ref="DR36:DR37"/>
    <mergeCell ref="DS3:DS4"/>
    <mergeCell ref="DS6:DS7"/>
    <mergeCell ref="DS11:DS12"/>
    <mergeCell ref="DS14:DS15"/>
    <mergeCell ref="DS21:DS22"/>
    <mergeCell ref="DS24:DS25"/>
    <mergeCell ref="DS27:DS28"/>
    <mergeCell ref="DS36:DS37"/>
    <mergeCell ref="DT3:DT4"/>
    <mergeCell ref="DT6:DT7"/>
    <mergeCell ref="DT11:DT12"/>
    <mergeCell ref="DT14:DT15"/>
    <mergeCell ref="DT21:DT22"/>
    <mergeCell ref="DT24:DT25"/>
    <mergeCell ref="DT27:DT28"/>
    <mergeCell ref="DT36:DT37"/>
    <mergeCell ref="DU3:DU4"/>
    <mergeCell ref="DU6:DU7"/>
    <mergeCell ref="DU11:DU12"/>
    <mergeCell ref="DU14:DU15"/>
    <mergeCell ref="DU21:DU22"/>
    <mergeCell ref="DU24:DU25"/>
    <mergeCell ref="DU27:DU28"/>
    <mergeCell ref="DU36:DU37"/>
    <mergeCell ref="DV3:DV4"/>
    <mergeCell ref="DV6:DV7"/>
    <mergeCell ref="DV11:DV12"/>
    <mergeCell ref="DV14:DV15"/>
    <mergeCell ref="DV21:DV22"/>
    <mergeCell ref="DV24:DV25"/>
    <mergeCell ref="DV27:DV28"/>
    <mergeCell ref="DV36:DV37"/>
    <mergeCell ref="DW3:DW4"/>
    <mergeCell ref="DW6:DW7"/>
    <mergeCell ref="DW11:DW12"/>
    <mergeCell ref="DW14:DW15"/>
    <mergeCell ref="DW21:DW22"/>
    <mergeCell ref="DW24:DW25"/>
    <mergeCell ref="DW27:DW28"/>
    <mergeCell ref="DW36:DW37"/>
    <mergeCell ref="DX3:DX4"/>
    <mergeCell ref="DX6:DX7"/>
    <mergeCell ref="DX11:DX12"/>
    <mergeCell ref="DX14:DX15"/>
    <mergeCell ref="DX21:DX22"/>
    <mergeCell ref="DX24:DX25"/>
    <mergeCell ref="DX27:DX28"/>
    <mergeCell ref="DX36:DX37"/>
    <mergeCell ref="DY3:DY4"/>
    <mergeCell ref="DY6:DY7"/>
    <mergeCell ref="DY11:DY12"/>
    <mergeCell ref="DY14:DY15"/>
    <mergeCell ref="DY21:DY22"/>
    <mergeCell ref="DY24:DY25"/>
    <mergeCell ref="DY27:DY28"/>
    <mergeCell ref="DY36:DY37"/>
    <mergeCell ref="DZ3:DZ4"/>
    <mergeCell ref="DZ6:DZ7"/>
    <mergeCell ref="DZ11:DZ12"/>
    <mergeCell ref="DZ14:DZ15"/>
    <mergeCell ref="DZ21:DZ22"/>
    <mergeCell ref="DZ24:DZ25"/>
    <mergeCell ref="DZ27:DZ28"/>
    <mergeCell ref="DZ36:DZ37"/>
    <mergeCell ref="EA3:EA4"/>
    <mergeCell ref="EA6:EA7"/>
    <mergeCell ref="EA11:EA12"/>
    <mergeCell ref="EA14:EA15"/>
    <mergeCell ref="EA21:EA22"/>
    <mergeCell ref="EA24:EA25"/>
    <mergeCell ref="EA27:EA28"/>
    <mergeCell ref="EA36:EA37"/>
    <mergeCell ref="EB3:EB4"/>
    <mergeCell ref="EB6:EB7"/>
    <mergeCell ref="EB11:EB12"/>
    <mergeCell ref="EB14:EB15"/>
    <mergeCell ref="EB21:EB22"/>
    <mergeCell ref="EB24:EB25"/>
    <mergeCell ref="EB27:EB28"/>
    <mergeCell ref="EB36:EB37"/>
    <mergeCell ref="EC3:EC4"/>
    <mergeCell ref="EC6:EC7"/>
    <mergeCell ref="EC11:EC12"/>
    <mergeCell ref="EC14:EC15"/>
    <mergeCell ref="EC21:EC22"/>
    <mergeCell ref="EC24:EC25"/>
    <mergeCell ref="EC27:EC28"/>
    <mergeCell ref="EC36:EC37"/>
    <mergeCell ref="ED3:ED4"/>
    <mergeCell ref="ED6:ED7"/>
    <mergeCell ref="ED11:ED12"/>
    <mergeCell ref="ED14:ED15"/>
    <mergeCell ref="ED21:ED22"/>
    <mergeCell ref="ED24:ED25"/>
    <mergeCell ref="ED27:ED28"/>
    <mergeCell ref="ED36:ED37"/>
    <mergeCell ref="EE3:EE4"/>
    <mergeCell ref="EE6:EE7"/>
    <mergeCell ref="EE11:EE12"/>
    <mergeCell ref="EE14:EE15"/>
    <mergeCell ref="EE21:EE22"/>
    <mergeCell ref="EE24:EE25"/>
    <mergeCell ref="EE27:EE28"/>
    <mergeCell ref="EE36:EE37"/>
    <mergeCell ref="EF3:EF4"/>
    <mergeCell ref="EF6:EF7"/>
    <mergeCell ref="EF11:EF12"/>
    <mergeCell ref="EF14:EF15"/>
    <mergeCell ref="EF21:EF22"/>
    <mergeCell ref="EF24:EF25"/>
    <mergeCell ref="EF27:EF28"/>
    <mergeCell ref="EF36:EF37"/>
    <mergeCell ref="EG3:EG4"/>
    <mergeCell ref="EG6:EG7"/>
    <mergeCell ref="EG11:EG12"/>
    <mergeCell ref="EG14:EG15"/>
    <mergeCell ref="EG21:EG22"/>
    <mergeCell ref="EG24:EG25"/>
    <mergeCell ref="EG27:EG28"/>
    <mergeCell ref="EG36:EG37"/>
    <mergeCell ref="EH3:EH4"/>
    <mergeCell ref="EH6:EH7"/>
    <mergeCell ref="EH11:EH12"/>
    <mergeCell ref="EH14:EH15"/>
    <mergeCell ref="EH21:EH22"/>
    <mergeCell ref="EH24:EH25"/>
    <mergeCell ref="EH27:EH28"/>
    <mergeCell ref="EH36:EH37"/>
    <mergeCell ref="EI3:EI4"/>
    <mergeCell ref="EI6:EI7"/>
    <mergeCell ref="EI11:EI12"/>
    <mergeCell ref="EI14:EI15"/>
    <mergeCell ref="EI21:EI22"/>
    <mergeCell ref="EI24:EI25"/>
    <mergeCell ref="EI27:EI28"/>
    <mergeCell ref="EI36:EI37"/>
    <mergeCell ref="EJ3:EJ4"/>
    <mergeCell ref="EJ6:EJ7"/>
    <mergeCell ref="EJ11:EJ12"/>
    <mergeCell ref="EJ14:EJ15"/>
    <mergeCell ref="EJ21:EJ22"/>
    <mergeCell ref="EJ24:EJ25"/>
    <mergeCell ref="EJ27:EJ28"/>
    <mergeCell ref="EJ36:EJ37"/>
    <mergeCell ref="EK3:EK4"/>
    <mergeCell ref="EK6:EK7"/>
    <mergeCell ref="EK11:EK12"/>
    <mergeCell ref="EK14:EK15"/>
    <mergeCell ref="EK21:EK22"/>
    <mergeCell ref="EK24:EK25"/>
    <mergeCell ref="EK27:EK28"/>
    <mergeCell ref="EK36:EK37"/>
    <mergeCell ref="EL3:EL4"/>
    <mergeCell ref="EL6:EL7"/>
    <mergeCell ref="EL11:EL12"/>
    <mergeCell ref="EL14:EL15"/>
    <mergeCell ref="EL21:EL22"/>
    <mergeCell ref="EL24:EL25"/>
    <mergeCell ref="EL27:EL28"/>
    <mergeCell ref="EL36:EL37"/>
    <mergeCell ref="EM3:EM4"/>
    <mergeCell ref="EM6:EM7"/>
    <mergeCell ref="EM11:EM12"/>
    <mergeCell ref="EM14:EM15"/>
    <mergeCell ref="EM21:EM22"/>
    <mergeCell ref="EM24:EM25"/>
    <mergeCell ref="EM27:EM28"/>
    <mergeCell ref="EM36:EM37"/>
    <mergeCell ref="EN3:EN4"/>
    <mergeCell ref="EN6:EN7"/>
    <mergeCell ref="EN11:EN12"/>
    <mergeCell ref="EN14:EN15"/>
    <mergeCell ref="EN21:EN22"/>
    <mergeCell ref="EN24:EN25"/>
    <mergeCell ref="EN27:EN28"/>
    <mergeCell ref="EN36:EN37"/>
    <mergeCell ref="EO3:EO4"/>
    <mergeCell ref="EO6:EO7"/>
    <mergeCell ref="EO11:EO12"/>
    <mergeCell ref="EO14:EO15"/>
    <mergeCell ref="EO21:EO22"/>
    <mergeCell ref="EO24:EO25"/>
    <mergeCell ref="EO27:EO28"/>
    <mergeCell ref="EO36:EO37"/>
    <mergeCell ref="EP3:EP4"/>
    <mergeCell ref="EP6:EP7"/>
    <mergeCell ref="EP11:EP12"/>
    <mergeCell ref="EP14:EP15"/>
    <mergeCell ref="EP21:EP22"/>
    <mergeCell ref="EP24:EP25"/>
    <mergeCell ref="EP27:EP28"/>
    <mergeCell ref="EP36:EP37"/>
    <mergeCell ref="EQ3:EQ4"/>
    <mergeCell ref="EQ6:EQ7"/>
    <mergeCell ref="EQ11:EQ12"/>
    <mergeCell ref="EQ14:EQ15"/>
    <mergeCell ref="EQ21:EQ22"/>
    <mergeCell ref="EQ24:EQ25"/>
    <mergeCell ref="EQ27:EQ28"/>
    <mergeCell ref="EQ36:EQ37"/>
    <mergeCell ref="ER3:ER4"/>
    <mergeCell ref="ER6:ER7"/>
    <mergeCell ref="ER11:ER12"/>
    <mergeCell ref="ER14:ER15"/>
    <mergeCell ref="ER21:ER22"/>
    <mergeCell ref="ER24:ER25"/>
    <mergeCell ref="ER27:ER28"/>
    <mergeCell ref="ER36:ER37"/>
    <mergeCell ref="ES3:ES4"/>
    <mergeCell ref="ES6:ES7"/>
    <mergeCell ref="ES11:ES12"/>
    <mergeCell ref="ES14:ES15"/>
    <mergeCell ref="ES21:ES22"/>
    <mergeCell ref="ES24:ES25"/>
    <mergeCell ref="ES27:ES28"/>
    <mergeCell ref="ES36:ES37"/>
    <mergeCell ref="ET3:ET4"/>
    <mergeCell ref="ET6:ET7"/>
    <mergeCell ref="ET11:ET12"/>
    <mergeCell ref="ET14:ET15"/>
    <mergeCell ref="ET21:ET22"/>
    <mergeCell ref="ET24:ET25"/>
    <mergeCell ref="ET27:ET28"/>
    <mergeCell ref="ET36:ET37"/>
    <mergeCell ref="EU3:EU4"/>
    <mergeCell ref="EU6:EU7"/>
    <mergeCell ref="EU11:EU12"/>
    <mergeCell ref="EU14:EU15"/>
    <mergeCell ref="EU21:EU22"/>
    <mergeCell ref="EU24:EU25"/>
    <mergeCell ref="EU27:EU28"/>
    <mergeCell ref="EU36:EU37"/>
    <mergeCell ref="EV3:EV4"/>
    <mergeCell ref="EV6:EV7"/>
    <mergeCell ref="EV11:EV12"/>
    <mergeCell ref="EV14:EV15"/>
    <mergeCell ref="EV21:EV22"/>
    <mergeCell ref="EV24:EV25"/>
    <mergeCell ref="EV27:EV28"/>
    <mergeCell ref="EV36:EV37"/>
    <mergeCell ref="EW3:EW4"/>
    <mergeCell ref="EW6:EW7"/>
    <mergeCell ref="EW11:EW12"/>
    <mergeCell ref="EW14:EW15"/>
    <mergeCell ref="EW21:EW22"/>
    <mergeCell ref="EW24:EW25"/>
    <mergeCell ref="EW27:EW28"/>
    <mergeCell ref="EW36:EW37"/>
    <mergeCell ref="EX3:EX4"/>
    <mergeCell ref="EX6:EX7"/>
    <mergeCell ref="EX11:EX12"/>
    <mergeCell ref="EX14:EX15"/>
    <mergeCell ref="EX21:EX22"/>
    <mergeCell ref="EX24:EX25"/>
    <mergeCell ref="EX27:EX28"/>
    <mergeCell ref="EX36:EX37"/>
  </mergeCells>
  <pageMargins left="0.7" right="0.7" top="0.75" bottom="0.75" header="0.3" footer="0.3"/>
  <pageSetup paperSize="1" orientation="portrait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6"/>
  <sheetViews>
    <sheetView topLeftCell="A8" workbookViewId="0">
      <selection activeCell="I9" sqref="I9"/>
    </sheetView>
  </sheetViews>
  <sheetFormatPr defaultColWidth="9" defaultRowHeight="15"/>
  <cols>
    <col min="1" max="1" width="4.81904761904762" customWidth="1"/>
    <col min="2" max="2" width="33.6285714285714" customWidth="1"/>
    <col min="3" max="3" width="48.1809523809524" customWidth="1"/>
    <col min="4" max="4" width="17.9047619047619" customWidth="1"/>
    <col min="5" max="5" width="15" customWidth="1"/>
    <col min="6" max="6" width="13.9047619047619" customWidth="1"/>
    <col min="7" max="7" width="15" customWidth="1"/>
    <col min="8" max="8" width="14.2666666666667" customWidth="1"/>
    <col min="9" max="9" width="15.2666666666667" customWidth="1"/>
    <col min="10" max="12" width="8.72380952380952" customWidth="1"/>
  </cols>
  <sheetData>
    <row r="1" s="15" customFormat="1" ht="18.75" spans="1:11">
      <c r="A1" s="16" t="s">
        <v>630</v>
      </c>
      <c r="B1" s="16"/>
      <c r="C1" s="16"/>
      <c r="D1" s="16"/>
      <c r="E1" s="16"/>
      <c r="F1" s="16"/>
      <c r="G1" s="16"/>
      <c r="H1" s="16"/>
      <c r="I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>
        <v>2082</v>
      </c>
      <c r="J2" s="2"/>
    </row>
    <row r="3" ht="15.75" spans="1:11">
      <c r="A3" s="2">
        <v>1</v>
      </c>
      <c r="B3" s="19" t="s">
        <v>303</v>
      </c>
      <c r="C3" s="19" t="s">
        <v>245</v>
      </c>
      <c r="D3" s="2" t="s">
        <v>246</v>
      </c>
      <c r="E3" s="20">
        <v>4587592000</v>
      </c>
      <c r="F3" s="20">
        <v>5461378072</v>
      </c>
      <c r="G3" s="20">
        <v>6062400625</v>
      </c>
      <c r="H3" s="20">
        <v>6225921331</v>
      </c>
      <c r="I3" s="69">
        <v>6459053325</v>
      </c>
      <c r="K3" s="2"/>
    </row>
    <row r="4" ht="15.75" spans="1:11">
      <c r="A4" s="2">
        <v>2</v>
      </c>
      <c r="B4" s="19" t="s">
        <v>304</v>
      </c>
      <c r="C4" s="19" t="s">
        <v>248</v>
      </c>
      <c r="D4" s="2" t="s">
        <v>246</v>
      </c>
      <c r="E4" s="22">
        <v>1322009000</v>
      </c>
      <c r="F4" s="22">
        <v>2743205187</v>
      </c>
      <c r="G4" s="22">
        <v>2753076790</v>
      </c>
      <c r="H4" s="22">
        <v>2691754288</v>
      </c>
      <c r="I4" s="22">
        <v>3065520825</v>
      </c>
      <c r="J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>
        <v>1215633000</v>
      </c>
      <c r="F5" s="20">
        <v>1032283703</v>
      </c>
      <c r="G5" s="20">
        <v>1061926233</v>
      </c>
      <c r="H5" s="20">
        <v>1000948270</v>
      </c>
      <c r="I5" s="21">
        <v>1212874494</v>
      </c>
    </row>
    <row r="6" ht="30" spans="1:11">
      <c r="A6" s="2">
        <v>4</v>
      </c>
      <c r="B6" s="19" t="s">
        <v>251</v>
      </c>
      <c r="C6" s="19" t="s">
        <v>252</v>
      </c>
      <c r="D6" s="23" t="s">
        <v>253</v>
      </c>
      <c r="E6" s="24">
        <f t="shared" ref="E6:I6" si="0">E5/E3</f>
        <v>0.264982805794412</v>
      </c>
      <c r="F6" s="24">
        <f t="shared" si="0"/>
        <v>0.189015242927866</v>
      </c>
      <c r="G6" s="24">
        <f t="shared" si="0"/>
        <v>0.175165961256478</v>
      </c>
      <c r="H6" s="24">
        <f t="shared" si="0"/>
        <v>0.160771107886651</v>
      </c>
      <c r="I6" s="24">
        <f t="shared" si="0"/>
        <v>0.187778987565488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>
        <v>66.43</v>
      </c>
      <c r="F7" s="2">
        <v>44.42</v>
      </c>
      <c r="G7" s="2">
        <v>37.45</v>
      </c>
      <c r="H7" s="2">
        <v>33.62</v>
      </c>
      <c r="I7" s="2">
        <v>37.38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>
        <v>26.16</v>
      </c>
      <c r="F8" s="25">
        <v>24.77</v>
      </c>
      <c r="G8" s="25">
        <v>22</v>
      </c>
      <c r="H8" s="25">
        <v>26.77</v>
      </c>
      <c r="I8" s="25">
        <v>27.46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J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J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4" ht="18.75" spans="1:11">
      <c r="A14" s="88" t="s">
        <v>631</v>
      </c>
      <c r="B14" s="89"/>
      <c r="C14" s="89"/>
      <c r="D14" s="89"/>
      <c r="E14" s="89"/>
      <c r="F14" s="89"/>
      <c r="G14" s="89"/>
      <c r="H14" s="89"/>
      <c r="I14" s="90"/>
    </row>
    <row r="15" ht="37.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2078</v>
      </c>
      <c r="F15" s="18">
        <v>2079</v>
      </c>
      <c r="G15" s="18">
        <v>2080</v>
      </c>
      <c r="H15" s="18">
        <v>2081</v>
      </c>
      <c r="I15" s="18">
        <v>2082</v>
      </c>
    </row>
    <row r="16" ht="15.75" spans="1:11">
      <c r="A16" s="2">
        <v>1</v>
      </c>
      <c r="B16" s="19" t="s">
        <v>303</v>
      </c>
      <c r="C16" s="19" t="s">
        <v>245</v>
      </c>
      <c r="D16" s="2" t="s">
        <v>246</v>
      </c>
      <c r="E16" s="20">
        <v>2379035294</v>
      </c>
      <c r="F16" s="20">
        <v>2788117986</v>
      </c>
      <c r="G16" s="20">
        <v>3000662765</v>
      </c>
      <c r="H16" s="20">
        <v>3507140100</v>
      </c>
      <c r="I16" s="20">
        <v>3701953530</v>
      </c>
    </row>
    <row r="17" ht="15.75" spans="1:9">
      <c r="A17" s="2">
        <v>2</v>
      </c>
      <c r="B17" s="19" t="s">
        <v>304</v>
      </c>
      <c r="C17" s="19" t="s">
        <v>248</v>
      </c>
      <c r="D17" s="2" t="s">
        <v>246</v>
      </c>
      <c r="E17" s="22">
        <v>1585521306</v>
      </c>
      <c r="F17" s="92">
        <v>1609586551</v>
      </c>
      <c r="G17" s="22">
        <v>1340611282</v>
      </c>
      <c r="H17" s="22">
        <v>1790543280</v>
      </c>
      <c r="I17" s="22">
        <v>2050230430</v>
      </c>
    </row>
    <row r="18" ht="15.75" spans="1:9">
      <c r="A18" s="2">
        <v>3</v>
      </c>
      <c r="B18" s="19" t="s">
        <v>249</v>
      </c>
      <c r="C18" s="19" t="s">
        <v>250</v>
      </c>
      <c r="D18" s="2" t="s">
        <v>246</v>
      </c>
      <c r="E18" s="20">
        <v>713729534</v>
      </c>
      <c r="F18" s="20">
        <v>574022763</v>
      </c>
      <c r="G18" s="20">
        <v>371930011</v>
      </c>
      <c r="H18" s="20">
        <v>581652234</v>
      </c>
      <c r="I18" s="20">
        <v>691154544</v>
      </c>
    </row>
    <row r="19" ht="30" spans="1:9">
      <c r="A19" s="2">
        <v>4</v>
      </c>
      <c r="B19" s="19" t="s">
        <v>251</v>
      </c>
      <c r="C19" s="19" t="s">
        <v>252</v>
      </c>
      <c r="D19" s="23" t="s">
        <v>253</v>
      </c>
      <c r="E19" s="24">
        <f t="shared" ref="E19:I19" si="1">E18/E16</f>
        <v>0.300007963648142</v>
      </c>
      <c r="F19" s="24">
        <f t="shared" si="1"/>
        <v>0.20588180481685</v>
      </c>
      <c r="G19" s="24">
        <f t="shared" si="1"/>
        <v>0.123949287250212</v>
      </c>
      <c r="H19" s="24">
        <f t="shared" si="1"/>
        <v>0.165848017876446</v>
      </c>
      <c r="I19" s="24">
        <f t="shared" si="1"/>
        <v>0.186699951363247</v>
      </c>
    </row>
    <row r="20" ht="15.75" spans="1:9">
      <c r="A20" s="2">
        <v>5</v>
      </c>
      <c r="B20" s="19" t="s">
        <v>254</v>
      </c>
      <c r="C20" s="19" t="s">
        <v>255</v>
      </c>
      <c r="D20" s="2" t="s">
        <v>246</v>
      </c>
      <c r="E20" s="2">
        <v>61.73</v>
      </c>
      <c r="F20" s="2">
        <v>49.65</v>
      </c>
      <c r="G20" s="2">
        <v>23.98</v>
      </c>
      <c r="H20" s="2">
        <v>34.09</v>
      </c>
      <c r="I20" s="2">
        <v>26.99</v>
      </c>
    </row>
    <row r="21" ht="31.5" spans="1:9">
      <c r="A21" s="2">
        <v>6</v>
      </c>
      <c r="B21" s="19" t="s">
        <v>256</v>
      </c>
      <c r="C21" s="19" t="s">
        <v>257</v>
      </c>
      <c r="D21" s="2" t="s">
        <v>246</v>
      </c>
      <c r="E21" s="25">
        <v>27.31</v>
      </c>
      <c r="F21" s="25">
        <v>18.93</v>
      </c>
      <c r="G21" s="25">
        <v>34.45</v>
      </c>
      <c r="H21" s="25">
        <v>24.67</v>
      </c>
      <c r="I21" s="93">
        <v>23.85</v>
      </c>
    </row>
    <row r="22" ht="31.5" spans="1:9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9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9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9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  <row r="26" ht="15.75" spans="1:9">
      <c r="B26" s="19"/>
    </row>
  </sheetData>
  <mergeCells count="3">
    <mergeCell ref="A1:I1"/>
    <mergeCell ref="A14:I14"/>
    <mergeCell ref="J9:J10"/>
  </mergeCells>
  <pageMargins left="0.7" right="0.7" top="0.75" bottom="0.75" header="0.3" footer="0.3"/>
  <pageSetup paperSize="1" orientation="portrait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8"/>
  <sheetViews>
    <sheetView topLeftCell="T1" workbookViewId="0">
      <selection activeCell="A1" sqref="A1:D1"/>
    </sheetView>
  </sheetViews>
  <sheetFormatPr defaultColWidth="9" defaultRowHeight="15"/>
  <cols>
    <col min="1" max="1" width="5.36190476190476" style="2" hidden="1" customWidth="1"/>
    <col min="2" max="2" width="21.6285714285714" customWidth="1"/>
    <col min="3" max="3" width="22.3619047619048" customWidth="1"/>
    <col min="4" max="4" width="10.2666666666667" style="2" customWidth="1"/>
    <col min="5" max="5" width="14.7238095238095" style="2" customWidth="1"/>
    <col min="6" max="6" width="15.1809523809524" style="2" customWidth="1"/>
    <col min="7" max="7" width="13.1809523809524" style="2" customWidth="1"/>
    <col min="8" max="8" width="14.5428571428571" customWidth="1"/>
    <col min="9" max="9" width="14.7238095238095" customWidth="1"/>
    <col min="10" max="10" width="13.0857142857143" customWidth="1"/>
    <col min="11" max="11" width="13.8190476190476" customWidth="1"/>
    <col min="12" max="12" width="14.0857142857143" customWidth="1"/>
    <col min="13" max="13" width="13.4571428571429" customWidth="1"/>
    <col min="14" max="14" width="14.5428571428571" customWidth="1"/>
    <col min="15" max="15" width="14.7238095238095" customWidth="1"/>
    <col min="16" max="16" width="13.0857142857143" customWidth="1"/>
    <col min="17" max="17" width="13.2666666666667" customWidth="1"/>
    <col min="18" max="18" width="13.7238095238095" customWidth="1"/>
    <col min="19" max="19" width="12.8190476190476" customWidth="1"/>
    <col min="20" max="20" width="14.5428571428571" customWidth="1"/>
    <col min="21" max="21" width="14.7238095238095" customWidth="1"/>
    <col min="22" max="22" width="13.0857142857143" customWidth="1"/>
    <col min="23" max="23" width="14.5428571428571" customWidth="1"/>
    <col min="24" max="24" width="14.7238095238095" customWidth="1"/>
    <col min="25" max="25" width="13.0857142857143" customWidth="1"/>
    <col min="26" max="26" width="14.1809523809524" customWidth="1"/>
    <col min="27" max="27" width="13.0857142857143" customWidth="1"/>
    <col min="28" max="28" width="14.0857142857143" customWidth="1"/>
    <col min="29" max="29" width="15.8190476190476" customWidth="1"/>
    <col min="30" max="30" width="14.9047619047619" customWidth="1"/>
    <col min="31" max="31" width="15" customWidth="1"/>
    <col min="32" max="32" width="13.0857142857143" customWidth="1"/>
    <col min="33" max="33" width="13.7238095238095" customWidth="1"/>
    <col min="34" max="34" width="16.3619047619048" customWidth="1"/>
    <col min="35" max="35" width="15.2666666666667" customWidth="1"/>
    <col min="36" max="36" width="13.9047619047619" customWidth="1"/>
    <col min="37" max="37" width="14.1809523809524" customWidth="1"/>
    <col min="38" max="38" width="14.3619047619048" customWidth="1"/>
    <col min="39" max="39" width="13.9047619047619" customWidth="1"/>
    <col min="40" max="40" width="14.0857142857143" customWidth="1"/>
    <col min="41" max="41" width="13.7238095238095" customWidth="1"/>
    <col min="42" max="42" width="12.2666666666667" customWidth="1"/>
    <col min="43" max="43" width="14.9047619047619" customWidth="1"/>
    <col min="44" max="44" width="13.7238095238095" customWidth="1"/>
    <col min="45" max="45" width="12.2666666666667" customWidth="1"/>
    <col min="46" max="46" width="14.9047619047619" customWidth="1"/>
    <col min="47" max="47" width="14.6285714285714" customWidth="1"/>
    <col min="48" max="48" width="13.6285714285714" customWidth="1"/>
    <col min="49" max="49" width="14" customWidth="1"/>
  </cols>
  <sheetData>
    <row r="1" ht="18.75" spans="1:49">
      <c r="A1" s="205" t="s">
        <v>632</v>
      </c>
      <c r="B1" s="205"/>
      <c r="C1" s="205"/>
      <c r="D1" s="205"/>
      <c r="E1" s="206" t="s">
        <v>633</v>
      </c>
      <c r="F1" s="206"/>
      <c r="G1" s="206"/>
      <c r="H1" s="127" t="s">
        <v>634</v>
      </c>
      <c r="I1" s="127"/>
      <c r="J1" s="127"/>
      <c r="K1" s="207" t="s">
        <v>635</v>
      </c>
      <c r="L1" s="208"/>
      <c r="M1" s="209"/>
      <c r="N1" s="35" t="s">
        <v>636</v>
      </c>
      <c r="O1" s="35"/>
      <c r="P1" s="35"/>
      <c r="Q1" s="128" t="s">
        <v>637</v>
      </c>
      <c r="R1" s="128"/>
      <c r="S1" s="128"/>
      <c r="T1" s="4" t="s">
        <v>638</v>
      </c>
      <c r="U1" s="4"/>
      <c r="V1" s="4"/>
      <c r="W1" s="129" t="s">
        <v>639</v>
      </c>
      <c r="X1" s="129"/>
      <c r="Y1" s="129"/>
      <c r="Z1" s="130" t="s">
        <v>640</v>
      </c>
      <c r="AA1" s="130"/>
      <c r="AB1" s="130"/>
      <c r="AC1" s="4" t="s">
        <v>641</v>
      </c>
      <c r="AD1" s="4"/>
      <c r="AE1" s="4"/>
      <c r="AF1" s="128" t="s">
        <v>642</v>
      </c>
      <c r="AG1" s="128"/>
      <c r="AH1" s="128"/>
      <c r="AI1" s="35" t="s">
        <v>643</v>
      </c>
      <c r="AJ1" s="35"/>
      <c r="AK1" s="35"/>
      <c r="AL1" s="9" t="s">
        <v>644</v>
      </c>
      <c r="AM1" s="9"/>
      <c r="AN1" s="9"/>
      <c r="AO1" s="130" t="s">
        <v>645</v>
      </c>
      <c r="AP1" s="130"/>
      <c r="AQ1" s="130"/>
      <c r="AR1" s="131" t="s">
        <v>646</v>
      </c>
      <c r="AS1" s="131"/>
      <c r="AT1" s="131"/>
      <c r="AU1" s="35" t="s">
        <v>647</v>
      </c>
      <c r="AV1" s="35"/>
      <c r="AW1" s="35"/>
    </row>
    <row r="2" s="45" customFormat="1" ht="17" customHeight="1" spans="1:49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5" t="s">
        <v>160</v>
      </c>
      <c r="H2" s="127" t="s">
        <v>158</v>
      </c>
      <c r="I2" s="127" t="s">
        <v>159</v>
      </c>
      <c r="J2" s="127" t="s">
        <v>160</v>
      </c>
      <c r="K2" s="36" t="s">
        <v>158</v>
      </c>
      <c r="L2" s="36" t="s">
        <v>159</v>
      </c>
      <c r="M2" s="36" t="s">
        <v>160</v>
      </c>
      <c r="N2" s="35" t="s">
        <v>158</v>
      </c>
      <c r="O2" s="35" t="s">
        <v>159</v>
      </c>
      <c r="P2" s="35" t="s">
        <v>160</v>
      </c>
      <c r="Q2" s="128" t="s">
        <v>158</v>
      </c>
      <c r="R2" s="128" t="s">
        <v>159</v>
      </c>
      <c r="S2" s="128" t="s">
        <v>160</v>
      </c>
      <c r="T2" s="4" t="s">
        <v>158</v>
      </c>
      <c r="U2" s="4" t="s">
        <v>159</v>
      </c>
      <c r="V2" s="4" t="s">
        <v>160</v>
      </c>
      <c r="W2" s="129" t="s">
        <v>158</v>
      </c>
      <c r="X2" s="129" t="s">
        <v>159</v>
      </c>
      <c r="Y2" s="129" t="s">
        <v>160</v>
      </c>
      <c r="Z2" s="130" t="s">
        <v>158</v>
      </c>
      <c r="AA2" s="130" t="s">
        <v>159</v>
      </c>
      <c r="AB2" s="130" t="s">
        <v>160</v>
      </c>
      <c r="AC2" s="4" t="s">
        <v>158</v>
      </c>
      <c r="AD2" s="4" t="s">
        <v>159</v>
      </c>
      <c r="AE2" s="4" t="s">
        <v>160</v>
      </c>
      <c r="AF2" s="128" t="s">
        <v>158</v>
      </c>
      <c r="AG2" s="128" t="s">
        <v>159</v>
      </c>
      <c r="AH2" s="128" t="s">
        <v>160</v>
      </c>
      <c r="AI2" s="35" t="s">
        <v>158</v>
      </c>
      <c r="AJ2" s="35" t="s">
        <v>159</v>
      </c>
      <c r="AK2" s="35" t="s">
        <v>160</v>
      </c>
      <c r="AL2" s="9" t="s">
        <v>158</v>
      </c>
      <c r="AM2" s="9" t="s">
        <v>159</v>
      </c>
      <c r="AN2" s="9" t="s">
        <v>160</v>
      </c>
      <c r="AO2" s="130" t="s">
        <v>158</v>
      </c>
      <c r="AP2" s="130" t="s">
        <v>159</v>
      </c>
      <c r="AQ2" s="130" t="s">
        <v>160</v>
      </c>
      <c r="AR2" s="131" t="s">
        <v>158</v>
      </c>
      <c r="AS2" s="131" t="s">
        <v>159</v>
      </c>
      <c r="AT2" s="131" t="s">
        <v>160</v>
      </c>
      <c r="AU2" s="35" t="s">
        <v>158</v>
      </c>
      <c r="AV2" s="35" t="s">
        <v>159</v>
      </c>
      <c r="AW2" s="35" t="s">
        <v>160</v>
      </c>
    </row>
    <row r="3" s="45" customFormat="1" ht="5" customHeight="1" spans="1:49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pans="1:49">
      <c r="A4" s="2">
        <v>1</v>
      </c>
      <c r="B4" s="2" t="s">
        <v>65</v>
      </c>
      <c r="C4" s="37" t="s">
        <v>161</v>
      </c>
      <c r="D4" s="2" t="s">
        <v>162</v>
      </c>
      <c r="E4" s="20">
        <f>E6*1.333</f>
        <v>869414272.08</v>
      </c>
      <c r="F4" s="20">
        <v>90287632</v>
      </c>
      <c r="G4" s="38">
        <f>E4/F4</f>
        <v>9.6293839235921</v>
      </c>
      <c r="H4" s="20">
        <f>H6*1.333</f>
        <v>314617435.306</v>
      </c>
      <c r="I4" s="20">
        <v>50000000</v>
      </c>
      <c r="J4" s="70">
        <f>H4/I4</f>
        <v>6.29234870612</v>
      </c>
      <c r="K4" s="20">
        <f>K6*1.333</f>
        <v>629710081.113</v>
      </c>
      <c r="L4" s="20">
        <v>91432373</v>
      </c>
      <c r="M4" s="135">
        <f>K4/L4</f>
        <v>6.88716764589496</v>
      </c>
      <c r="N4" s="20">
        <f>N6*1.333</f>
        <v>544561007.038</v>
      </c>
      <c r="O4" s="20">
        <v>52121330</v>
      </c>
      <c r="P4" s="38">
        <f>N4/O4</f>
        <v>10.4479491800766</v>
      </c>
      <c r="Q4" s="20">
        <f>Q6*1.333</f>
        <v>360874470.822</v>
      </c>
      <c r="R4" s="20">
        <v>47256000</v>
      </c>
      <c r="S4" s="136">
        <f>Q4/R4</f>
        <v>7.63658521292534</v>
      </c>
      <c r="T4" s="20">
        <f>T6*1.333</f>
        <v>446177666.357</v>
      </c>
      <c r="U4" s="20">
        <v>33998363</v>
      </c>
      <c r="V4" s="141">
        <f>T4/U4</f>
        <v>13.12350439805</v>
      </c>
      <c r="W4" s="20">
        <f>W6*1.333</f>
        <v>438553920.77</v>
      </c>
      <c r="X4" s="20">
        <v>39616000</v>
      </c>
      <c r="Y4" s="142">
        <f>W4/X4</f>
        <v>11.070121182603</v>
      </c>
      <c r="Z4" s="20">
        <f>Z6*1.333</f>
        <v>476745117.25</v>
      </c>
      <c r="AA4" s="20">
        <v>50000000</v>
      </c>
      <c r="AB4" s="137">
        <f>Z4/AA4</f>
        <v>9.534902345</v>
      </c>
      <c r="AC4" s="20">
        <f>AC6*1.333</f>
        <v>620907343.681</v>
      </c>
      <c r="AD4" s="20">
        <v>46400000</v>
      </c>
      <c r="AE4" s="141">
        <f>AC4/AD4</f>
        <v>13.3816237862284</v>
      </c>
      <c r="AF4" s="20">
        <f>AF6*1.333</f>
        <v>488322016.968</v>
      </c>
      <c r="AG4" s="20">
        <v>50000000</v>
      </c>
      <c r="AH4" s="136">
        <f>AF4/AG4</f>
        <v>9.76644033936</v>
      </c>
      <c r="AI4" s="20">
        <f>AI6*1.333</f>
        <v>394235252.541</v>
      </c>
      <c r="AJ4" s="20">
        <v>50119477</v>
      </c>
      <c r="AK4" s="38">
        <f>AI4/AJ4</f>
        <v>7.8659091462786</v>
      </c>
      <c r="AL4" s="20">
        <f>AL6*1.333</f>
        <v>450097498.154</v>
      </c>
      <c r="AM4" s="20">
        <v>50149240</v>
      </c>
      <c r="AN4" s="138">
        <f>AL4/AM4</f>
        <v>8.97516090281727</v>
      </c>
      <c r="AO4" s="20">
        <f>AO6*1.333</f>
        <v>36563623.475</v>
      </c>
      <c r="AP4" s="20">
        <v>7500000</v>
      </c>
      <c r="AQ4" s="137">
        <f>AO4/AP4</f>
        <v>4.87514979666667</v>
      </c>
      <c r="AR4" s="20">
        <f>AR6*1.333</f>
        <v>14040964.881</v>
      </c>
      <c r="AS4" s="20">
        <v>7500000</v>
      </c>
      <c r="AT4" s="139">
        <f>AR4/AS4</f>
        <v>1.8721286508</v>
      </c>
      <c r="AU4" s="20">
        <f>AU6*1.333</f>
        <v>20553593.65</v>
      </c>
      <c r="AV4" s="20">
        <v>1810200</v>
      </c>
      <c r="AW4" s="38">
        <f>AU4/AV4</f>
        <v>11.3543219809966</v>
      </c>
    </row>
    <row r="5" spans="1:49">
      <c r="B5" s="2"/>
      <c r="C5" s="2" t="s">
        <v>163</v>
      </c>
      <c r="E5" s="20"/>
      <c r="F5" s="20"/>
      <c r="G5" s="38"/>
      <c r="H5" s="20"/>
      <c r="I5" s="20"/>
      <c r="J5" s="70"/>
      <c r="K5" s="20"/>
      <c r="L5" s="20"/>
      <c r="M5" s="135"/>
      <c r="N5" s="20"/>
      <c r="O5" s="20"/>
      <c r="P5" s="38"/>
      <c r="Q5" s="20"/>
      <c r="R5" s="20"/>
      <c r="S5" s="136"/>
      <c r="T5" s="20"/>
      <c r="U5" s="20"/>
      <c r="V5" s="141"/>
      <c r="W5" s="20"/>
      <c r="X5" s="20"/>
      <c r="Y5" s="142"/>
      <c r="Z5" s="20"/>
      <c r="AA5" s="20"/>
      <c r="AB5" s="137"/>
      <c r="AC5" s="20"/>
      <c r="AD5" s="20"/>
      <c r="AE5" s="141"/>
      <c r="AF5" s="20"/>
      <c r="AG5" s="20"/>
      <c r="AH5" s="136"/>
      <c r="AI5" s="20"/>
      <c r="AJ5" s="20"/>
      <c r="AK5" s="38"/>
      <c r="AL5" s="20"/>
      <c r="AM5" s="20"/>
      <c r="AN5" s="138"/>
      <c r="AO5" s="20"/>
      <c r="AP5" s="20"/>
      <c r="AQ5" s="137"/>
      <c r="AR5" s="20"/>
      <c r="AS5" s="20"/>
      <c r="AT5" s="139"/>
      <c r="AU5" s="20"/>
      <c r="AV5" s="20"/>
      <c r="AW5" s="38"/>
    </row>
    <row r="6" spans="1:49">
      <c r="B6" s="2"/>
      <c r="C6" s="2"/>
      <c r="E6" s="140">
        <v>652223760</v>
      </c>
      <c r="F6" s="20"/>
      <c r="G6" s="38"/>
      <c r="H6" s="140">
        <v>236022082</v>
      </c>
      <c r="I6" s="20"/>
      <c r="J6" s="70"/>
      <c r="K6" s="140">
        <v>472400661</v>
      </c>
      <c r="L6" s="20"/>
      <c r="M6" s="135"/>
      <c r="N6" s="79">
        <v>408522886</v>
      </c>
      <c r="O6" s="20"/>
      <c r="P6" s="38"/>
      <c r="Q6" s="79">
        <v>270723534</v>
      </c>
      <c r="R6" s="20"/>
      <c r="S6" s="136"/>
      <c r="T6" s="79">
        <v>334716929</v>
      </c>
      <c r="U6" s="20"/>
      <c r="V6" s="141"/>
      <c r="W6" s="79">
        <v>328997690</v>
      </c>
      <c r="X6" s="20"/>
      <c r="Y6" s="142"/>
      <c r="Z6" s="79">
        <v>357648250</v>
      </c>
      <c r="AA6" s="20"/>
      <c r="AB6" s="137"/>
      <c r="AC6" s="79">
        <v>465796957</v>
      </c>
      <c r="AD6" s="20"/>
      <c r="AE6" s="141"/>
      <c r="AF6" s="79">
        <v>366333096</v>
      </c>
      <c r="AG6" s="20"/>
      <c r="AH6" s="136"/>
      <c r="AI6" s="79">
        <v>295750377</v>
      </c>
      <c r="AJ6" s="20"/>
      <c r="AK6" s="38"/>
      <c r="AL6" s="79">
        <v>337657538</v>
      </c>
      <c r="AM6" s="20"/>
      <c r="AN6" s="138"/>
      <c r="AO6" s="79">
        <v>27429575</v>
      </c>
      <c r="AP6" s="20"/>
      <c r="AQ6" s="137"/>
      <c r="AR6" s="79">
        <v>10533357</v>
      </c>
      <c r="AS6" s="20"/>
      <c r="AT6" s="139"/>
      <c r="AU6" s="79">
        <v>15419050</v>
      </c>
      <c r="AV6" s="20"/>
      <c r="AW6" s="38"/>
    </row>
    <row r="7" spans="1:49">
      <c r="A7"/>
      <c r="D7"/>
      <c r="E7" s="51"/>
      <c r="F7" s="6"/>
      <c r="G7" s="40"/>
      <c r="H7" s="51"/>
      <c r="I7" s="6"/>
      <c r="J7" s="143"/>
      <c r="K7" s="51"/>
      <c r="L7" s="6"/>
      <c r="M7" s="144"/>
      <c r="N7" s="51"/>
      <c r="O7" s="6"/>
      <c r="P7" s="40"/>
      <c r="Q7" s="51"/>
      <c r="R7" s="6"/>
      <c r="S7" s="145"/>
      <c r="T7" s="51"/>
      <c r="U7" s="6"/>
      <c r="V7" s="146"/>
      <c r="W7" s="51"/>
      <c r="X7" s="6"/>
      <c r="Y7" s="147"/>
      <c r="Z7" s="51"/>
      <c r="AA7" s="6"/>
      <c r="AB7" s="148"/>
      <c r="AC7" s="51"/>
      <c r="AD7" s="6"/>
      <c r="AE7" s="146"/>
      <c r="AF7" s="51"/>
      <c r="AG7" s="6"/>
      <c r="AH7" s="145"/>
      <c r="AI7" s="51"/>
      <c r="AJ7" s="6"/>
      <c r="AK7" s="40"/>
      <c r="AL7" s="51"/>
      <c r="AM7" s="6"/>
      <c r="AN7" s="149"/>
      <c r="AO7" s="51"/>
      <c r="AP7" s="6"/>
      <c r="AQ7" s="148"/>
      <c r="AR7" s="51"/>
      <c r="AS7" s="6"/>
      <c r="AT7" s="150"/>
      <c r="AU7" s="51"/>
      <c r="AV7" s="6"/>
      <c r="AW7" s="40"/>
    </row>
    <row r="8" spans="1:49">
      <c r="A8" s="2">
        <v>2</v>
      </c>
      <c r="B8" s="41" t="s">
        <v>166</v>
      </c>
      <c r="C8" s="37" t="s">
        <v>167</v>
      </c>
      <c r="D8" s="2" t="s">
        <v>168</v>
      </c>
      <c r="E8" s="20">
        <v>728</v>
      </c>
      <c r="F8" s="42">
        <f>G4</f>
        <v>9.6293839235921</v>
      </c>
      <c r="G8" s="38">
        <f>E8/F8</f>
        <v>75.6019290306197</v>
      </c>
      <c r="H8" s="20">
        <v>856</v>
      </c>
      <c r="I8" s="42">
        <f>J4</f>
        <v>6.29234870612</v>
      </c>
      <c r="J8" s="70">
        <f>H8/I8</f>
        <v>136.03823309529</v>
      </c>
      <c r="K8" s="20">
        <v>389</v>
      </c>
      <c r="L8" s="42">
        <f>M4</f>
        <v>6.88716764589496</v>
      </c>
      <c r="M8" s="135">
        <f>K8/L8</f>
        <v>56.4818543704044</v>
      </c>
      <c r="N8" s="20">
        <v>585</v>
      </c>
      <c r="O8" s="42">
        <f>P4</f>
        <v>10.4479491800766</v>
      </c>
      <c r="P8" s="38">
        <f>N8/O8</f>
        <v>55.991849684295</v>
      </c>
      <c r="Q8" s="20">
        <v>492</v>
      </c>
      <c r="R8" s="42">
        <f>S4</f>
        <v>7.63658521292534</v>
      </c>
      <c r="S8" s="136">
        <f>Q8/R8</f>
        <v>64.4267020247823</v>
      </c>
      <c r="T8" s="20">
        <v>496</v>
      </c>
      <c r="U8" s="42">
        <f>V4</f>
        <v>13.12350439805</v>
      </c>
      <c r="V8" s="141">
        <f>T8/U8</f>
        <v>37.7947829296038</v>
      </c>
      <c r="W8" s="20">
        <v>465</v>
      </c>
      <c r="X8" s="42">
        <f>Y4</f>
        <v>11.070121182603</v>
      </c>
      <c r="Y8" s="142">
        <f>W8/X8</f>
        <v>42.0049602285078</v>
      </c>
      <c r="Z8" s="20">
        <v>462</v>
      </c>
      <c r="AA8" s="42">
        <f>AB4</f>
        <v>9.534902345</v>
      </c>
      <c r="AB8" s="137">
        <f>Z8/AA8</f>
        <v>48.4535638943662</v>
      </c>
      <c r="AC8" s="20">
        <v>439</v>
      </c>
      <c r="AD8" s="42">
        <f>AE4</f>
        <v>13.3816237862284</v>
      </c>
      <c r="AE8" s="141">
        <f>AC8/AD8</f>
        <v>32.8061830920543</v>
      </c>
      <c r="AF8" s="20">
        <v>437</v>
      </c>
      <c r="AG8" s="42">
        <f>AH4</f>
        <v>9.76644033936</v>
      </c>
      <c r="AH8" s="136">
        <f>AF8/AG8</f>
        <v>44.7450642010103</v>
      </c>
      <c r="AI8" s="20">
        <v>427</v>
      </c>
      <c r="AJ8" s="42">
        <f>AK4</f>
        <v>7.8659091462786</v>
      </c>
      <c r="AK8" s="38">
        <f>AI8/AJ8</f>
        <v>54.284888378353</v>
      </c>
      <c r="AL8" s="20">
        <v>392</v>
      </c>
      <c r="AM8" s="42">
        <f>AN4</f>
        <v>8.97516090281727</v>
      </c>
      <c r="AN8" s="138">
        <f>AL8/AM8</f>
        <v>43.676097202553</v>
      </c>
      <c r="AO8" s="20">
        <v>2225</v>
      </c>
      <c r="AP8" s="42">
        <f>AQ4</f>
        <v>4.87514979666667</v>
      </c>
      <c r="AQ8" s="39">
        <f>AO8/AP8</f>
        <v>456.396232485271</v>
      </c>
      <c r="AR8" s="20">
        <v>1360</v>
      </c>
      <c r="AS8" s="42">
        <f>AT4</f>
        <v>1.8721286508</v>
      </c>
      <c r="AT8" s="151">
        <f>AR8/AS8</f>
        <v>726.445802439295</v>
      </c>
      <c r="AU8" s="20">
        <v>5100</v>
      </c>
      <c r="AV8" s="42">
        <f>AW4</f>
        <v>11.3543219809966</v>
      </c>
      <c r="AW8" s="151">
        <f>AU8/AV8</f>
        <v>449.168167728177</v>
      </c>
    </row>
    <row r="9" spans="1:49">
      <c r="B9" s="41"/>
      <c r="C9" s="2" t="s">
        <v>169</v>
      </c>
      <c r="E9" s="20"/>
      <c r="F9" s="42"/>
      <c r="G9" s="38"/>
      <c r="H9" s="20"/>
      <c r="I9" s="42"/>
      <c r="J9" s="70"/>
      <c r="K9" s="20"/>
      <c r="L9" s="42"/>
      <c r="M9" s="135"/>
      <c r="N9" s="20"/>
      <c r="O9" s="42"/>
      <c r="P9" s="38"/>
      <c r="Q9" s="20"/>
      <c r="R9" s="42"/>
      <c r="S9" s="136"/>
      <c r="T9" s="20"/>
      <c r="U9" s="42"/>
      <c r="V9" s="141"/>
      <c r="W9" s="20"/>
      <c r="X9" s="42"/>
      <c r="Y9" s="142"/>
      <c r="Z9" s="20"/>
      <c r="AA9" s="42"/>
      <c r="AB9" s="137"/>
      <c r="AC9" s="20"/>
      <c r="AD9" s="42"/>
      <c r="AE9" s="141"/>
      <c r="AF9" s="20"/>
      <c r="AG9" s="42"/>
      <c r="AH9" s="136"/>
      <c r="AI9" s="20"/>
      <c r="AJ9" s="42"/>
      <c r="AK9" s="38"/>
      <c r="AL9" s="20"/>
      <c r="AM9" s="42"/>
      <c r="AN9" s="138"/>
      <c r="AO9" s="20"/>
      <c r="AP9" s="42"/>
      <c r="AQ9" s="39"/>
      <c r="AR9" s="20"/>
      <c r="AS9" s="42"/>
      <c r="AT9" s="151"/>
      <c r="AU9" s="20"/>
      <c r="AV9" s="42"/>
      <c r="AW9" s="151"/>
    </row>
    <row r="10" spans="1:49">
      <c r="B10" s="2"/>
      <c r="C10" s="2"/>
      <c r="E10" s="20"/>
      <c r="F10" s="42"/>
      <c r="G10" s="38"/>
      <c r="H10" s="20"/>
      <c r="I10" s="42"/>
      <c r="J10" s="70"/>
      <c r="K10" s="20"/>
      <c r="L10" s="42"/>
      <c r="M10" s="135"/>
      <c r="N10" s="20"/>
      <c r="O10" s="42"/>
      <c r="P10" s="38"/>
      <c r="Q10" s="20"/>
      <c r="R10" s="42"/>
      <c r="S10" s="136"/>
      <c r="T10" s="20"/>
      <c r="U10" s="42"/>
      <c r="V10" s="141"/>
      <c r="W10" s="20"/>
      <c r="X10" s="42"/>
      <c r="Y10" s="142"/>
      <c r="Z10" s="20"/>
      <c r="AA10" s="42"/>
      <c r="AB10" s="137"/>
      <c r="AC10" s="20"/>
      <c r="AD10" s="42"/>
      <c r="AE10" s="141"/>
      <c r="AF10" s="20"/>
      <c r="AG10" s="42"/>
      <c r="AH10" s="136"/>
      <c r="AI10" s="20"/>
      <c r="AJ10" s="42"/>
      <c r="AK10" s="38"/>
      <c r="AL10" s="20"/>
      <c r="AM10" s="42"/>
      <c r="AN10" s="138"/>
      <c r="AO10" s="20"/>
      <c r="AP10" s="42"/>
      <c r="AQ10" s="137"/>
      <c r="AR10" s="20"/>
      <c r="AS10" s="42"/>
      <c r="AT10" s="139"/>
      <c r="AU10" s="20"/>
      <c r="AV10" s="42"/>
      <c r="AW10" s="38"/>
    </row>
    <row r="11" spans="1:49">
      <c r="A11" s="2">
        <v>3</v>
      </c>
      <c r="B11" s="2" t="s">
        <v>437</v>
      </c>
      <c r="C11" s="97" t="s">
        <v>438</v>
      </c>
      <c r="D11" s="2" t="s">
        <v>175</v>
      </c>
      <c r="E11" s="20">
        <v>652223760</v>
      </c>
      <c r="F11" s="20">
        <v>47728467948</v>
      </c>
      <c r="G11" s="38">
        <f>(E11/F11)*100</f>
        <v>1.3665298469471</v>
      </c>
      <c r="H11" s="20">
        <v>236022082</v>
      </c>
      <c r="I11" s="20">
        <v>23336816480</v>
      </c>
      <c r="J11" s="70">
        <f>(H11/I11)*100</f>
        <v>1.01137223323616</v>
      </c>
      <c r="K11" s="20">
        <v>472400661</v>
      </c>
      <c r="L11" s="20">
        <v>18480021609</v>
      </c>
      <c r="M11" s="135">
        <f>(K11/L11)*100</f>
        <v>2.55627764401496</v>
      </c>
      <c r="N11" s="20">
        <v>408522886</v>
      </c>
      <c r="O11" s="20">
        <v>19378029062</v>
      </c>
      <c r="P11" s="38">
        <f>(N11/O11)*100</f>
        <v>2.10817562866136</v>
      </c>
      <c r="Q11" s="20">
        <f>Q6</f>
        <v>270723534</v>
      </c>
      <c r="R11" s="20">
        <v>4540141457</v>
      </c>
      <c r="S11" s="136">
        <f>(Q11/R11)*100</f>
        <v>5.9628876448904</v>
      </c>
      <c r="T11" s="20">
        <f>T6</f>
        <v>334716929</v>
      </c>
      <c r="U11" s="20">
        <v>9239914758</v>
      </c>
      <c r="V11" s="141">
        <f>(T11/U11)*100</f>
        <v>3.62251100542025</v>
      </c>
      <c r="W11" s="20">
        <f>W6</f>
        <v>328997690</v>
      </c>
      <c r="X11" s="20">
        <v>4005418726</v>
      </c>
      <c r="Y11" s="142">
        <f>(W11/X11)*100</f>
        <v>8.21381514657651</v>
      </c>
      <c r="Z11" s="20">
        <f>Z6</f>
        <v>357648250</v>
      </c>
      <c r="AA11" s="20">
        <v>6319371920</v>
      </c>
      <c r="AB11" s="137">
        <f>(Z11/AA11)*100</f>
        <v>5.65955374248648</v>
      </c>
      <c r="AC11" s="20">
        <f>AC6</f>
        <v>465796957</v>
      </c>
      <c r="AD11" s="20">
        <v>4763787445</v>
      </c>
      <c r="AE11" s="141">
        <f>(AC11/AD11)*100</f>
        <v>9.77787028447068</v>
      </c>
      <c r="AF11" s="20">
        <f>AF6</f>
        <v>366333096</v>
      </c>
      <c r="AG11" s="20">
        <v>4829499176</v>
      </c>
      <c r="AH11" s="136">
        <f>(AF11/AG11)*100</f>
        <v>7.58532267321791</v>
      </c>
      <c r="AI11" s="20">
        <f>AI6</f>
        <v>295750377</v>
      </c>
      <c r="AJ11" s="20">
        <v>10481979286</v>
      </c>
      <c r="AK11" s="38">
        <f>(AI11/AJ11)*100</f>
        <v>2.82151270223374</v>
      </c>
      <c r="AL11" s="20">
        <f>AL6</f>
        <v>337657538</v>
      </c>
      <c r="AM11" s="20">
        <v>6123472186</v>
      </c>
      <c r="AN11" s="138">
        <f>(AL11/AM11)*100</f>
        <v>5.51415157517954</v>
      </c>
      <c r="AO11" s="20">
        <f>AO6</f>
        <v>27429575</v>
      </c>
      <c r="AP11" s="20">
        <v>255187412</v>
      </c>
      <c r="AQ11" s="137">
        <f>(AO11/AP11)*100</f>
        <v>10.7487962611573</v>
      </c>
      <c r="AR11" s="20">
        <f>AR6</f>
        <v>10533357</v>
      </c>
      <c r="AS11" s="20">
        <v>234818908</v>
      </c>
      <c r="AT11" s="139">
        <f>(AR11/AS11)*100</f>
        <v>4.48573630195061</v>
      </c>
      <c r="AU11" s="20">
        <f>AU6</f>
        <v>15419050</v>
      </c>
      <c r="AV11" s="20">
        <v>11396946500</v>
      </c>
      <c r="AW11" s="38">
        <f>(AU11/AV11)*100</f>
        <v>0.135291062391141</v>
      </c>
    </row>
    <row r="12" spans="1:49">
      <c r="B12" s="2"/>
      <c r="C12" s="6" t="s">
        <v>439</v>
      </c>
      <c r="E12" s="20"/>
      <c r="F12" s="20"/>
      <c r="G12" s="38"/>
      <c r="H12" s="20"/>
      <c r="I12" s="20"/>
      <c r="J12" s="70"/>
      <c r="K12" s="20"/>
      <c r="L12" s="20"/>
      <c r="M12" s="135"/>
      <c r="N12" s="20"/>
      <c r="O12" s="20"/>
      <c r="P12" s="38"/>
      <c r="Q12" s="20"/>
      <c r="R12" s="20"/>
      <c r="S12" s="136"/>
      <c r="T12" s="20"/>
      <c r="U12" s="20"/>
      <c r="V12" s="141"/>
      <c r="W12" s="20"/>
      <c r="X12" s="20"/>
      <c r="Y12" s="142"/>
      <c r="Z12" s="20"/>
      <c r="AA12" s="20"/>
      <c r="AB12" s="137"/>
      <c r="AC12" s="20"/>
      <c r="AD12" s="20"/>
      <c r="AE12" s="141"/>
      <c r="AF12" s="20"/>
      <c r="AG12" s="20"/>
      <c r="AH12" s="136"/>
      <c r="AI12" s="20"/>
      <c r="AJ12" s="20"/>
      <c r="AK12" s="38"/>
      <c r="AL12" s="20"/>
      <c r="AM12" s="20"/>
      <c r="AN12" s="138"/>
      <c r="AO12" s="20"/>
      <c r="AP12" s="20"/>
      <c r="AQ12" s="137"/>
      <c r="AR12" s="20"/>
      <c r="AS12" s="20"/>
      <c r="AT12" s="139"/>
      <c r="AU12" s="20"/>
      <c r="AV12" s="20"/>
      <c r="AW12" s="38"/>
    </row>
    <row r="13" spans="1:49">
      <c r="D13"/>
      <c r="E13" s="45"/>
      <c r="F13"/>
      <c r="G13" s="48"/>
      <c r="H13" s="45"/>
      <c r="J13" s="152"/>
      <c r="K13" s="45"/>
      <c r="M13" s="114"/>
      <c r="N13" s="45"/>
      <c r="P13" s="48"/>
      <c r="Q13" s="45"/>
      <c r="S13" s="153"/>
      <c r="T13" s="45"/>
      <c r="V13" s="154"/>
      <c r="W13" s="45"/>
      <c r="Y13" s="155"/>
      <c r="Z13" s="45"/>
      <c r="AB13" s="156"/>
      <c r="AC13" s="45"/>
      <c r="AE13" s="154"/>
      <c r="AF13" s="45"/>
      <c r="AH13" s="153"/>
      <c r="AI13" s="45"/>
      <c r="AK13" s="48"/>
      <c r="AL13" s="45"/>
      <c r="AN13" s="157"/>
      <c r="AO13" s="45"/>
      <c r="AQ13" s="156"/>
      <c r="AR13" s="45"/>
      <c r="AT13" s="158"/>
      <c r="AU13" s="45"/>
      <c r="AW13" s="48"/>
    </row>
    <row r="14" spans="1:49">
      <c r="A14" s="2">
        <v>4</v>
      </c>
      <c r="B14" s="2" t="s">
        <v>173</v>
      </c>
      <c r="C14" s="41" t="s">
        <v>174</v>
      </c>
      <c r="D14" s="41" t="s">
        <v>443</v>
      </c>
      <c r="E14" s="20">
        <v>12261621445</v>
      </c>
      <c r="F14" s="20">
        <v>12153298601</v>
      </c>
      <c r="G14" s="44">
        <f>(E14-F14)/F14</f>
        <v>0.00891304061196085</v>
      </c>
      <c r="H14" s="20">
        <v>9948573328</v>
      </c>
      <c r="I14" s="20">
        <v>6865965363</v>
      </c>
      <c r="J14" s="159">
        <f>(H14-I14)/I14</f>
        <v>0.44896934400687</v>
      </c>
      <c r="K14" s="20">
        <v>10612650167</v>
      </c>
      <c r="L14" s="20">
        <v>10129042431</v>
      </c>
      <c r="M14" s="160">
        <f>(K14-L14)/L14</f>
        <v>0.0477446648381998</v>
      </c>
      <c r="N14" s="20">
        <v>7112815305</v>
      </c>
      <c r="O14" s="20">
        <v>7230600545</v>
      </c>
      <c r="P14" s="44">
        <f>(N14-O14)/O14</f>
        <v>-0.0162898281086001</v>
      </c>
      <c r="Q14" s="20">
        <v>5759999190</v>
      </c>
      <c r="R14" s="20">
        <v>5457208422</v>
      </c>
      <c r="S14" s="161">
        <f>(Q14-R14)/R14</f>
        <v>0.0554845526477127</v>
      </c>
      <c r="T14" s="20">
        <v>4371203721</v>
      </c>
      <c r="U14" s="20">
        <v>4014288343</v>
      </c>
      <c r="V14" s="162">
        <f>(T14-U14)/U14</f>
        <v>0.0889112459054863</v>
      </c>
      <c r="W14" s="20">
        <v>6506268323</v>
      </c>
      <c r="X14" s="20">
        <v>6281407084</v>
      </c>
      <c r="Y14" s="163">
        <f>(W14-X14)/X14</f>
        <v>0.03579790897055</v>
      </c>
      <c r="Z14" s="20">
        <v>7345428390</v>
      </c>
      <c r="AA14" s="20">
        <v>7062085091</v>
      </c>
      <c r="AB14" s="164">
        <f>(Z14-AA14)/AA14</f>
        <v>0.0401217622485314</v>
      </c>
      <c r="AC14" s="20">
        <v>7793821254</v>
      </c>
      <c r="AD14" s="20">
        <v>7330683338</v>
      </c>
      <c r="AE14" s="162">
        <f>(AC14-AD14)/AD14</f>
        <v>0.0631780005554511</v>
      </c>
      <c r="AF14" s="20">
        <v>6633530148</v>
      </c>
      <c r="AG14" s="20">
        <v>7397630198</v>
      </c>
      <c r="AH14" s="161">
        <f>(AF14-AG14)/AG14</f>
        <v>-0.103289841415239</v>
      </c>
      <c r="AI14" s="20">
        <v>6285713459</v>
      </c>
      <c r="AJ14" s="20">
        <v>7008514941</v>
      </c>
      <c r="AK14" s="44">
        <f>(AI14-AJ14)/AJ14</f>
        <v>-0.103131902847434</v>
      </c>
      <c r="AL14" s="20">
        <v>5546715802</v>
      </c>
      <c r="AM14" s="20">
        <v>5619028252</v>
      </c>
      <c r="AN14" s="165">
        <f>(AL14-AM14)/AM14</f>
        <v>-0.0128692091865282</v>
      </c>
      <c r="AO14" s="20">
        <v>775199315</v>
      </c>
      <c r="AP14" s="20">
        <v>529015258</v>
      </c>
      <c r="AQ14" s="164">
        <f>(AO14-AP14)/AP14</f>
        <v>0.465362866717164</v>
      </c>
      <c r="AR14" s="20">
        <v>771580996</v>
      </c>
      <c r="AS14" s="20">
        <v>542149492</v>
      </c>
      <c r="AT14" s="166">
        <f>(AR14-AS14)/AS14</f>
        <v>0.423188635949142</v>
      </c>
      <c r="AU14" s="20">
        <v>834891774</v>
      </c>
      <c r="AV14" s="20">
        <v>690300470</v>
      </c>
      <c r="AW14" s="44">
        <f>(AU14-AV14)/AV14</f>
        <v>0.20946140164152</v>
      </c>
    </row>
    <row r="15" spans="1:49">
      <c r="B15" s="2"/>
      <c r="C15" s="41"/>
      <c r="D15" s="41"/>
      <c r="E15" s="20"/>
      <c r="F15" s="20"/>
      <c r="G15" s="44"/>
      <c r="H15" s="20"/>
      <c r="I15" s="20"/>
      <c r="J15" s="159"/>
      <c r="K15" s="20"/>
      <c r="L15" s="20"/>
      <c r="M15" s="160"/>
      <c r="N15" s="20"/>
      <c r="O15" s="20"/>
      <c r="P15" s="44"/>
      <c r="Q15" s="20"/>
      <c r="R15" s="20"/>
      <c r="S15" s="161"/>
      <c r="T15" s="20"/>
      <c r="U15" s="20"/>
      <c r="V15" s="162"/>
      <c r="W15" s="20"/>
      <c r="X15" s="20"/>
      <c r="Y15" s="163"/>
      <c r="Z15" s="20"/>
      <c r="AA15" s="20"/>
      <c r="AB15" s="164"/>
      <c r="AC15" s="20"/>
      <c r="AD15" s="20"/>
      <c r="AE15" s="162"/>
      <c r="AF15" s="20"/>
      <c r="AG15" s="20"/>
      <c r="AH15" s="161"/>
      <c r="AI15" s="20"/>
      <c r="AJ15" s="20"/>
      <c r="AK15" s="44"/>
      <c r="AL15" s="20"/>
      <c r="AM15" s="20"/>
      <c r="AN15" s="165"/>
      <c r="AO15" s="20"/>
      <c r="AP15" s="20"/>
      <c r="AQ15" s="164"/>
      <c r="AR15" s="20"/>
      <c r="AS15" s="20"/>
      <c r="AT15" s="166"/>
      <c r="AU15" s="20"/>
      <c r="AV15" s="20"/>
      <c r="AW15" s="44"/>
    </row>
    <row r="16" spans="1:49">
      <c r="C16" s="6"/>
      <c r="E16" s="83"/>
      <c r="G16" s="80"/>
      <c r="H16" s="83"/>
      <c r="I16" s="2"/>
      <c r="J16" s="167"/>
      <c r="K16" s="83"/>
      <c r="L16" s="2"/>
      <c r="M16" s="168"/>
      <c r="N16" s="83"/>
      <c r="O16" s="2"/>
      <c r="P16" s="80"/>
      <c r="Q16" s="83"/>
      <c r="R16" s="2"/>
      <c r="S16" s="169"/>
      <c r="T16" s="83"/>
      <c r="U16" s="2"/>
      <c r="V16" s="170"/>
      <c r="W16" s="83"/>
      <c r="X16" s="2"/>
      <c r="Y16" s="171"/>
      <c r="Z16" s="83"/>
      <c r="AA16" s="2"/>
      <c r="AB16" s="172"/>
      <c r="AC16" s="83"/>
      <c r="AD16" s="2"/>
      <c r="AE16" s="170"/>
      <c r="AF16" s="83"/>
      <c r="AG16" s="2"/>
      <c r="AH16" s="169"/>
      <c r="AI16" s="83"/>
      <c r="AJ16" s="2"/>
      <c r="AK16" s="80"/>
      <c r="AL16" s="83"/>
      <c r="AM16" s="2"/>
      <c r="AN16" s="173"/>
      <c r="AO16" s="83"/>
      <c r="AP16" s="2"/>
      <c r="AQ16" s="172"/>
      <c r="AR16" s="83"/>
      <c r="AS16" s="2"/>
      <c r="AT16" s="174"/>
      <c r="AU16" s="83"/>
      <c r="AV16" s="2"/>
      <c r="AW16" s="80"/>
    </row>
    <row r="17" spans="1:49">
      <c r="A17" s="2">
        <v>5</v>
      </c>
      <c r="B17" s="2" t="s">
        <v>94</v>
      </c>
      <c r="C17" s="37" t="s">
        <v>161</v>
      </c>
      <c r="D17" s="2" t="s">
        <v>648</v>
      </c>
      <c r="E17" s="20">
        <f>E4</f>
        <v>869414272.08</v>
      </c>
      <c r="F17" s="20">
        <f>E14</f>
        <v>12261621445</v>
      </c>
      <c r="G17" s="38">
        <f>(E17/F17)*100</f>
        <v>7.09053265083898</v>
      </c>
      <c r="H17" s="20">
        <f>H4</f>
        <v>314617435.306</v>
      </c>
      <c r="I17" s="20">
        <f>H14</f>
        <v>9948573328</v>
      </c>
      <c r="J17" s="70">
        <f>(H17/I17)*100</f>
        <v>3.16243771778329</v>
      </c>
      <c r="K17" s="20">
        <f>K4</f>
        <v>629710081.113</v>
      </c>
      <c r="L17" s="20">
        <f>K14</f>
        <v>10612650167</v>
      </c>
      <c r="M17" s="135">
        <f>(K17/L17)*100</f>
        <v>5.93357993718743</v>
      </c>
      <c r="N17" s="20">
        <f>N4</f>
        <v>544561007.038</v>
      </c>
      <c r="O17" s="20">
        <f>N14</f>
        <v>7112815305</v>
      </c>
      <c r="P17" s="38">
        <f>(N17/O17)*100</f>
        <v>7.65605437069619</v>
      </c>
      <c r="Q17" s="20">
        <f>Q4</f>
        <v>360874470.822</v>
      </c>
      <c r="R17" s="20">
        <f>Q14</f>
        <v>5759999190</v>
      </c>
      <c r="S17" s="136">
        <f>(Q17/R17)*100</f>
        <v>6.26518266614548</v>
      </c>
      <c r="T17" s="20">
        <f>T4</f>
        <v>446177666.357</v>
      </c>
      <c r="U17" s="20">
        <f>T14</f>
        <v>4371203721</v>
      </c>
      <c r="V17" s="141">
        <f>(T17/U17)*100</f>
        <v>10.2072036636839</v>
      </c>
      <c r="W17" s="20">
        <f>W4</f>
        <v>438553920.77</v>
      </c>
      <c r="X17" s="20">
        <f>W14</f>
        <v>6506268323</v>
      </c>
      <c r="Y17" s="142">
        <f>(W17/X17)*100</f>
        <v>6.74048316174863</v>
      </c>
      <c r="Z17" s="20">
        <f>Z4</f>
        <v>476745117.25</v>
      </c>
      <c r="AA17" s="20">
        <f>Z14</f>
        <v>7345428390</v>
      </c>
      <c r="AB17" s="137">
        <f>(Z17/AA17)*100</f>
        <v>6.49036505343972</v>
      </c>
      <c r="AC17" s="20">
        <f>AC4</f>
        <v>620907343.681</v>
      </c>
      <c r="AD17" s="20">
        <f>AC14</f>
        <v>7793821254</v>
      </c>
      <c r="AE17" s="141">
        <f>(AC17/AD17)*100</f>
        <v>7.96666132626962</v>
      </c>
      <c r="AF17" s="20">
        <f>AF4</f>
        <v>488322016.968</v>
      </c>
      <c r="AG17" s="20">
        <f>AF14</f>
        <v>6633530148</v>
      </c>
      <c r="AH17" s="136">
        <f>(AF17/AG17)*100</f>
        <v>7.36142002935237</v>
      </c>
      <c r="AI17" s="20">
        <f>AI4</f>
        <v>394235252.541</v>
      </c>
      <c r="AJ17" s="20">
        <f>AI14</f>
        <v>6285713459</v>
      </c>
      <c r="AK17" s="38">
        <f>(AI17/AJ17)*100</f>
        <v>6.2719252971439</v>
      </c>
      <c r="AL17" s="20">
        <f>AL4</f>
        <v>450097498.154</v>
      </c>
      <c r="AM17" s="20">
        <f>AL14</f>
        <v>5546715802</v>
      </c>
      <c r="AN17" s="138">
        <f>(AL17/AM17)*100</f>
        <v>8.11466666440178</v>
      </c>
      <c r="AO17" s="20">
        <f>AO4</f>
        <v>36563623.475</v>
      </c>
      <c r="AP17" s="20">
        <f>AO14</f>
        <v>775199315</v>
      </c>
      <c r="AQ17" s="137">
        <f>(AO17/AP17)*100</f>
        <v>4.71667386277296</v>
      </c>
      <c r="AR17" s="20">
        <f>AR4</f>
        <v>14040964.881</v>
      </c>
      <c r="AS17" s="20">
        <f>AR14</f>
        <v>771580996</v>
      </c>
      <c r="AT17" s="139">
        <f>(AR17/AS17)*100</f>
        <v>1.81976551441658</v>
      </c>
      <c r="AU17" s="20">
        <f>AU4</f>
        <v>20553593.65</v>
      </c>
      <c r="AV17" s="20">
        <f>AU14</f>
        <v>834891774</v>
      </c>
      <c r="AW17" s="38">
        <f>(AU17/AV17)*100</f>
        <v>2.46182730385843</v>
      </c>
    </row>
    <row r="18" spans="1:49">
      <c r="B18" s="2"/>
      <c r="C18" s="2" t="s">
        <v>176</v>
      </c>
      <c r="E18" s="20"/>
      <c r="G18" s="38"/>
      <c r="H18" s="20"/>
      <c r="I18" s="2"/>
      <c r="J18" s="70"/>
      <c r="K18" s="20"/>
      <c r="L18" s="2"/>
      <c r="M18" s="135"/>
      <c r="N18" s="20"/>
      <c r="O18" s="2"/>
      <c r="P18" s="38"/>
      <c r="Q18" s="20"/>
      <c r="R18" s="2"/>
      <c r="S18" s="136"/>
      <c r="T18" s="20"/>
      <c r="U18" s="2"/>
      <c r="V18" s="141"/>
      <c r="W18" s="20"/>
      <c r="X18" s="2"/>
      <c r="Y18" s="142"/>
      <c r="Z18" s="20"/>
      <c r="AA18" s="2"/>
      <c r="AB18" s="137"/>
      <c r="AC18" s="20"/>
      <c r="AD18" s="2"/>
      <c r="AE18" s="141"/>
      <c r="AF18" s="20"/>
      <c r="AG18" s="2"/>
      <c r="AH18" s="136"/>
      <c r="AI18" s="20"/>
      <c r="AJ18" s="2"/>
      <c r="AK18" s="38"/>
      <c r="AL18" s="20"/>
      <c r="AM18" s="2"/>
      <c r="AN18" s="138"/>
      <c r="AO18" s="20"/>
      <c r="AP18" s="2"/>
      <c r="AQ18" s="137"/>
      <c r="AR18" s="20"/>
      <c r="AS18" s="2"/>
      <c r="AT18" s="139"/>
      <c r="AU18" s="20"/>
      <c r="AV18" s="2"/>
      <c r="AW18" s="38"/>
    </row>
    <row r="19" spans="1:49">
      <c r="E19" s="20"/>
      <c r="F19" s="20"/>
      <c r="G19" s="80"/>
      <c r="H19" s="20"/>
      <c r="I19" s="20"/>
      <c r="J19" s="167"/>
      <c r="K19" s="20"/>
      <c r="L19" s="20"/>
      <c r="M19" s="168"/>
      <c r="N19" s="20"/>
      <c r="O19" s="20"/>
      <c r="P19" s="80"/>
      <c r="Q19" s="20"/>
      <c r="R19" s="20"/>
      <c r="S19" s="169"/>
      <c r="T19" s="20"/>
      <c r="U19" s="20"/>
      <c r="V19" s="170"/>
      <c r="W19" s="20"/>
      <c r="X19" s="20"/>
      <c r="Y19" s="171"/>
      <c r="Z19" s="20"/>
      <c r="AA19" s="20"/>
      <c r="AB19" s="172"/>
      <c r="AC19" s="20"/>
      <c r="AD19" s="20"/>
      <c r="AE19" s="170"/>
      <c r="AF19" s="20"/>
      <c r="AG19" s="20"/>
      <c r="AH19" s="169"/>
      <c r="AI19" s="20"/>
      <c r="AJ19" s="20"/>
      <c r="AK19" s="80"/>
      <c r="AL19" s="20"/>
      <c r="AM19" s="20"/>
      <c r="AN19" s="173"/>
      <c r="AO19" s="20"/>
      <c r="AP19" s="20"/>
      <c r="AQ19" s="172"/>
      <c r="AR19" s="20"/>
      <c r="AS19" s="20"/>
      <c r="AT19" s="174"/>
      <c r="AU19" s="20"/>
      <c r="AV19" s="20"/>
      <c r="AW19" s="80"/>
    </row>
    <row r="20" spans="1:49">
      <c r="A20" s="2">
        <v>6</v>
      </c>
      <c r="B20" s="2" t="s">
        <v>180</v>
      </c>
      <c r="C20" s="37" t="s">
        <v>176</v>
      </c>
      <c r="D20" s="2" t="s">
        <v>181</v>
      </c>
      <c r="E20" s="20">
        <f>E14</f>
        <v>12261621445</v>
      </c>
      <c r="F20" s="20">
        <f>F4</f>
        <v>90287632</v>
      </c>
      <c r="G20" s="38">
        <f>E20/F20</f>
        <v>135.806213690486</v>
      </c>
      <c r="H20" s="20">
        <f>H14</f>
        <v>9948573328</v>
      </c>
      <c r="I20" s="20">
        <f>I4</f>
        <v>50000000</v>
      </c>
      <c r="J20" s="70">
        <f>H20/I20</f>
        <v>198.97146656</v>
      </c>
      <c r="K20" s="20">
        <f>K14</f>
        <v>10612650167</v>
      </c>
      <c r="L20" s="20">
        <f>L4</f>
        <v>91432373</v>
      </c>
      <c r="M20" s="135">
        <f>K20/L20</f>
        <v>116.071035004199</v>
      </c>
      <c r="N20" s="20">
        <f>N14</f>
        <v>7112815305</v>
      </c>
      <c r="O20" s="20">
        <f>O4</f>
        <v>52121330</v>
      </c>
      <c r="P20" s="38">
        <f>N20/O20</f>
        <v>136.466496633912</v>
      </c>
      <c r="Q20" s="20">
        <f>Q14</f>
        <v>5759999190</v>
      </c>
      <c r="R20" s="20">
        <f>R4</f>
        <v>47256000</v>
      </c>
      <c r="S20" s="136">
        <f>Q20/R20</f>
        <v>121.889266759777</v>
      </c>
      <c r="T20" s="20">
        <f>T14</f>
        <v>4371203721</v>
      </c>
      <c r="U20" s="20">
        <f>U4</f>
        <v>33998363</v>
      </c>
      <c r="V20" s="141">
        <f>T20/U20</f>
        <v>128.571005639301</v>
      </c>
      <c r="W20" s="20">
        <f>W14</f>
        <v>6506268323</v>
      </c>
      <c r="X20" s="20">
        <f>X4</f>
        <v>39616000</v>
      </c>
      <c r="Y20" s="142">
        <f>W20/X20</f>
        <v>164.233348217892</v>
      </c>
      <c r="Z20" s="20">
        <f>Z14</f>
        <v>7345428390</v>
      </c>
      <c r="AA20" s="20">
        <f>AA4</f>
        <v>50000000</v>
      </c>
      <c r="AB20" s="137">
        <f>Z20/AA20</f>
        <v>146.9085678</v>
      </c>
      <c r="AC20" s="20">
        <f>AC14</f>
        <v>7793821254</v>
      </c>
      <c r="AD20" s="20">
        <f>AD4</f>
        <v>46400000</v>
      </c>
      <c r="AE20" s="141">
        <f>AC20/AD20</f>
        <v>167.970285646552</v>
      </c>
      <c r="AF20" s="20">
        <f>AF14</f>
        <v>6633530148</v>
      </c>
      <c r="AG20" s="20">
        <f>AG4</f>
        <v>50000000</v>
      </c>
      <c r="AH20" s="136">
        <f>AF20/AG20</f>
        <v>132.67060296</v>
      </c>
      <c r="AI20" s="20">
        <f>AI14</f>
        <v>6285713459</v>
      </c>
      <c r="AJ20" s="20">
        <f>AJ4</f>
        <v>50119477</v>
      </c>
      <c r="AK20" s="38">
        <f>AI20/AJ20</f>
        <v>125.414586010145</v>
      </c>
      <c r="AL20" s="20">
        <f>AL14</f>
        <v>5546715802</v>
      </c>
      <c r="AM20" s="20">
        <f>AM4</f>
        <v>50149240</v>
      </c>
      <c r="AN20" s="138">
        <f>AL20/AM20</f>
        <v>110.604184669598</v>
      </c>
      <c r="AO20" s="20">
        <f>AO14</f>
        <v>775199315</v>
      </c>
      <c r="AP20" s="20">
        <f>AP4</f>
        <v>7500000</v>
      </c>
      <c r="AQ20" s="137">
        <f>AO20/AP20</f>
        <v>103.359908666667</v>
      </c>
      <c r="AR20" s="20">
        <f>AR14</f>
        <v>771580996</v>
      </c>
      <c r="AS20" s="20">
        <f>AS4</f>
        <v>7500000</v>
      </c>
      <c r="AT20" s="139">
        <f>AR20/AS20</f>
        <v>102.877466133333</v>
      </c>
      <c r="AU20" s="20">
        <f>AU14</f>
        <v>834891774</v>
      </c>
      <c r="AV20" s="20">
        <f>AV4</f>
        <v>1810200</v>
      </c>
      <c r="AW20" s="38">
        <f>AU20/AV20</f>
        <v>461.215210473981</v>
      </c>
    </row>
    <row r="21" spans="1:49">
      <c r="B21" s="2"/>
      <c r="C21" s="6" t="s">
        <v>163</v>
      </c>
      <c r="E21" s="20"/>
      <c r="F21" s="20"/>
      <c r="G21" s="38"/>
      <c r="H21" s="20"/>
      <c r="I21" s="20"/>
      <c r="J21" s="70"/>
      <c r="K21" s="20"/>
      <c r="L21" s="20"/>
      <c r="M21" s="135"/>
      <c r="N21" s="20"/>
      <c r="O21" s="20"/>
      <c r="P21" s="38"/>
      <c r="Q21" s="20"/>
      <c r="R21" s="20"/>
      <c r="S21" s="136"/>
      <c r="T21" s="20"/>
      <c r="U21" s="20"/>
      <c r="V21" s="141"/>
      <c r="W21" s="20"/>
      <c r="X21" s="20"/>
      <c r="Y21" s="142"/>
      <c r="Z21" s="20"/>
      <c r="AA21" s="20"/>
      <c r="AB21" s="137"/>
      <c r="AC21" s="20"/>
      <c r="AD21" s="20"/>
      <c r="AE21" s="141"/>
      <c r="AF21" s="20"/>
      <c r="AG21" s="20"/>
      <c r="AH21" s="136"/>
      <c r="AI21" s="20"/>
      <c r="AJ21" s="20"/>
      <c r="AK21" s="38"/>
      <c r="AL21" s="20"/>
      <c r="AM21" s="20"/>
      <c r="AN21" s="138"/>
      <c r="AO21" s="20"/>
      <c r="AP21" s="20"/>
      <c r="AQ21" s="137"/>
      <c r="AR21" s="20"/>
      <c r="AS21" s="20"/>
      <c r="AT21" s="139"/>
      <c r="AU21" s="20"/>
      <c r="AV21" s="20"/>
      <c r="AW21" s="38"/>
    </row>
    <row r="22" spans="1:49">
      <c r="B22" s="2"/>
      <c r="C22" s="6"/>
      <c r="E22" s="20"/>
      <c r="F22" s="20"/>
      <c r="G22" s="38"/>
      <c r="H22" s="20"/>
      <c r="I22" s="20"/>
      <c r="J22" s="70"/>
      <c r="K22" s="20"/>
      <c r="L22" s="20"/>
      <c r="M22" s="135"/>
      <c r="N22" s="20"/>
      <c r="O22" s="20"/>
      <c r="P22" s="38"/>
      <c r="Q22" s="20"/>
      <c r="R22" s="20"/>
      <c r="S22" s="136"/>
      <c r="T22" s="20"/>
      <c r="U22" s="20"/>
      <c r="V22" s="141"/>
      <c r="W22" s="20"/>
      <c r="X22" s="20"/>
      <c r="Y22" s="142"/>
      <c r="Z22" s="20"/>
      <c r="AA22" s="20"/>
      <c r="AB22" s="137"/>
      <c r="AC22" s="20"/>
      <c r="AD22" s="20"/>
      <c r="AE22" s="141"/>
      <c r="AF22" s="20"/>
      <c r="AG22" s="20"/>
      <c r="AH22" s="136"/>
      <c r="AI22" s="20"/>
      <c r="AJ22" s="20"/>
      <c r="AK22" s="38"/>
      <c r="AL22" s="20"/>
      <c r="AM22" s="20"/>
      <c r="AN22" s="138"/>
      <c r="AO22" s="20"/>
      <c r="AP22" s="20"/>
      <c r="AQ22" s="137"/>
      <c r="AR22" s="20"/>
      <c r="AS22" s="20"/>
      <c r="AT22" s="139"/>
      <c r="AU22" s="20"/>
      <c r="AV22" s="20"/>
      <c r="AW22" s="38"/>
    </row>
    <row r="23" spans="1:49">
      <c r="A23" s="2">
        <v>7</v>
      </c>
      <c r="B23" s="2" t="s">
        <v>182</v>
      </c>
      <c r="C23" s="37" t="s">
        <v>183</v>
      </c>
      <c r="D23" s="50" t="s">
        <v>184</v>
      </c>
      <c r="E23" s="20">
        <f>E8</f>
        <v>728</v>
      </c>
      <c r="F23" s="42">
        <f>G20</f>
        <v>135.806213690486</v>
      </c>
      <c r="G23" s="38">
        <f>E23/F23</f>
        <v>5.3605794625802</v>
      </c>
      <c r="H23" s="20">
        <f>H8</f>
        <v>856</v>
      </c>
      <c r="I23" s="42">
        <f>J20</f>
        <v>198.97146656</v>
      </c>
      <c r="J23" s="70">
        <f>H23/I23</f>
        <v>4.3021243940114</v>
      </c>
      <c r="K23" s="20">
        <f>K8</f>
        <v>389</v>
      </c>
      <c r="L23" s="42">
        <f>M20</f>
        <v>116.071035004199</v>
      </c>
      <c r="M23" s="135">
        <f>K23/L23</f>
        <v>3.35139597907373</v>
      </c>
      <c r="N23" s="20">
        <f>N8</f>
        <v>585</v>
      </c>
      <c r="O23" s="42">
        <f>P20</f>
        <v>136.466496633912</v>
      </c>
      <c r="P23" s="38">
        <f>N23/O23</f>
        <v>4.28676645498811</v>
      </c>
      <c r="Q23" s="20">
        <f>Q8</f>
        <v>492</v>
      </c>
      <c r="R23" s="42">
        <f>S20</f>
        <v>121.889266759777</v>
      </c>
      <c r="S23" s="136">
        <f>Q23/R23</f>
        <v>4.03645056762586</v>
      </c>
      <c r="T23" s="20">
        <f>T8</f>
        <v>496</v>
      </c>
      <c r="U23" s="42">
        <f>V20</f>
        <v>128.571005639301</v>
      </c>
      <c r="V23" s="141">
        <f>T23/U23</f>
        <v>3.8577904678719</v>
      </c>
      <c r="W23" s="20">
        <f>W8</f>
        <v>465</v>
      </c>
      <c r="X23" s="42">
        <f>Y20</f>
        <v>164.233348217892</v>
      </c>
      <c r="Y23" s="142">
        <f>W23/X23</f>
        <v>2.83133727130178</v>
      </c>
      <c r="Z23" s="20">
        <f>Z8</f>
        <v>462</v>
      </c>
      <c r="AA23" s="42">
        <f>AB20</f>
        <v>146.9085678</v>
      </c>
      <c r="AB23" s="137">
        <f>Z23/AA23</f>
        <v>3.14481317814603</v>
      </c>
      <c r="AC23" s="20">
        <f>AC8</f>
        <v>439</v>
      </c>
      <c r="AD23" s="42">
        <f>AE20</f>
        <v>167.970285646552</v>
      </c>
      <c r="AE23" s="141">
        <f>AC23/AD23</f>
        <v>2.6135575010199</v>
      </c>
      <c r="AF23" s="20">
        <f>AF8</f>
        <v>437</v>
      </c>
      <c r="AG23" s="42">
        <f>AH20</f>
        <v>132.67060296</v>
      </c>
      <c r="AH23" s="136">
        <f>AF23/AG23</f>
        <v>3.29387211823975</v>
      </c>
      <c r="AI23" s="20">
        <f>AI8</f>
        <v>427</v>
      </c>
      <c r="AJ23" s="42">
        <f>AK20</f>
        <v>125.414586010145</v>
      </c>
      <c r="AK23" s="38">
        <f>AI23/AJ23</f>
        <v>3.40470764672825</v>
      </c>
      <c r="AL23" s="20">
        <f>AL8</f>
        <v>392</v>
      </c>
      <c r="AM23" s="42">
        <f>AN20</f>
        <v>110.604184669598</v>
      </c>
      <c r="AN23" s="138">
        <f>AL23/AM23</f>
        <v>3.54416970000728</v>
      </c>
      <c r="AO23" s="20">
        <f>AO8</f>
        <v>2225</v>
      </c>
      <c r="AP23" s="42">
        <f>AQ20</f>
        <v>103.359908666667</v>
      </c>
      <c r="AQ23" s="137">
        <f>AO23/AP23</f>
        <v>21.5267218083133</v>
      </c>
      <c r="AR23" s="20">
        <f>AR8</f>
        <v>1360</v>
      </c>
      <c r="AS23" s="42">
        <f>AT20</f>
        <v>102.877466133333</v>
      </c>
      <c r="AT23" s="139">
        <f>AR23/AS23</f>
        <v>13.2196101937171</v>
      </c>
      <c r="AU23" s="20">
        <f>AU8</f>
        <v>5100</v>
      </c>
      <c r="AV23" s="42">
        <f>AW20</f>
        <v>461.215210473981</v>
      </c>
      <c r="AW23" s="38">
        <f>AU23/AV23</f>
        <v>11.0577445933729</v>
      </c>
    </row>
    <row r="24" spans="1:49">
      <c r="B24" s="2"/>
      <c r="C24" s="2" t="s">
        <v>185</v>
      </c>
      <c r="E24" s="20"/>
      <c r="F24" s="42"/>
      <c r="G24" s="38"/>
      <c r="H24" s="20"/>
      <c r="I24" s="42"/>
      <c r="J24" s="70"/>
      <c r="K24" s="20"/>
      <c r="L24" s="42"/>
      <c r="M24" s="135"/>
      <c r="N24" s="20"/>
      <c r="O24" s="42"/>
      <c r="P24" s="38"/>
      <c r="Q24" s="20"/>
      <c r="R24" s="42"/>
      <c r="S24" s="136"/>
      <c r="T24" s="20"/>
      <c r="U24" s="42"/>
      <c r="V24" s="141"/>
      <c r="W24" s="20"/>
      <c r="X24" s="42"/>
      <c r="Y24" s="142"/>
      <c r="Z24" s="20"/>
      <c r="AA24" s="42"/>
      <c r="AB24" s="137"/>
      <c r="AC24" s="20"/>
      <c r="AD24" s="42"/>
      <c r="AE24" s="141"/>
      <c r="AF24" s="20"/>
      <c r="AG24" s="42"/>
      <c r="AH24" s="136"/>
      <c r="AI24" s="20"/>
      <c r="AJ24" s="42"/>
      <c r="AK24" s="38"/>
      <c r="AL24" s="20"/>
      <c r="AM24" s="42"/>
      <c r="AN24" s="138"/>
      <c r="AO24" s="20"/>
      <c r="AP24" s="42"/>
      <c r="AQ24" s="137"/>
      <c r="AR24" s="20"/>
      <c r="AS24" s="42"/>
      <c r="AT24" s="139"/>
      <c r="AU24" s="20"/>
      <c r="AV24" s="42"/>
      <c r="AW24" s="38"/>
    </row>
    <row r="25" spans="1:49">
      <c r="B25" s="2"/>
      <c r="C25" s="2"/>
      <c r="E25" s="20"/>
      <c r="G25" s="85"/>
      <c r="H25" s="20"/>
      <c r="I25" s="2"/>
      <c r="J25" s="175"/>
      <c r="K25" s="20"/>
      <c r="L25" s="2"/>
      <c r="M25" s="176"/>
      <c r="N25" s="20"/>
      <c r="O25" s="2"/>
      <c r="P25" s="85"/>
      <c r="Q25" s="20"/>
      <c r="R25" s="2"/>
      <c r="S25" s="177"/>
      <c r="T25" s="20"/>
      <c r="U25" s="2"/>
      <c r="V25" s="178"/>
      <c r="W25" s="20"/>
      <c r="X25" s="2"/>
      <c r="Y25" s="179"/>
      <c r="Z25" s="20"/>
      <c r="AA25" s="2"/>
      <c r="AB25" s="180"/>
      <c r="AC25" s="20"/>
      <c r="AD25" s="2"/>
      <c r="AE25" s="178"/>
      <c r="AF25" s="20"/>
      <c r="AG25" s="2"/>
      <c r="AH25" s="177"/>
      <c r="AI25" s="20"/>
      <c r="AJ25" s="2"/>
      <c r="AK25" s="85"/>
      <c r="AL25" s="20"/>
      <c r="AM25" s="2"/>
      <c r="AN25" s="181"/>
      <c r="AO25" s="20"/>
      <c r="AP25" s="2"/>
      <c r="AQ25" s="180"/>
      <c r="AR25" s="20"/>
      <c r="AS25" s="2"/>
      <c r="AT25" s="182"/>
      <c r="AU25" s="20"/>
      <c r="AV25" s="2"/>
      <c r="AW25" s="85"/>
    </row>
    <row r="26" spans="1:49">
      <c r="A26" s="2">
        <v>8</v>
      </c>
      <c r="B26" s="2" t="s">
        <v>186</v>
      </c>
      <c r="C26" s="37" t="s">
        <v>187</v>
      </c>
      <c r="D26" s="41" t="s">
        <v>295</v>
      </c>
      <c r="E26" s="42">
        <v>21</v>
      </c>
      <c r="F26" s="20">
        <f>E8</f>
        <v>728</v>
      </c>
      <c r="G26" s="38">
        <f>(E26/F26)*100</f>
        <v>2.88461538461538</v>
      </c>
      <c r="H26" s="42">
        <v>10.5</v>
      </c>
      <c r="I26" s="20">
        <f>H8</f>
        <v>856</v>
      </c>
      <c r="J26" s="70">
        <f>(H26/I26)*100</f>
        <v>1.22663551401869</v>
      </c>
      <c r="K26" s="42">
        <v>8</v>
      </c>
      <c r="L26" s="20">
        <f>K8</f>
        <v>389</v>
      </c>
      <c r="M26" s="135">
        <f>(K26/L26)*100</f>
        <v>2.05655526992288</v>
      </c>
      <c r="N26" s="42">
        <v>15</v>
      </c>
      <c r="O26" s="20">
        <f>N8</f>
        <v>585</v>
      </c>
      <c r="P26" s="38">
        <f>(N26/O26)*100</f>
        <v>2.56410256410256</v>
      </c>
      <c r="Q26" s="42">
        <v>8.4</v>
      </c>
      <c r="R26" s="20">
        <f>Q8</f>
        <v>492</v>
      </c>
      <c r="S26" s="136">
        <f>(Q26/R26)*100</f>
        <v>1.70731707317073</v>
      </c>
      <c r="T26" s="42">
        <v>5.3</v>
      </c>
      <c r="U26" s="20">
        <f>T8</f>
        <v>496</v>
      </c>
      <c r="V26" s="141">
        <f>(T26/U26)*100</f>
        <v>1.06854838709677</v>
      </c>
      <c r="W26" s="42">
        <v>25</v>
      </c>
      <c r="X26" s="20">
        <f>W8</f>
        <v>465</v>
      </c>
      <c r="Y26" s="142">
        <f>(W26/X26)*100</f>
        <v>5.37634408602151</v>
      </c>
      <c r="Z26" s="42">
        <v>28.4</v>
      </c>
      <c r="AA26" s="20">
        <f>Z8</f>
        <v>462</v>
      </c>
      <c r="AB26" s="137">
        <f>(Z26/AA26)*100</f>
        <v>6.14718614718615</v>
      </c>
      <c r="AC26" s="42">
        <v>12.6</v>
      </c>
      <c r="AD26" s="20">
        <f>AC8</f>
        <v>439</v>
      </c>
      <c r="AE26" s="141">
        <f>(AC26/AD26)*100</f>
        <v>2.87015945330296</v>
      </c>
      <c r="AF26" s="42">
        <v>21</v>
      </c>
      <c r="AG26" s="20">
        <f>AF8</f>
        <v>437</v>
      </c>
      <c r="AH26" s="136">
        <f>(AF26/AG26)*100</f>
        <v>4.80549199084668</v>
      </c>
      <c r="AI26" s="42">
        <v>20</v>
      </c>
      <c r="AJ26" s="20">
        <f>AI8</f>
        <v>427</v>
      </c>
      <c r="AK26" s="38">
        <f>(AI26/AJ26)*100</f>
        <v>4.68384074941452</v>
      </c>
      <c r="AL26" s="42">
        <v>9.2</v>
      </c>
      <c r="AM26" s="20">
        <f>AL8</f>
        <v>392</v>
      </c>
      <c r="AN26" s="138">
        <f>(AL26/AM26)*100</f>
        <v>2.3469387755102</v>
      </c>
      <c r="AO26" s="42">
        <v>0</v>
      </c>
      <c r="AP26" s="20">
        <f>AO8</f>
        <v>2225</v>
      </c>
      <c r="AQ26" s="137">
        <f>(AO26/AP26)*100</f>
        <v>0</v>
      </c>
      <c r="AR26" s="42">
        <v>0</v>
      </c>
      <c r="AS26" s="20">
        <f>AR8</f>
        <v>1360</v>
      </c>
      <c r="AT26" s="139">
        <f>(AR26/AS26)*100</f>
        <v>0</v>
      </c>
      <c r="AU26" s="42">
        <v>0</v>
      </c>
      <c r="AV26" s="20">
        <f>AU8</f>
        <v>5100</v>
      </c>
      <c r="AW26" s="38">
        <f>(AU26/AV26)*100</f>
        <v>0</v>
      </c>
    </row>
    <row r="27" spans="1:49">
      <c r="B27" s="2"/>
      <c r="C27" s="2" t="s">
        <v>189</v>
      </c>
      <c r="D27" s="41"/>
      <c r="E27" s="42"/>
      <c r="F27" s="20"/>
      <c r="G27" s="38"/>
      <c r="H27" s="42"/>
      <c r="I27" s="20"/>
      <c r="J27" s="70"/>
      <c r="K27" s="42"/>
      <c r="L27" s="20"/>
      <c r="M27" s="135"/>
      <c r="N27" s="42"/>
      <c r="O27" s="20"/>
      <c r="P27" s="38"/>
      <c r="Q27" s="42"/>
      <c r="R27" s="20"/>
      <c r="S27" s="136"/>
      <c r="T27" s="42"/>
      <c r="U27" s="20"/>
      <c r="V27" s="141"/>
      <c r="W27" s="42"/>
      <c r="X27" s="20"/>
      <c r="Y27" s="142"/>
      <c r="Z27" s="42"/>
      <c r="AA27" s="20"/>
      <c r="AB27" s="137"/>
      <c r="AC27" s="42"/>
      <c r="AD27" s="20"/>
      <c r="AE27" s="141"/>
      <c r="AF27" s="42"/>
      <c r="AG27" s="20"/>
      <c r="AH27" s="136"/>
      <c r="AI27" s="42"/>
      <c r="AJ27" s="20"/>
      <c r="AK27" s="38"/>
      <c r="AL27" s="42"/>
      <c r="AM27" s="20"/>
      <c r="AN27" s="138"/>
      <c r="AO27" s="42"/>
      <c r="AP27" s="20"/>
      <c r="AQ27" s="137"/>
      <c r="AR27" s="42"/>
      <c r="AS27" s="20"/>
      <c r="AT27" s="139"/>
      <c r="AU27" s="42"/>
      <c r="AV27" s="20"/>
      <c r="AW27" s="38"/>
    </row>
    <row r="28" spans="1:49">
      <c r="A28"/>
      <c r="G28" s="80"/>
      <c r="H28" s="2"/>
      <c r="I28" s="2"/>
      <c r="J28" s="167"/>
      <c r="K28" s="2"/>
      <c r="L28" s="2"/>
      <c r="M28" s="168"/>
      <c r="N28" s="2"/>
      <c r="O28" s="2"/>
      <c r="P28" s="80"/>
      <c r="Q28" s="2"/>
      <c r="R28" s="2"/>
      <c r="S28" s="169"/>
      <c r="T28" s="2"/>
      <c r="U28" s="2"/>
      <c r="V28" s="170"/>
      <c r="W28" s="2"/>
      <c r="X28" s="2"/>
      <c r="Y28" s="171"/>
      <c r="Z28" s="2"/>
      <c r="AA28" s="2"/>
      <c r="AB28" s="172"/>
      <c r="AC28" s="2"/>
      <c r="AD28" s="2"/>
      <c r="AE28" s="170"/>
      <c r="AF28" s="2"/>
      <c r="AG28" s="2"/>
      <c r="AH28" s="169"/>
      <c r="AI28" s="2"/>
      <c r="AJ28" s="2"/>
      <c r="AK28" s="80"/>
      <c r="AL28" s="2"/>
      <c r="AM28" s="2"/>
      <c r="AN28" s="173"/>
      <c r="AO28" s="2"/>
      <c r="AP28" s="2"/>
      <c r="AQ28" s="172"/>
      <c r="AR28" s="2"/>
      <c r="AS28" s="2"/>
      <c r="AT28" s="174"/>
      <c r="AU28" s="2"/>
      <c r="AV28" s="2"/>
      <c r="AW28" s="80"/>
    </row>
    <row r="29" spans="1:49">
      <c r="A29" s="2">
        <v>9</v>
      </c>
      <c r="B29" s="2" t="s">
        <v>202</v>
      </c>
      <c r="C29" s="37" t="s">
        <v>203</v>
      </c>
      <c r="D29" s="2" t="s">
        <v>172</v>
      </c>
      <c r="E29" s="20">
        <v>243769956927</v>
      </c>
      <c r="F29" s="20">
        <f>F4</f>
        <v>90287632</v>
      </c>
      <c r="G29" s="85">
        <f>E29/F29</f>
        <v>2699.92635233805</v>
      </c>
      <c r="H29" s="20">
        <v>141581706425</v>
      </c>
      <c r="I29" s="20">
        <f>I4</f>
        <v>50000000</v>
      </c>
      <c r="J29" s="175">
        <f>H29/I29</f>
        <v>2831.6341285</v>
      </c>
      <c r="K29" s="20">
        <v>88735982448</v>
      </c>
      <c r="L29" s="20">
        <f>L4</f>
        <v>91432373</v>
      </c>
      <c r="M29" s="176">
        <f>K29/L29</f>
        <v>970.509454545164</v>
      </c>
      <c r="N29" s="20">
        <v>98169194245</v>
      </c>
      <c r="O29" s="20">
        <f>O4</f>
        <v>52121330</v>
      </c>
      <c r="P29" s="85">
        <f>N29/O29</f>
        <v>1883.47446707519</v>
      </c>
      <c r="Q29" s="20">
        <v>19414529805</v>
      </c>
      <c r="R29" s="20">
        <f>R4</f>
        <v>47256000</v>
      </c>
      <c r="S29" s="177">
        <f>Q29/R29</f>
        <v>410.837349860335</v>
      </c>
      <c r="T29" s="20">
        <v>53372805128</v>
      </c>
      <c r="U29" s="20">
        <f>U4</f>
        <v>33998363</v>
      </c>
      <c r="V29" s="178">
        <f>T29/U29</f>
        <v>1569.86397045058</v>
      </c>
      <c r="W29" s="20">
        <v>16521030468</v>
      </c>
      <c r="X29" s="20">
        <f>X4</f>
        <v>39616000</v>
      </c>
      <c r="Y29" s="179">
        <f>W29/X29</f>
        <v>417.029242427302</v>
      </c>
      <c r="Z29" s="20">
        <v>25957037564</v>
      </c>
      <c r="AA29" s="20">
        <f>AA4</f>
        <v>50000000</v>
      </c>
      <c r="AB29" s="180">
        <f>Z29/AA29</f>
        <v>519.14075128</v>
      </c>
      <c r="AC29" s="20">
        <v>20982403756</v>
      </c>
      <c r="AD29" s="20">
        <f>AD4</f>
        <v>46400000</v>
      </c>
      <c r="AE29" s="178">
        <f>AC29/AD29</f>
        <v>452.2069775</v>
      </c>
      <c r="AF29" s="20">
        <v>19722228400</v>
      </c>
      <c r="AG29" s="20">
        <f>AG4</f>
        <v>50000000</v>
      </c>
      <c r="AH29" s="177">
        <f>AF29/AG29</f>
        <v>394.444568</v>
      </c>
      <c r="AI29" s="20">
        <v>46940455219</v>
      </c>
      <c r="AJ29" s="20">
        <f>AJ4</f>
        <v>50119477</v>
      </c>
      <c r="AK29" s="85">
        <f>AI29/AJ29</f>
        <v>936.571130201538</v>
      </c>
      <c r="AL29" s="20">
        <v>24703427980</v>
      </c>
      <c r="AM29" s="20">
        <f>AM4</f>
        <v>50149240</v>
      </c>
      <c r="AN29" s="181">
        <f>AL29/AM29</f>
        <v>492.598252336426</v>
      </c>
      <c r="AO29" s="20">
        <v>943583500</v>
      </c>
      <c r="AP29" s="20">
        <f>AP4</f>
        <v>7500000</v>
      </c>
      <c r="AQ29" s="180">
        <f>AO29/AP29</f>
        <v>125.811133333333</v>
      </c>
      <c r="AR29" s="20">
        <v>941817614</v>
      </c>
      <c r="AS29" s="20">
        <f>AS4</f>
        <v>7500000</v>
      </c>
      <c r="AT29" s="182">
        <f>AR29/AS29</f>
        <v>125.575681866667</v>
      </c>
      <c r="AU29" s="20">
        <v>66794845681</v>
      </c>
      <c r="AV29" s="20">
        <f>AV4</f>
        <v>1810200</v>
      </c>
      <c r="AW29" s="85">
        <f>AU29/AV29</f>
        <v>36899.1524036018</v>
      </c>
    </row>
    <row r="30" spans="1:49">
      <c r="B30" s="2"/>
      <c r="C30" s="6" t="s">
        <v>163</v>
      </c>
      <c r="E30" s="20"/>
      <c r="G30" s="85"/>
      <c r="H30" s="20"/>
      <c r="I30" s="2"/>
      <c r="J30" s="175"/>
      <c r="K30" s="20"/>
      <c r="L30" s="2"/>
      <c r="M30" s="176"/>
      <c r="N30" s="20"/>
      <c r="O30" s="2"/>
      <c r="P30" s="85"/>
      <c r="Q30" s="20"/>
      <c r="R30" s="2"/>
      <c r="S30" s="177"/>
      <c r="T30" s="20"/>
      <c r="U30" s="2"/>
      <c r="V30" s="178"/>
      <c r="W30" s="20"/>
      <c r="X30" s="2"/>
      <c r="Y30" s="179"/>
      <c r="Z30" s="20"/>
      <c r="AA30" s="2"/>
      <c r="AB30" s="180"/>
      <c r="AC30" s="20"/>
      <c r="AD30" s="2"/>
      <c r="AE30" s="178"/>
      <c r="AF30" s="20"/>
      <c r="AG30" s="2"/>
      <c r="AH30" s="177"/>
      <c r="AI30" s="20"/>
      <c r="AJ30" s="2"/>
      <c r="AK30" s="85"/>
      <c r="AL30" s="20"/>
      <c r="AM30" s="2"/>
      <c r="AN30" s="181"/>
      <c r="AO30" s="20"/>
      <c r="AP30" s="2"/>
      <c r="AQ30" s="180"/>
      <c r="AR30" s="20"/>
      <c r="AS30" s="2"/>
      <c r="AT30" s="182"/>
      <c r="AU30" s="20"/>
      <c r="AV30" s="2"/>
      <c r="AW30" s="85"/>
    </row>
    <row r="31" spans="1:49">
      <c r="A31"/>
      <c r="D31"/>
      <c r="E31"/>
      <c r="F31"/>
      <c r="G31" s="48"/>
      <c r="J31" s="152"/>
      <c r="M31" s="114"/>
      <c r="P31" s="48"/>
      <c r="S31" s="153"/>
      <c r="V31" s="154"/>
      <c r="Y31" s="155"/>
      <c r="AB31" s="156"/>
      <c r="AE31" s="154"/>
      <c r="AH31" s="153"/>
      <c r="AK31" s="48"/>
      <c r="AN31" s="157"/>
      <c r="AQ31" s="156"/>
      <c r="AT31" s="158"/>
      <c r="AW31" s="48"/>
    </row>
    <row r="32" spans="1:49">
      <c r="A32" s="2">
        <v>10</v>
      </c>
      <c r="B32" s="2" t="s">
        <v>125</v>
      </c>
      <c r="C32" s="37" t="s">
        <v>122</v>
      </c>
      <c r="D32" s="2" t="s">
        <v>649</v>
      </c>
      <c r="E32" s="20">
        <f>G14</f>
        <v>0.00891304061196085</v>
      </c>
      <c r="F32" s="20">
        <f>E32/G32</f>
        <v>0.006146924559973</v>
      </c>
      <c r="G32" s="38">
        <v>1.45</v>
      </c>
      <c r="H32" s="20">
        <f>J14</f>
        <v>0.44896934400687</v>
      </c>
      <c r="I32" s="20">
        <f>H32/J32</f>
        <v>0.309634030349565</v>
      </c>
      <c r="J32" s="70">
        <v>1.45</v>
      </c>
      <c r="K32" s="20">
        <f>M14</f>
        <v>0.0477446648381998</v>
      </c>
      <c r="L32" s="20">
        <f>K32/M32</f>
        <v>0.0123690841549741</v>
      </c>
      <c r="M32" s="135">
        <v>3.86</v>
      </c>
      <c r="N32" s="20">
        <f>N14</f>
        <v>7112815305</v>
      </c>
      <c r="O32" s="20">
        <f>N32/P32</f>
        <v>5308071123.13433</v>
      </c>
      <c r="P32" s="38">
        <v>1.34</v>
      </c>
      <c r="Q32" s="20">
        <f>Q14</f>
        <v>5759999190</v>
      </c>
      <c r="R32" s="20">
        <f>Q32/S32</f>
        <v>2938775096.93878</v>
      </c>
      <c r="S32" s="136">
        <v>1.96</v>
      </c>
      <c r="T32" s="20">
        <f>T14</f>
        <v>4371203721</v>
      </c>
      <c r="U32" s="20">
        <f>T32/V32</f>
        <v>1977920235.74661</v>
      </c>
      <c r="V32" s="141">
        <v>2.21</v>
      </c>
      <c r="W32" s="20">
        <f>W14</f>
        <v>6506268323</v>
      </c>
      <c r="X32" s="20">
        <f>W32/Y32</f>
        <v>2792389838.19742</v>
      </c>
      <c r="Y32" s="142">
        <v>2.33</v>
      </c>
      <c r="Z32" s="20">
        <f>Z14</f>
        <v>7345428390</v>
      </c>
      <c r="AA32" s="20">
        <f>Z32/AB32</f>
        <v>2147786078.94737</v>
      </c>
      <c r="AB32" s="137">
        <v>3.42</v>
      </c>
      <c r="AC32" s="20">
        <f>AC14</f>
        <v>7793821254</v>
      </c>
      <c r="AD32" s="20">
        <f>AC32/AE32</f>
        <v>2141159685.16483</v>
      </c>
      <c r="AE32" s="141">
        <v>3.64</v>
      </c>
      <c r="AF32" s="20">
        <f>AF14</f>
        <v>6633530148</v>
      </c>
      <c r="AG32" s="20">
        <f>AF32/AH32</f>
        <v>2977347463.19569</v>
      </c>
      <c r="AH32" s="136">
        <v>2.228</v>
      </c>
      <c r="AI32" s="20">
        <f>AI14</f>
        <v>6285713459</v>
      </c>
      <c r="AJ32" s="20">
        <f>AI32/AK32</f>
        <v>2544823262.75304</v>
      </c>
      <c r="AK32" s="38">
        <v>2.47</v>
      </c>
      <c r="AL32" s="20">
        <f>AL14</f>
        <v>5546715802</v>
      </c>
      <c r="AM32" s="20">
        <f>AL32/AN32</f>
        <v>3799120412.32877</v>
      </c>
      <c r="AN32" s="138">
        <v>1.46</v>
      </c>
      <c r="AO32" s="20">
        <f>AO14</f>
        <v>775199315</v>
      </c>
      <c r="AP32" s="20">
        <f>AO32/AQ32</f>
        <v>393502190.35533</v>
      </c>
      <c r="AQ32" s="137">
        <v>1.97</v>
      </c>
      <c r="AR32" s="20">
        <f>AR14</f>
        <v>771580996</v>
      </c>
      <c r="AS32" s="20">
        <f>AR32/AT32</f>
        <v>391665480.203046</v>
      </c>
      <c r="AT32" s="139">
        <v>1.97</v>
      </c>
      <c r="AU32" s="20">
        <f>AU14</f>
        <v>834891774</v>
      </c>
      <c r="AV32" s="20"/>
      <c r="AW32" s="38">
        <v>2</v>
      </c>
    </row>
    <row r="33" spans="1:49">
      <c r="B33" s="2"/>
      <c r="C33" s="2" t="s">
        <v>650</v>
      </c>
      <c r="E33" s="20"/>
      <c r="F33" s="20"/>
      <c r="G33" s="38"/>
      <c r="H33" s="20"/>
      <c r="I33" s="20"/>
      <c r="J33" s="70"/>
      <c r="K33" s="20"/>
      <c r="L33" s="20"/>
      <c r="M33" s="135"/>
      <c r="N33" s="20"/>
      <c r="O33" s="20"/>
      <c r="P33" s="38"/>
      <c r="Q33" s="20"/>
      <c r="R33" s="20"/>
      <c r="S33" s="136"/>
      <c r="T33" s="20"/>
      <c r="U33" s="20"/>
      <c r="V33" s="141"/>
      <c r="W33" s="20"/>
      <c r="X33" s="20"/>
      <c r="Y33" s="142"/>
      <c r="Z33" s="20"/>
      <c r="AA33" s="20"/>
      <c r="AB33" s="137"/>
      <c r="AC33" s="20"/>
      <c r="AD33" s="20"/>
      <c r="AE33" s="141"/>
      <c r="AF33" s="20"/>
      <c r="AG33" s="20"/>
      <c r="AH33" s="136"/>
      <c r="AI33" s="20"/>
      <c r="AJ33" s="20"/>
      <c r="AK33" s="38"/>
      <c r="AL33" s="20"/>
      <c r="AM33" s="20"/>
      <c r="AN33" s="138"/>
      <c r="AO33" s="20"/>
      <c r="AP33" s="20"/>
      <c r="AQ33" s="137"/>
      <c r="AR33" s="20"/>
      <c r="AS33" s="20"/>
      <c r="AT33" s="139"/>
      <c r="AU33" s="20"/>
      <c r="AV33" s="20"/>
      <c r="AW33" s="38"/>
    </row>
    <row r="34" ht="14.5" customHeight="1" spans="1:49">
      <c r="A34"/>
      <c r="D34"/>
      <c r="E34" s="99"/>
      <c r="F34" s="99"/>
      <c r="G34" s="100"/>
      <c r="H34" s="99"/>
      <c r="I34" s="99"/>
      <c r="J34" s="183"/>
      <c r="K34" s="99"/>
      <c r="L34" s="99"/>
      <c r="M34" s="184"/>
      <c r="N34" s="99"/>
      <c r="O34" s="99"/>
      <c r="P34" s="100"/>
      <c r="Q34" s="99"/>
      <c r="R34" s="99"/>
      <c r="S34" s="185"/>
      <c r="T34" s="99"/>
      <c r="U34" s="99"/>
      <c r="V34" s="186"/>
      <c r="W34" s="99"/>
      <c r="X34" s="99"/>
      <c r="Y34" s="187"/>
      <c r="AB34" s="156"/>
      <c r="AE34" s="154"/>
      <c r="AH34" s="153"/>
      <c r="AK34" s="48"/>
      <c r="AN34" s="157"/>
      <c r="AQ34" s="156"/>
      <c r="AT34" s="158"/>
      <c r="AW34" s="48"/>
    </row>
    <row r="35" ht="14.5" customHeight="1" spans="1:49">
      <c r="A35" s="2">
        <v>11</v>
      </c>
      <c r="B35" s="23" t="s">
        <v>651</v>
      </c>
      <c r="C35" s="23" t="s">
        <v>652</v>
      </c>
      <c r="D35" s="41" t="s">
        <v>653</v>
      </c>
      <c r="E35" s="20">
        <f>E4/2</f>
        <v>434707136.04</v>
      </c>
      <c r="F35" s="46">
        <v>1384480698</v>
      </c>
      <c r="G35" s="188">
        <f>E35-F35</f>
        <v>-949773561.96</v>
      </c>
      <c r="H35" s="20">
        <f>H4/2</f>
        <v>157308717.653</v>
      </c>
      <c r="I35" s="46">
        <v>710820192</v>
      </c>
      <c r="J35" s="189">
        <f>H35-I35</f>
        <v>-553511474.347</v>
      </c>
      <c r="K35" s="20">
        <f>K4/2</f>
        <v>314855040.5565</v>
      </c>
      <c r="L35" s="46">
        <v>192936333</v>
      </c>
      <c r="M35" s="190">
        <f>K35-L35</f>
        <v>121918707.5565</v>
      </c>
      <c r="N35" s="20">
        <f>N4/2</f>
        <v>272280503.519</v>
      </c>
      <c r="O35" s="46">
        <v>1415507075</v>
      </c>
      <c r="P35" s="188">
        <f>N35-O35</f>
        <v>-1143226571.481</v>
      </c>
      <c r="Q35" s="20">
        <f>Q4/2</f>
        <v>180437235.411</v>
      </c>
      <c r="R35" s="46">
        <v>3369500</v>
      </c>
      <c r="S35" s="191">
        <f>Q35-R35</f>
        <v>177067735.411</v>
      </c>
      <c r="T35" s="20">
        <f>T4/2</f>
        <v>223088833.1785</v>
      </c>
      <c r="U35" s="46">
        <v>98368000</v>
      </c>
      <c r="V35" s="192">
        <f>T35-U35</f>
        <v>124720833.1785</v>
      </c>
      <c r="W35" s="20">
        <f>W4/2</f>
        <v>219276960.385</v>
      </c>
      <c r="X35" s="46">
        <v>25175773</v>
      </c>
      <c r="Y35" s="210">
        <f>W35-X35</f>
        <v>194101187.385</v>
      </c>
      <c r="Z35" s="20">
        <f>Z4/2</f>
        <v>238372558.625</v>
      </c>
      <c r="AA35" s="46">
        <v>80842466</v>
      </c>
      <c r="AB35" s="194">
        <f>Z35-AA35</f>
        <v>157530092.625</v>
      </c>
      <c r="AC35" s="20">
        <f>AC4/2</f>
        <v>310453671.8405</v>
      </c>
      <c r="AD35" s="46">
        <v>63054170</v>
      </c>
      <c r="AE35" s="192">
        <f>AC35-AD35</f>
        <v>247399501.8405</v>
      </c>
      <c r="AF35" s="20">
        <f>AF4/2</f>
        <v>244161008.484</v>
      </c>
      <c r="AG35" s="46">
        <v>276972388</v>
      </c>
      <c r="AH35" s="191">
        <f>AF35-AG35</f>
        <v>-32811379.516</v>
      </c>
      <c r="AI35" s="20">
        <f>AI4/2</f>
        <v>197117626.2705</v>
      </c>
      <c r="AJ35" s="46">
        <v>97736739</v>
      </c>
      <c r="AK35" s="188">
        <f>AI35-AJ35</f>
        <v>99380887.2705</v>
      </c>
      <c r="AL35" s="20">
        <f>AL4/2</f>
        <v>225048749.077</v>
      </c>
      <c r="AM35" s="46">
        <v>353814353</v>
      </c>
      <c r="AN35" s="193">
        <f>AL35-AM35</f>
        <v>-128765603.923</v>
      </c>
      <c r="AO35" s="20">
        <f>AO4/2</f>
        <v>18281811.7375</v>
      </c>
      <c r="AP35" s="46">
        <v>0</v>
      </c>
      <c r="AQ35" s="194">
        <f>AO35-AP35</f>
        <v>18281811.7375</v>
      </c>
      <c r="AR35" s="20">
        <f>AR4/2</f>
        <v>7020482.4405</v>
      </c>
      <c r="AS35" s="46">
        <v>0</v>
      </c>
      <c r="AT35" s="195">
        <f>AR35-AS35</f>
        <v>7020482.4405</v>
      </c>
      <c r="AU35" s="20">
        <f>AU4/2</f>
        <v>10276796.825</v>
      </c>
      <c r="AV35" s="46" t="s">
        <v>470</v>
      </c>
      <c r="AW35" s="188" t="s">
        <v>470</v>
      </c>
    </row>
    <row r="36" ht="14.5" customHeight="1" spans="1:49">
      <c r="B36" s="23"/>
      <c r="C36" s="23"/>
      <c r="D36" s="41"/>
      <c r="E36" s="20"/>
      <c r="F36" s="41"/>
      <c r="G36" s="196"/>
      <c r="H36" s="20"/>
      <c r="I36" s="41"/>
      <c r="J36" s="197"/>
      <c r="K36" s="20"/>
      <c r="L36" s="41"/>
      <c r="M36" s="198"/>
      <c r="N36" s="20"/>
      <c r="O36" s="41"/>
      <c r="P36" s="196"/>
      <c r="Q36" s="20"/>
      <c r="R36" s="41"/>
      <c r="S36" s="199"/>
      <c r="T36" s="20"/>
      <c r="U36" s="41"/>
      <c r="V36" s="200"/>
      <c r="W36" s="20"/>
      <c r="X36" s="41"/>
      <c r="Y36" s="211"/>
      <c r="Z36" s="20"/>
      <c r="AA36" s="41"/>
      <c r="AB36" s="202"/>
      <c r="AC36" s="20"/>
      <c r="AD36" s="41"/>
      <c r="AE36" s="200"/>
      <c r="AF36" s="20"/>
      <c r="AG36" s="41"/>
      <c r="AH36" s="199"/>
      <c r="AI36" s="20"/>
      <c r="AJ36" s="41"/>
      <c r="AK36" s="196"/>
      <c r="AL36" s="20"/>
      <c r="AM36" s="41"/>
      <c r="AN36" s="201"/>
      <c r="AO36" s="20"/>
      <c r="AP36" s="41"/>
      <c r="AQ36" s="202"/>
      <c r="AR36" s="20"/>
      <c r="AS36" s="41"/>
      <c r="AT36" s="203"/>
      <c r="AU36" s="20"/>
      <c r="AV36" s="41"/>
      <c r="AW36" s="196"/>
    </row>
    <row r="37" ht="14.5" customHeight="1" spans="1:49">
      <c r="B37" s="23"/>
      <c r="C37" s="23"/>
      <c r="D37" s="41"/>
      <c r="E37" s="20"/>
      <c r="F37" s="41"/>
      <c r="G37" s="41"/>
      <c r="H37" s="99"/>
      <c r="I37" s="99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AC37" s="20"/>
      <c r="AD37" s="41"/>
      <c r="AE37" s="41"/>
    </row>
    <row r="38" ht="14.5" customHeight="1" spans="1:49">
      <c r="B38" s="23"/>
      <c r="C38" s="23"/>
      <c r="D38" s="41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AC38" s="20"/>
      <c r="AD38" s="41"/>
      <c r="AE38" s="41"/>
    </row>
    <row r="41" ht="15.75" spans="1:49">
      <c r="B41" s="105" t="s">
        <v>654</v>
      </c>
      <c r="C41" s="105"/>
    </row>
    <row r="42" spans="1:49">
      <c r="A42" s="106">
        <v>1</v>
      </c>
      <c r="B42" s="107" t="s">
        <v>655</v>
      </c>
      <c r="C42" s="107"/>
      <c r="D42" s="212" t="s">
        <v>656</v>
      </c>
      <c r="E42" s="212"/>
      <c r="F42" s="212"/>
      <c r="G42" s="212"/>
      <c r="H42" s="212"/>
      <c r="I42" s="212"/>
    </row>
    <row r="43" spans="1:49">
      <c r="A43" s="106">
        <v>2</v>
      </c>
      <c r="B43" s="107" t="s">
        <v>657</v>
      </c>
      <c r="C43" s="107"/>
      <c r="D43" s="212" t="s">
        <v>658</v>
      </c>
      <c r="E43" s="212"/>
      <c r="F43" s="212"/>
      <c r="G43" s="212"/>
      <c r="H43" s="212"/>
      <c r="I43" s="212"/>
    </row>
    <row r="44" spans="1:49">
      <c r="A44" s="106">
        <v>3</v>
      </c>
      <c r="B44" s="107" t="s">
        <v>659</v>
      </c>
      <c r="C44" s="107"/>
      <c r="D44" s="212" t="s">
        <v>660</v>
      </c>
      <c r="E44" s="212"/>
      <c r="F44" s="212"/>
      <c r="G44" s="212"/>
      <c r="H44" s="212"/>
      <c r="I44" s="212"/>
    </row>
    <row r="45" spans="1:49">
      <c r="A45" s="106">
        <v>4</v>
      </c>
      <c r="B45" s="107" t="s">
        <v>661</v>
      </c>
      <c r="C45" s="107"/>
      <c r="D45" s="212" t="s">
        <v>662</v>
      </c>
      <c r="E45" s="212"/>
      <c r="F45" s="212"/>
      <c r="G45" s="212"/>
      <c r="H45" s="212"/>
      <c r="I45" s="212"/>
    </row>
    <row r="46" spans="1:49">
      <c r="A46" s="106">
        <v>5</v>
      </c>
      <c r="B46" s="107" t="s">
        <v>663</v>
      </c>
      <c r="C46" s="107"/>
      <c r="D46" s="212" t="s">
        <v>664</v>
      </c>
      <c r="E46" s="212"/>
      <c r="F46" s="212"/>
      <c r="G46" s="212"/>
      <c r="H46" s="212"/>
      <c r="I46" s="212"/>
    </row>
    <row r="47" spans="1:49">
      <c r="A47" s="106">
        <v>6</v>
      </c>
      <c r="B47" s="107" t="s">
        <v>657</v>
      </c>
      <c r="C47" s="107"/>
      <c r="D47" s="212" t="s">
        <v>665</v>
      </c>
      <c r="E47" s="212"/>
      <c r="F47" s="212"/>
      <c r="G47" s="212"/>
      <c r="H47" s="212"/>
      <c r="I47" s="212"/>
    </row>
    <row r="48" spans="1:49">
      <c r="A48" s="106">
        <v>7</v>
      </c>
      <c r="B48" s="107" t="s">
        <v>666</v>
      </c>
      <c r="C48" s="107"/>
      <c r="D48" s="212" t="s">
        <v>667</v>
      </c>
      <c r="E48" s="212"/>
      <c r="F48" s="212"/>
      <c r="G48" s="212"/>
      <c r="H48" s="212"/>
      <c r="I48" s="212"/>
    </row>
    <row r="49" spans="1:9">
      <c r="A49" s="106">
        <v>8</v>
      </c>
      <c r="B49" s="107" t="s">
        <v>668</v>
      </c>
      <c r="C49" s="107"/>
      <c r="D49" s="212" t="s">
        <v>669</v>
      </c>
      <c r="E49" s="212"/>
      <c r="F49" s="212"/>
      <c r="G49" s="212"/>
      <c r="H49" s="212"/>
      <c r="I49" s="212"/>
    </row>
    <row r="50" spans="1:9">
      <c r="A50" s="106">
        <v>9</v>
      </c>
      <c r="B50" s="107" t="s">
        <v>670</v>
      </c>
      <c r="C50" s="107"/>
      <c r="D50" s="212" t="s">
        <v>671</v>
      </c>
      <c r="E50" s="212"/>
      <c r="F50" s="212"/>
      <c r="G50" s="212"/>
      <c r="H50" s="212"/>
      <c r="I50" s="212"/>
    </row>
    <row r="51" spans="1:9">
      <c r="A51" s="106">
        <v>10</v>
      </c>
      <c r="B51" s="107" t="s">
        <v>672</v>
      </c>
      <c r="C51" s="107"/>
      <c r="D51" s="212" t="s">
        <v>673</v>
      </c>
      <c r="E51" s="212"/>
      <c r="F51" s="212"/>
      <c r="G51" s="212"/>
      <c r="H51" s="212"/>
      <c r="I51" s="212"/>
    </row>
    <row r="52" spans="1:9">
      <c r="A52" s="106">
        <v>11</v>
      </c>
      <c r="B52" s="107" t="s">
        <v>674</v>
      </c>
      <c r="C52" s="107"/>
      <c r="D52" s="212" t="s">
        <v>675</v>
      </c>
      <c r="E52" s="212"/>
      <c r="F52" s="212"/>
      <c r="G52" s="212"/>
      <c r="H52" s="212"/>
      <c r="I52" s="212"/>
    </row>
    <row r="53" spans="1:9">
      <c r="A53" s="106">
        <v>12</v>
      </c>
      <c r="B53" s="107" t="s">
        <v>676</v>
      </c>
      <c r="C53" s="107"/>
      <c r="D53" s="212" t="s">
        <v>677</v>
      </c>
      <c r="E53" s="212"/>
      <c r="F53" s="212"/>
      <c r="G53" s="212"/>
      <c r="H53" s="212"/>
      <c r="I53" s="212"/>
    </row>
    <row r="54" spans="1:9">
      <c r="A54" s="106">
        <v>13</v>
      </c>
      <c r="B54" s="107" t="s">
        <v>678</v>
      </c>
      <c r="C54" s="107"/>
      <c r="D54" s="212" t="s">
        <v>679</v>
      </c>
      <c r="E54" s="212"/>
      <c r="F54" s="212"/>
      <c r="G54" s="212"/>
      <c r="H54" s="212"/>
      <c r="I54" s="212"/>
    </row>
    <row r="55" spans="1:9">
      <c r="A55" s="106">
        <v>14</v>
      </c>
      <c r="B55" s="107" t="s">
        <v>680</v>
      </c>
      <c r="C55" s="107"/>
      <c r="D55" s="212" t="s">
        <v>681</v>
      </c>
      <c r="E55" s="212"/>
      <c r="F55" s="212"/>
      <c r="G55" s="212"/>
      <c r="H55" s="212"/>
      <c r="I55" s="212"/>
    </row>
    <row r="56" spans="1:9">
      <c r="A56" s="106">
        <v>15</v>
      </c>
      <c r="B56" s="107" t="s">
        <v>682</v>
      </c>
      <c r="C56" s="107"/>
      <c r="D56" s="212" t="s">
        <v>683</v>
      </c>
      <c r="E56" s="212"/>
      <c r="F56" s="212"/>
      <c r="G56" s="212"/>
      <c r="H56" s="212"/>
      <c r="I56" s="212"/>
    </row>
    <row r="57" spans="1:9">
      <c r="A57" s="106">
        <v>16</v>
      </c>
      <c r="B57" s="107" t="s">
        <v>684</v>
      </c>
      <c r="C57" s="107"/>
      <c r="D57" s="212" t="s">
        <v>685</v>
      </c>
      <c r="E57" s="212"/>
      <c r="F57" s="212"/>
      <c r="G57" s="212"/>
      <c r="H57" s="212"/>
      <c r="I57" s="212"/>
    </row>
    <row r="58" spans="1:9">
      <c r="A58" s="106">
        <v>17</v>
      </c>
      <c r="B58" s="107" t="s">
        <v>686</v>
      </c>
      <c r="C58" s="107"/>
      <c r="D58" s="212" t="s">
        <v>687</v>
      </c>
      <c r="E58" s="212"/>
      <c r="F58" s="212"/>
      <c r="G58" s="212"/>
      <c r="H58" s="212"/>
      <c r="I58" s="212"/>
    </row>
  </sheetData>
  <mergeCells count="581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B41:C41"/>
    <mergeCell ref="B42:C42"/>
    <mergeCell ref="D42:I42"/>
    <mergeCell ref="B43:C43"/>
    <mergeCell ref="D43:I43"/>
    <mergeCell ref="B44:C44"/>
    <mergeCell ref="D44:I44"/>
    <mergeCell ref="B45:C45"/>
    <mergeCell ref="D45:I45"/>
    <mergeCell ref="B46:C46"/>
    <mergeCell ref="D46:I46"/>
    <mergeCell ref="B47:C47"/>
    <mergeCell ref="D47:I47"/>
    <mergeCell ref="B48:C48"/>
    <mergeCell ref="D48:I48"/>
    <mergeCell ref="B49:C49"/>
    <mergeCell ref="D49:I49"/>
    <mergeCell ref="B50:C50"/>
    <mergeCell ref="D50:I50"/>
    <mergeCell ref="B51:C51"/>
    <mergeCell ref="D51:I51"/>
    <mergeCell ref="B52:C52"/>
    <mergeCell ref="D52:I52"/>
    <mergeCell ref="B53:C53"/>
    <mergeCell ref="D53:I53"/>
    <mergeCell ref="B54:C54"/>
    <mergeCell ref="D54:I54"/>
    <mergeCell ref="B55:C55"/>
    <mergeCell ref="D55:I55"/>
    <mergeCell ref="B56:C56"/>
    <mergeCell ref="D56:I56"/>
    <mergeCell ref="B57:C57"/>
    <mergeCell ref="D57:I57"/>
    <mergeCell ref="B58:C58"/>
    <mergeCell ref="D58:I58"/>
    <mergeCell ref="A4:A5"/>
    <mergeCell ref="A8:A9"/>
    <mergeCell ref="A11:A12"/>
    <mergeCell ref="A14:A15"/>
    <mergeCell ref="A17:A18"/>
    <mergeCell ref="A20:A21"/>
    <mergeCell ref="A23:A24"/>
    <mergeCell ref="A26:A27"/>
    <mergeCell ref="A29:A30"/>
    <mergeCell ref="A32:A33"/>
    <mergeCell ref="A35:A36"/>
    <mergeCell ref="B4:B5"/>
    <mergeCell ref="B8:B9"/>
    <mergeCell ref="B11:B12"/>
    <mergeCell ref="B14:B15"/>
    <mergeCell ref="B17:B18"/>
    <mergeCell ref="B20:B21"/>
    <mergeCell ref="B23:B24"/>
    <mergeCell ref="B26:B27"/>
    <mergeCell ref="B29:B30"/>
    <mergeCell ref="B32:B33"/>
    <mergeCell ref="B35:B36"/>
    <mergeCell ref="C14:C15"/>
    <mergeCell ref="C35:C36"/>
    <mergeCell ref="D4:D5"/>
    <mergeCell ref="D8:D9"/>
    <mergeCell ref="D11:D12"/>
    <mergeCell ref="D14:D15"/>
    <mergeCell ref="D17:D18"/>
    <mergeCell ref="D20:D21"/>
    <mergeCell ref="D23:D24"/>
    <mergeCell ref="D26:D27"/>
    <mergeCell ref="D29:D30"/>
    <mergeCell ref="D32:D33"/>
    <mergeCell ref="D35:D36"/>
    <mergeCell ref="E4:E5"/>
    <mergeCell ref="E8:E9"/>
    <mergeCell ref="E11:E12"/>
    <mergeCell ref="E14:E15"/>
    <mergeCell ref="E17:E18"/>
    <mergeCell ref="E20:E21"/>
    <mergeCell ref="E23:E24"/>
    <mergeCell ref="E26:E27"/>
    <mergeCell ref="E29:E30"/>
    <mergeCell ref="E32:E33"/>
    <mergeCell ref="E35:E36"/>
    <mergeCell ref="F4:F5"/>
    <mergeCell ref="F8:F9"/>
    <mergeCell ref="F11:F12"/>
    <mergeCell ref="F14:F15"/>
    <mergeCell ref="F17:F18"/>
    <mergeCell ref="F20:F21"/>
    <mergeCell ref="F23:F24"/>
    <mergeCell ref="F26:F27"/>
    <mergeCell ref="F29:F30"/>
    <mergeCell ref="F32:F33"/>
    <mergeCell ref="F35:F36"/>
    <mergeCell ref="G4:G5"/>
    <mergeCell ref="G8:G9"/>
    <mergeCell ref="G11:G12"/>
    <mergeCell ref="G14:G15"/>
    <mergeCell ref="G17:G18"/>
    <mergeCell ref="G20:G21"/>
    <mergeCell ref="G23:G24"/>
    <mergeCell ref="G26:G27"/>
    <mergeCell ref="G29:G30"/>
    <mergeCell ref="G32:G33"/>
    <mergeCell ref="G35:G36"/>
    <mergeCell ref="H4:H5"/>
    <mergeCell ref="H8:H9"/>
    <mergeCell ref="H11:H12"/>
    <mergeCell ref="H14:H15"/>
    <mergeCell ref="H17:H18"/>
    <mergeCell ref="H20:H21"/>
    <mergeCell ref="H23:H24"/>
    <mergeCell ref="H26:H27"/>
    <mergeCell ref="H29:H30"/>
    <mergeCell ref="H32:H33"/>
    <mergeCell ref="H35:H36"/>
    <mergeCell ref="I4:I5"/>
    <mergeCell ref="I8:I9"/>
    <mergeCell ref="I11:I12"/>
    <mergeCell ref="I14:I15"/>
    <mergeCell ref="I17:I18"/>
    <mergeCell ref="I20:I21"/>
    <mergeCell ref="I23:I24"/>
    <mergeCell ref="I26:I27"/>
    <mergeCell ref="I29:I30"/>
    <mergeCell ref="I32:I33"/>
    <mergeCell ref="I35:I36"/>
    <mergeCell ref="J4:J5"/>
    <mergeCell ref="J8:J9"/>
    <mergeCell ref="J11:J12"/>
    <mergeCell ref="J14:J15"/>
    <mergeCell ref="J17:J18"/>
    <mergeCell ref="J20:J21"/>
    <mergeCell ref="J23:J24"/>
    <mergeCell ref="J26:J27"/>
    <mergeCell ref="J29:J30"/>
    <mergeCell ref="J32:J33"/>
    <mergeCell ref="J35:J36"/>
    <mergeCell ref="K4:K5"/>
    <mergeCell ref="K8:K9"/>
    <mergeCell ref="K11:K12"/>
    <mergeCell ref="K14:K15"/>
    <mergeCell ref="K17:K18"/>
    <mergeCell ref="K20:K21"/>
    <mergeCell ref="K23:K24"/>
    <mergeCell ref="K26:K27"/>
    <mergeCell ref="K29:K30"/>
    <mergeCell ref="K32:K33"/>
    <mergeCell ref="K35:K36"/>
    <mergeCell ref="L4:L5"/>
    <mergeCell ref="L8:L9"/>
    <mergeCell ref="L11:L12"/>
    <mergeCell ref="L14:L15"/>
    <mergeCell ref="L17:L18"/>
    <mergeCell ref="L20:L21"/>
    <mergeCell ref="L23:L24"/>
    <mergeCell ref="L26:L27"/>
    <mergeCell ref="L29:L30"/>
    <mergeCell ref="L32:L33"/>
    <mergeCell ref="L35:L36"/>
    <mergeCell ref="M4:M5"/>
    <mergeCell ref="M8:M9"/>
    <mergeCell ref="M11:M12"/>
    <mergeCell ref="M14:M15"/>
    <mergeCell ref="M17:M18"/>
    <mergeCell ref="M20:M21"/>
    <mergeCell ref="M23:M24"/>
    <mergeCell ref="M26:M27"/>
    <mergeCell ref="M29:M30"/>
    <mergeCell ref="M32:M33"/>
    <mergeCell ref="M35:M36"/>
    <mergeCell ref="N4:N5"/>
    <mergeCell ref="N8:N9"/>
    <mergeCell ref="N11:N12"/>
    <mergeCell ref="N14:N15"/>
    <mergeCell ref="N17:N18"/>
    <mergeCell ref="N20:N21"/>
    <mergeCell ref="N23:N24"/>
    <mergeCell ref="N26:N27"/>
    <mergeCell ref="N29:N30"/>
    <mergeCell ref="N32:N33"/>
    <mergeCell ref="N35:N36"/>
    <mergeCell ref="O4:O5"/>
    <mergeCell ref="O8:O9"/>
    <mergeCell ref="O11:O12"/>
    <mergeCell ref="O14:O15"/>
    <mergeCell ref="O17:O18"/>
    <mergeCell ref="O20:O21"/>
    <mergeCell ref="O23:O24"/>
    <mergeCell ref="O26:O27"/>
    <mergeCell ref="O29:O30"/>
    <mergeCell ref="O32:O33"/>
    <mergeCell ref="O35:O36"/>
    <mergeCell ref="P4:P5"/>
    <mergeCell ref="P8:P9"/>
    <mergeCell ref="P11:P12"/>
    <mergeCell ref="P14:P15"/>
    <mergeCell ref="P17:P18"/>
    <mergeCell ref="P20:P21"/>
    <mergeCell ref="P23:P24"/>
    <mergeCell ref="P26:P27"/>
    <mergeCell ref="P29:P30"/>
    <mergeCell ref="P32:P33"/>
    <mergeCell ref="P35:P36"/>
    <mergeCell ref="Q4:Q5"/>
    <mergeCell ref="Q8:Q9"/>
    <mergeCell ref="Q11:Q12"/>
    <mergeCell ref="Q14:Q15"/>
    <mergeCell ref="Q17:Q18"/>
    <mergeCell ref="Q20:Q21"/>
    <mergeCell ref="Q23:Q24"/>
    <mergeCell ref="Q26:Q27"/>
    <mergeCell ref="Q29:Q30"/>
    <mergeCell ref="Q32:Q33"/>
    <mergeCell ref="Q35:Q36"/>
    <mergeCell ref="R4:R5"/>
    <mergeCell ref="R8:R9"/>
    <mergeCell ref="R11:R12"/>
    <mergeCell ref="R14:R15"/>
    <mergeCell ref="R17:R18"/>
    <mergeCell ref="R20:R21"/>
    <mergeCell ref="R23:R24"/>
    <mergeCell ref="R26:R27"/>
    <mergeCell ref="R29:R30"/>
    <mergeCell ref="R32:R33"/>
    <mergeCell ref="R35:R36"/>
    <mergeCell ref="S4:S5"/>
    <mergeCell ref="S8:S9"/>
    <mergeCell ref="S11:S12"/>
    <mergeCell ref="S14:S15"/>
    <mergeCell ref="S17:S18"/>
    <mergeCell ref="S20:S21"/>
    <mergeCell ref="S23:S24"/>
    <mergeCell ref="S26:S27"/>
    <mergeCell ref="S29:S30"/>
    <mergeCell ref="S32:S33"/>
    <mergeCell ref="S35:S36"/>
    <mergeCell ref="T4:T5"/>
    <mergeCell ref="T8:T9"/>
    <mergeCell ref="T11:T12"/>
    <mergeCell ref="T14:T15"/>
    <mergeCell ref="T17:T18"/>
    <mergeCell ref="T20:T21"/>
    <mergeCell ref="T23:T24"/>
    <mergeCell ref="T26:T27"/>
    <mergeCell ref="T29:T30"/>
    <mergeCell ref="T32:T33"/>
    <mergeCell ref="T35:T36"/>
    <mergeCell ref="U4:U5"/>
    <mergeCell ref="U8:U9"/>
    <mergeCell ref="U11:U12"/>
    <mergeCell ref="U14:U15"/>
    <mergeCell ref="U17:U18"/>
    <mergeCell ref="U20:U21"/>
    <mergeCell ref="U23:U24"/>
    <mergeCell ref="U26:U27"/>
    <mergeCell ref="U29:U30"/>
    <mergeCell ref="U32:U33"/>
    <mergeCell ref="U35:U36"/>
    <mergeCell ref="V4:V5"/>
    <mergeCell ref="V8:V9"/>
    <mergeCell ref="V11:V12"/>
    <mergeCell ref="V14:V15"/>
    <mergeCell ref="V17:V18"/>
    <mergeCell ref="V20:V21"/>
    <mergeCell ref="V23:V24"/>
    <mergeCell ref="V26:V27"/>
    <mergeCell ref="V29:V30"/>
    <mergeCell ref="V32:V33"/>
    <mergeCell ref="V35:V36"/>
    <mergeCell ref="W4:W5"/>
    <mergeCell ref="W8:W9"/>
    <mergeCell ref="W11:W12"/>
    <mergeCell ref="W14:W15"/>
    <mergeCell ref="W17:W18"/>
    <mergeCell ref="W20:W21"/>
    <mergeCell ref="W23:W24"/>
    <mergeCell ref="W26:W27"/>
    <mergeCell ref="W29:W30"/>
    <mergeCell ref="W32:W33"/>
    <mergeCell ref="W35:W36"/>
    <mergeCell ref="X4:X5"/>
    <mergeCell ref="X8:X9"/>
    <mergeCell ref="X11:X12"/>
    <mergeCell ref="X14:X15"/>
    <mergeCell ref="X17:X18"/>
    <mergeCell ref="X20:X21"/>
    <mergeCell ref="X23:X24"/>
    <mergeCell ref="X26:X27"/>
    <mergeCell ref="X29:X30"/>
    <mergeCell ref="X32:X33"/>
    <mergeCell ref="X35:X36"/>
    <mergeCell ref="Y4:Y5"/>
    <mergeCell ref="Y8:Y9"/>
    <mergeCell ref="Y11:Y12"/>
    <mergeCell ref="Y14:Y15"/>
    <mergeCell ref="Y17:Y18"/>
    <mergeCell ref="Y20:Y21"/>
    <mergeCell ref="Y23:Y24"/>
    <mergeCell ref="Y26:Y27"/>
    <mergeCell ref="Y29:Y30"/>
    <mergeCell ref="Y32:Y33"/>
    <mergeCell ref="Y35:Y36"/>
    <mergeCell ref="Z4:Z5"/>
    <mergeCell ref="Z8:Z9"/>
    <mergeCell ref="Z11:Z12"/>
    <mergeCell ref="Z14:Z15"/>
    <mergeCell ref="Z17:Z18"/>
    <mergeCell ref="Z20:Z21"/>
    <mergeCell ref="Z23:Z24"/>
    <mergeCell ref="Z26:Z27"/>
    <mergeCell ref="Z29:Z30"/>
    <mergeCell ref="Z32:Z33"/>
    <mergeCell ref="Z35:Z36"/>
    <mergeCell ref="AA4:AA5"/>
    <mergeCell ref="AA8:AA9"/>
    <mergeCell ref="AA11:AA12"/>
    <mergeCell ref="AA14:AA15"/>
    <mergeCell ref="AA17:AA18"/>
    <mergeCell ref="AA20:AA21"/>
    <mergeCell ref="AA23:AA24"/>
    <mergeCell ref="AA26:AA27"/>
    <mergeCell ref="AA29:AA30"/>
    <mergeCell ref="AA32:AA33"/>
    <mergeCell ref="AA35:AA36"/>
    <mergeCell ref="AB4:AB5"/>
    <mergeCell ref="AB8:AB9"/>
    <mergeCell ref="AB11:AB12"/>
    <mergeCell ref="AB14:AB15"/>
    <mergeCell ref="AB17:AB18"/>
    <mergeCell ref="AB20:AB21"/>
    <mergeCell ref="AB23:AB24"/>
    <mergeCell ref="AB26:AB27"/>
    <mergeCell ref="AB29:AB30"/>
    <mergeCell ref="AB32:AB33"/>
    <mergeCell ref="AB35:AB36"/>
    <mergeCell ref="AC4:AC5"/>
    <mergeCell ref="AC8:AC9"/>
    <mergeCell ref="AC11:AC12"/>
    <mergeCell ref="AC14:AC15"/>
    <mergeCell ref="AC17:AC18"/>
    <mergeCell ref="AC20:AC21"/>
    <mergeCell ref="AC23:AC24"/>
    <mergeCell ref="AC26:AC27"/>
    <mergeCell ref="AC29:AC30"/>
    <mergeCell ref="AC32:AC33"/>
    <mergeCell ref="AC35:AC36"/>
    <mergeCell ref="AD4:AD5"/>
    <mergeCell ref="AD8:AD9"/>
    <mergeCell ref="AD11:AD12"/>
    <mergeCell ref="AD14:AD15"/>
    <mergeCell ref="AD17:AD18"/>
    <mergeCell ref="AD20:AD21"/>
    <mergeCell ref="AD23:AD24"/>
    <mergeCell ref="AD26:AD27"/>
    <mergeCell ref="AD29:AD30"/>
    <mergeCell ref="AD32:AD33"/>
    <mergeCell ref="AD35:AD36"/>
    <mergeCell ref="AE4:AE5"/>
    <mergeCell ref="AE8:AE9"/>
    <mergeCell ref="AE11:AE12"/>
    <mergeCell ref="AE14:AE15"/>
    <mergeCell ref="AE17:AE18"/>
    <mergeCell ref="AE20:AE21"/>
    <mergeCell ref="AE23:AE24"/>
    <mergeCell ref="AE26:AE27"/>
    <mergeCell ref="AE29:AE30"/>
    <mergeCell ref="AE32:AE33"/>
    <mergeCell ref="AE35:AE36"/>
    <mergeCell ref="AF4:AF5"/>
    <mergeCell ref="AF8:AF9"/>
    <mergeCell ref="AF11:AF12"/>
    <mergeCell ref="AF14:AF15"/>
    <mergeCell ref="AF17:AF18"/>
    <mergeCell ref="AF20:AF21"/>
    <mergeCell ref="AF23:AF24"/>
    <mergeCell ref="AF26:AF27"/>
    <mergeCell ref="AF29:AF30"/>
    <mergeCell ref="AF32:AF33"/>
    <mergeCell ref="AF35:AF36"/>
    <mergeCell ref="AG4:AG5"/>
    <mergeCell ref="AG8:AG9"/>
    <mergeCell ref="AG11:AG12"/>
    <mergeCell ref="AG14:AG15"/>
    <mergeCell ref="AG17:AG18"/>
    <mergeCell ref="AG20:AG21"/>
    <mergeCell ref="AG23:AG24"/>
    <mergeCell ref="AG26:AG27"/>
    <mergeCell ref="AG29:AG30"/>
    <mergeCell ref="AG32:AG33"/>
    <mergeCell ref="AG35:AG36"/>
    <mergeCell ref="AH4:AH5"/>
    <mergeCell ref="AH8:AH9"/>
    <mergeCell ref="AH11:AH12"/>
    <mergeCell ref="AH14:AH15"/>
    <mergeCell ref="AH17:AH18"/>
    <mergeCell ref="AH20:AH21"/>
    <mergeCell ref="AH23:AH24"/>
    <mergeCell ref="AH26:AH27"/>
    <mergeCell ref="AH29:AH30"/>
    <mergeCell ref="AH32:AH33"/>
    <mergeCell ref="AH35:AH36"/>
    <mergeCell ref="AI4:AI5"/>
    <mergeCell ref="AI8:AI9"/>
    <mergeCell ref="AI11:AI12"/>
    <mergeCell ref="AI14:AI15"/>
    <mergeCell ref="AI17:AI18"/>
    <mergeCell ref="AI20:AI21"/>
    <mergeCell ref="AI23:AI24"/>
    <mergeCell ref="AI26:AI27"/>
    <mergeCell ref="AI29:AI30"/>
    <mergeCell ref="AI32:AI33"/>
    <mergeCell ref="AI35:AI36"/>
    <mergeCell ref="AJ4:AJ5"/>
    <mergeCell ref="AJ8:AJ9"/>
    <mergeCell ref="AJ11:AJ12"/>
    <mergeCell ref="AJ14:AJ15"/>
    <mergeCell ref="AJ17:AJ18"/>
    <mergeCell ref="AJ20:AJ21"/>
    <mergeCell ref="AJ23:AJ24"/>
    <mergeCell ref="AJ26:AJ27"/>
    <mergeCell ref="AJ29:AJ30"/>
    <mergeCell ref="AJ32:AJ33"/>
    <mergeCell ref="AJ35:AJ36"/>
    <mergeCell ref="AK4:AK5"/>
    <mergeCell ref="AK8:AK9"/>
    <mergeCell ref="AK11:AK12"/>
    <mergeCell ref="AK14:AK15"/>
    <mergeCell ref="AK17:AK18"/>
    <mergeCell ref="AK20:AK21"/>
    <mergeCell ref="AK23:AK24"/>
    <mergeCell ref="AK26:AK27"/>
    <mergeCell ref="AK29:AK30"/>
    <mergeCell ref="AK32:AK33"/>
    <mergeCell ref="AK35:AK36"/>
    <mergeCell ref="AL4:AL5"/>
    <mergeCell ref="AL8:AL9"/>
    <mergeCell ref="AL11:AL12"/>
    <mergeCell ref="AL14:AL15"/>
    <mergeCell ref="AL17:AL18"/>
    <mergeCell ref="AL20:AL21"/>
    <mergeCell ref="AL23:AL24"/>
    <mergeCell ref="AL26:AL27"/>
    <mergeCell ref="AL29:AL30"/>
    <mergeCell ref="AL32:AL33"/>
    <mergeCell ref="AL35:AL36"/>
    <mergeCell ref="AM4:AM5"/>
    <mergeCell ref="AM8:AM9"/>
    <mergeCell ref="AM11:AM12"/>
    <mergeCell ref="AM14:AM15"/>
    <mergeCell ref="AM17:AM18"/>
    <mergeCell ref="AM20:AM21"/>
    <mergeCell ref="AM23:AM24"/>
    <mergeCell ref="AM26:AM27"/>
    <mergeCell ref="AM29:AM30"/>
    <mergeCell ref="AM32:AM33"/>
    <mergeCell ref="AM35:AM36"/>
    <mergeCell ref="AN4:AN5"/>
    <mergeCell ref="AN8:AN9"/>
    <mergeCell ref="AN11:AN12"/>
    <mergeCell ref="AN14:AN15"/>
    <mergeCell ref="AN17:AN18"/>
    <mergeCell ref="AN20:AN21"/>
    <mergeCell ref="AN23:AN24"/>
    <mergeCell ref="AN26:AN27"/>
    <mergeCell ref="AN29:AN30"/>
    <mergeCell ref="AN32:AN33"/>
    <mergeCell ref="AN35:AN36"/>
    <mergeCell ref="AO4:AO5"/>
    <mergeCell ref="AO8:AO9"/>
    <mergeCell ref="AO11:AO12"/>
    <mergeCell ref="AO14:AO15"/>
    <mergeCell ref="AO17:AO18"/>
    <mergeCell ref="AO20:AO21"/>
    <mergeCell ref="AO23:AO24"/>
    <mergeCell ref="AO26:AO27"/>
    <mergeCell ref="AO29:AO30"/>
    <mergeCell ref="AO32:AO33"/>
    <mergeCell ref="AO35:AO36"/>
    <mergeCell ref="AP4:AP5"/>
    <mergeCell ref="AP8:AP9"/>
    <mergeCell ref="AP11:AP12"/>
    <mergeCell ref="AP14:AP15"/>
    <mergeCell ref="AP17:AP18"/>
    <mergeCell ref="AP20:AP21"/>
    <mergeCell ref="AP23:AP24"/>
    <mergeCell ref="AP26:AP27"/>
    <mergeCell ref="AP29:AP30"/>
    <mergeCell ref="AP32:AP33"/>
    <mergeCell ref="AP35:AP36"/>
    <mergeCell ref="AQ4:AQ5"/>
    <mergeCell ref="AQ8:AQ9"/>
    <mergeCell ref="AQ11:AQ12"/>
    <mergeCell ref="AQ14:AQ15"/>
    <mergeCell ref="AQ17:AQ18"/>
    <mergeCell ref="AQ20:AQ21"/>
    <mergeCell ref="AQ23:AQ24"/>
    <mergeCell ref="AQ26:AQ27"/>
    <mergeCell ref="AQ29:AQ30"/>
    <mergeCell ref="AQ32:AQ33"/>
    <mergeCell ref="AQ35:AQ36"/>
    <mergeCell ref="AR4:AR5"/>
    <mergeCell ref="AR8:AR9"/>
    <mergeCell ref="AR11:AR12"/>
    <mergeCell ref="AR14:AR15"/>
    <mergeCell ref="AR17:AR18"/>
    <mergeCell ref="AR20:AR21"/>
    <mergeCell ref="AR23:AR24"/>
    <mergeCell ref="AR26:AR27"/>
    <mergeCell ref="AR29:AR30"/>
    <mergeCell ref="AR32:AR33"/>
    <mergeCell ref="AR35:AR36"/>
    <mergeCell ref="AS4:AS5"/>
    <mergeCell ref="AS8:AS9"/>
    <mergeCell ref="AS11:AS12"/>
    <mergeCell ref="AS14:AS15"/>
    <mergeCell ref="AS17:AS18"/>
    <mergeCell ref="AS20:AS21"/>
    <mergeCell ref="AS23:AS24"/>
    <mergeCell ref="AS26:AS27"/>
    <mergeCell ref="AS29:AS30"/>
    <mergeCell ref="AS32:AS33"/>
    <mergeCell ref="AS35:AS36"/>
    <mergeCell ref="AT4:AT5"/>
    <mergeCell ref="AT8:AT9"/>
    <mergeCell ref="AT11:AT12"/>
    <mergeCell ref="AT14:AT15"/>
    <mergeCell ref="AT17:AT18"/>
    <mergeCell ref="AT20:AT21"/>
    <mergeCell ref="AT23:AT24"/>
    <mergeCell ref="AT26:AT27"/>
    <mergeCell ref="AT29:AT30"/>
    <mergeCell ref="AT32:AT33"/>
    <mergeCell ref="AT35:AT36"/>
    <mergeCell ref="AU4:AU5"/>
    <mergeCell ref="AU8:AU9"/>
    <mergeCell ref="AU11:AU12"/>
    <mergeCell ref="AU14:AU15"/>
    <mergeCell ref="AU17:AU18"/>
    <mergeCell ref="AU20:AU21"/>
    <mergeCell ref="AU23:AU24"/>
    <mergeCell ref="AU26:AU27"/>
    <mergeCell ref="AU29:AU30"/>
    <mergeCell ref="AU32:AU33"/>
    <mergeCell ref="AU35:AU36"/>
    <mergeCell ref="AV4:AV5"/>
    <mergeCell ref="AV8:AV9"/>
    <mergeCell ref="AV11:AV12"/>
    <mergeCell ref="AV14:AV15"/>
    <mergeCell ref="AV17:AV18"/>
    <mergeCell ref="AV20:AV21"/>
    <mergeCell ref="AV23:AV24"/>
    <mergeCell ref="AV26:AV27"/>
    <mergeCell ref="AV29:AV30"/>
    <mergeCell ref="AV32:AV33"/>
    <mergeCell ref="AV35:AV36"/>
    <mergeCell ref="AW4:AW5"/>
    <mergeCell ref="AW8:AW9"/>
    <mergeCell ref="AW11:AW12"/>
    <mergeCell ref="AW14:AW15"/>
    <mergeCell ref="AW17:AW18"/>
    <mergeCell ref="AW20:AW21"/>
    <mergeCell ref="AW23:AW24"/>
    <mergeCell ref="AW26:AW27"/>
    <mergeCell ref="AW29:AW30"/>
    <mergeCell ref="AW32:AW33"/>
    <mergeCell ref="AW35:AW36"/>
  </mergeCells>
  <pageMargins left="0.7" right="0.7" top="0.75" bottom="0.75" header="0.3" footer="0.3"/>
  <pageSetup paperSize="1" orientation="portrait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53"/>
  <sheetViews>
    <sheetView topLeftCell="B1" workbookViewId="0">
      <selection activeCell="AB62" sqref="AB62"/>
    </sheetView>
  </sheetViews>
  <sheetFormatPr defaultColWidth="9" defaultRowHeight="15"/>
  <cols>
    <col min="1" max="1" width="5.36190476190476" style="2" hidden="1" customWidth="1"/>
    <col min="2" max="2" width="21.6285714285714" customWidth="1"/>
    <col min="3" max="3" width="22.3619047619048" hidden="1" customWidth="1"/>
    <col min="4" max="4" width="10.2666666666667" style="2" hidden="1" customWidth="1"/>
    <col min="5" max="5" width="14.7238095238095" style="2" hidden="1" customWidth="1"/>
    <col min="6" max="6" width="15.1809523809524" style="2" hidden="1" customWidth="1"/>
    <col min="7" max="7" width="11.9047619047619" style="2" customWidth="1"/>
    <col min="8" max="8" width="14.5428571428571" hidden="1" customWidth="1"/>
    <col min="9" max="9" width="14.7238095238095" hidden="1" customWidth="1"/>
    <col min="10" max="10" width="11.8190476190476" customWidth="1"/>
    <col min="11" max="11" width="13.8190476190476" hidden="1" customWidth="1"/>
    <col min="12" max="12" width="14.0857142857143" hidden="1" customWidth="1"/>
    <col min="13" max="13" width="12" customWidth="1"/>
    <col min="14" max="14" width="14.5428571428571" hidden="1" customWidth="1"/>
    <col min="15" max="15" width="14.7238095238095" hidden="1" customWidth="1"/>
    <col min="16" max="16" width="12.8190476190476" customWidth="1"/>
    <col min="17" max="17" width="13.2666666666667" hidden="1" customWidth="1"/>
    <col min="18" max="18" width="13.7238095238095" hidden="1" customWidth="1"/>
    <col min="19" max="19" width="12.1809523809524" customWidth="1"/>
    <col min="20" max="20" width="14.5428571428571" hidden="1" customWidth="1"/>
    <col min="21" max="21" width="14.7238095238095" hidden="1" customWidth="1"/>
    <col min="22" max="22" width="12.2666666666667" customWidth="1"/>
    <col min="23" max="23" width="14.5428571428571" hidden="1" customWidth="1"/>
    <col min="24" max="24" width="14.7238095238095" hidden="1" customWidth="1"/>
    <col min="25" max="25" width="12.1809523809524" customWidth="1"/>
    <col min="26" max="26" width="14.1809523809524" hidden="1" customWidth="1"/>
    <col min="27" max="27" width="13.0857142857143" hidden="1" customWidth="1"/>
    <col min="28" max="28" width="12.6285714285714" customWidth="1"/>
    <col min="29" max="29" width="15.8190476190476" hidden="1" customWidth="1"/>
    <col min="30" max="30" width="14.9047619047619" hidden="1" customWidth="1"/>
    <col min="31" max="31" width="12.5428571428571" customWidth="1"/>
    <col min="32" max="32" width="13.0857142857143" hidden="1" customWidth="1"/>
    <col min="33" max="33" width="13.7238095238095" hidden="1" customWidth="1"/>
    <col min="34" max="34" width="11.7238095238095" customWidth="1"/>
    <col min="35" max="35" width="15.2666666666667" hidden="1" customWidth="1"/>
    <col min="36" max="36" width="13.9047619047619" hidden="1" customWidth="1"/>
    <col min="37" max="37" width="10.6285714285714" customWidth="1"/>
    <col min="38" max="38" width="14.3619047619048" hidden="1" customWidth="1"/>
    <col min="39" max="39" width="13.9047619047619" hidden="1" customWidth="1"/>
    <col min="40" max="40" width="11.3619047619048" customWidth="1"/>
    <col min="41" max="41" width="13.7238095238095" hidden="1" customWidth="1"/>
    <col min="42" max="42" width="12.2666666666667" hidden="1" customWidth="1"/>
    <col min="43" max="43" width="11.3619047619048" customWidth="1"/>
    <col min="44" max="44" width="13.7238095238095" hidden="1" customWidth="1"/>
    <col min="45" max="45" width="12.2666666666667" hidden="1" customWidth="1"/>
    <col min="46" max="46" width="10.2666666666667" customWidth="1"/>
    <col min="47" max="47" width="14.6285714285714" hidden="1" customWidth="1"/>
    <col min="48" max="48" width="13.6285714285714" hidden="1" customWidth="1"/>
    <col min="49" max="49" width="11.0857142857143" customWidth="1"/>
  </cols>
  <sheetData>
    <row r="1" s="115" customFormat="1" ht="74.5" customHeight="1" spans="1:49">
      <c r="A1" s="116" t="s">
        <v>632</v>
      </c>
      <c r="B1" s="116"/>
      <c r="C1" s="116"/>
      <c r="D1" s="116"/>
      <c r="E1" s="95" t="s">
        <v>633</v>
      </c>
      <c r="F1" s="95"/>
      <c r="G1" s="95"/>
      <c r="H1" s="117" t="s">
        <v>634</v>
      </c>
      <c r="I1" s="117"/>
      <c r="J1" s="117"/>
      <c r="K1" s="118" t="s">
        <v>635</v>
      </c>
      <c r="L1" s="119"/>
      <c r="M1" s="120"/>
      <c r="N1" s="95" t="s">
        <v>636</v>
      </c>
      <c r="O1" s="95"/>
      <c r="P1" s="95"/>
      <c r="Q1" s="121" t="s">
        <v>637</v>
      </c>
      <c r="R1" s="121"/>
      <c r="S1" s="121"/>
      <c r="T1" s="122" t="s">
        <v>638</v>
      </c>
      <c r="U1" s="122"/>
      <c r="V1" s="122"/>
      <c r="W1" s="123" t="s">
        <v>639</v>
      </c>
      <c r="X1" s="123"/>
      <c r="Y1" s="123"/>
      <c r="Z1" s="124" t="s">
        <v>640</v>
      </c>
      <c r="AA1" s="124"/>
      <c r="AB1" s="124"/>
      <c r="AC1" s="122" t="s">
        <v>641</v>
      </c>
      <c r="AD1" s="122"/>
      <c r="AE1" s="122"/>
      <c r="AF1" s="121" t="s">
        <v>642</v>
      </c>
      <c r="AG1" s="121"/>
      <c r="AH1" s="121"/>
      <c r="AI1" s="95" t="s">
        <v>643</v>
      </c>
      <c r="AJ1" s="95"/>
      <c r="AK1" s="95"/>
      <c r="AL1" s="125" t="s">
        <v>644</v>
      </c>
      <c r="AM1" s="125"/>
      <c r="AN1" s="125"/>
      <c r="AO1" s="124" t="s">
        <v>645</v>
      </c>
      <c r="AP1" s="124"/>
      <c r="AQ1" s="124"/>
      <c r="AR1" s="126" t="s">
        <v>646</v>
      </c>
      <c r="AS1" s="126"/>
      <c r="AT1" s="126"/>
      <c r="AU1" s="95" t="s">
        <v>647</v>
      </c>
      <c r="AV1" s="95"/>
      <c r="AW1" s="95"/>
    </row>
    <row r="2" s="45" customFormat="1" ht="17" hidden="1" customHeight="1" spans="1:49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5" t="s">
        <v>160</v>
      </c>
      <c r="H2" s="127" t="s">
        <v>158</v>
      </c>
      <c r="I2" s="127" t="s">
        <v>159</v>
      </c>
      <c r="J2" s="127" t="s">
        <v>160</v>
      </c>
      <c r="K2" s="36" t="s">
        <v>158</v>
      </c>
      <c r="L2" s="36" t="s">
        <v>159</v>
      </c>
      <c r="M2" s="36" t="s">
        <v>160</v>
      </c>
      <c r="N2" s="35" t="s">
        <v>158</v>
      </c>
      <c r="O2" s="35" t="s">
        <v>159</v>
      </c>
      <c r="P2" s="35" t="s">
        <v>160</v>
      </c>
      <c r="Q2" s="128" t="s">
        <v>158</v>
      </c>
      <c r="R2" s="128" t="s">
        <v>159</v>
      </c>
      <c r="S2" s="128" t="s">
        <v>160</v>
      </c>
      <c r="T2" s="4" t="s">
        <v>158</v>
      </c>
      <c r="U2" s="4" t="s">
        <v>159</v>
      </c>
      <c r="V2" s="4" t="s">
        <v>160</v>
      </c>
      <c r="W2" s="129" t="s">
        <v>158</v>
      </c>
      <c r="X2" s="129" t="s">
        <v>159</v>
      </c>
      <c r="Y2" s="129" t="s">
        <v>160</v>
      </c>
      <c r="Z2" s="130" t="s">
        <v>158</v>
      </c>
      <c r="AA2" s="130" t="s">
        <v>159</v>
      </c>
      <c r="AB2" s="130" t="s">
        <v>160</v>
      </c>
      <c r="AC2" s="4" t="s">
        <v>158</v>
      </c>
      <c r="AD2" s="4" t="s">
        <v>159</v>
      </c>
      <c r="AE2" s="4" t="s">
        <v>160</v>
      </c>
      <c r="AF2" s="128" t="s">
        <v>158</v>
      </c>
      <c r="AG2" s="128" t="s">
        <v>159</v>
      </c>
      <c r="AH2" s="128" t="s">
        <v>160</v>
      </c>
      <c r="AI2" s="35" t="s">
        <v>158</v>
      </c>
      <c r="AJ2" s="35" t="s">
        <v>159</v>
      </c>
      <c r="AK2" s="35" t="s">
        <v>160</v>
      </c>
      <c r="AL2" s="9" t="s">
        <v>158</v>
      </c>
      <c r="AM2" s="9" t="s">
        <v>159</v>
      </c>
      <c r="AN2" s="9" t="s">
        <v>160</v>
      </c>
      <c r="AO2" s="130" t="s">
        <v>158</v>
      </c>
      <c r="AP2" s="130" t="s">
        <v>159</v>
      </c>
      <c r="AQ2" s="130" t="s">
        <v>160</v>
      </c>
      <c r="AR2" s="131" t="s">
        <v>158</v>
      </c>
      <c r="AS2" s="131" t="s">
        <v>159</v>
      </c>
      <c r="AT2" s="131" t="s">
        <v>160</v>
      </c>
      <c r="AU2" s="35" t="s">
        <v>158</v>
      </c>
      <c r="AV2" s="35" t="s">
        <v>159</v>
      </c>
      <c r="AW2" s="35" t="s">
        <v>160</v>
      </c>
    </row>
    <row r="3" s="45" customFormat="1" ht="5" hidden="1" customHeight="1" spans="1:49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</row>
    <row r="4" s="45" customFormat="1" ht="18.5" customHeight="1" spans="1:49">
      <c r="A4"/>
      <c r="B4" s="132" t="s">
        <v>231</v>
      </c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4">
        <v>3</v>
      </c>
      <c r="W4" s="133"/>
      <c r="X4" s="133"/>
      <c r="Y4" s="134">
        <v>2</v>
      </c>
      <c r="Z4" s="133"/>
      <c r="AA4" s="133"/>
      <c r="AB4" s="133"/>
      <c r="AC4" s="133"/>
      <c r="AD4" s="133"/>
      <c r="AE4" s="134">
        <v>1</v>
      </c>
      <c r="AF4" s="133"/>
      <c r="AG4" s="133"/>
      <c r="AH4" s="133"/>
      <c r="AI4" s="133"/>
      <c r="AJ4" s="133"/>
      <c r="AK4" s="133"/>
      <c r="AL4" s="133"/>
      <c r="AM4" s="133"/>
      <c r="AN4" s="133"/>
      <c r="AO4" s="133"/>
      <c r="AP4" s="133"/>
      <c r="AQ4" s="133"/>
      <c r="AR4" s="133"/>
      <c r="AS4" s="133"/>
      <c r="AT4" s="133"/>
      <c r="AU4" s="133"/>
      <c r="AV4" s="133"/>
      <c r="AW4" s="133"/>
    </row>
    <row r="5" spans="1:49">
      <c r="A5" s="2">
        <v>1</v>
      </c>
      <c r="B5" s="2" t="s">
        <v>65</v>
      </c>
      <c r="C5" s="37" t="s">
        <v>161</v>
      </c>
      <c r="D5" s="2" t="s">
        <v>162</v>
      </c>
      <c r="E5" s="20">
        <f>E7*1.333</f>
        <v>869414272.08</v>
      </c>
      <c r="F5" s="20">
        <v>90287632</v>
      </c>
      <c r="G5" s="38">
        <f>E5/F5</f>
        <v>9.6293839235921</v>
      </c>
      <c r="H5" s="20">
        <f>H7*1.333</f>
        <v>314617435.306</v>
      </c>
      <c r="I5" s="20">
        <v>50000000</v>
      </c>
      <c r="J5" s="70">
        <f>H5/I5</f>
        <v>6.29234870612</v>
      </c>
      <c r="K5" s="20">
        <f>K7*1.333</f>
        <v>629710081.113</v>
      </c>
      <c r="L5" s="20">
        <v>91432373</v>
      </c>
      <c r="M5" s="135">
        <f>K5/L5</f>
        <v>6.88716764589496</v>
      </c>
      <c r="N5" s="20">
        <f>N7*1.333</f>
        <v>544561007.038</v>
      </c>
      <c r="O5" s="20">
        <v>52121330</v>
      </c>
      <c r="P5" s="38">
        <f>N5/O5</f>
        <v>10.4479491800766</v>
      </c>
      <c r="Q5" s="20">
        <f>Q7*1.333</f>
        <v>360874470.822</v>
      </c>
      <c r="R5" s="20">
        <v>47256000</v>
      </c>
      <c r="S5" s="136">
        <f>Q5/R5</f>
        <v>7.63658521292534</v>
      </c>
      <c r="T5" s="20">
        <f>T7*1.333</f>
        <v>446177666.357</v>
      </c>
      <c r="U5" s="20">
        <v>33998363</v>
      </c>
      <c r="V5" s="96">
        <f>T5/U5</f>
        <v>13.12350439805</v>
      </c>
      <c r="W5" s="20">
        <f>W7*1.333</f>
        <v>438553920.77</v>
      </c>
      <c r="X5" s="20">
        <v>39616000</v>
      </c>
      <c r="Y5" s="96">
        <f>W5/X5</f>
        <v>11.070121182603</v>
      </c>
      <c r="Z5" s="20">
        <f>Z7*1.333</f>
        <v>476745117.25</v>
      </c>
      <c r="AA5" s="20">
        <v>50000000</v>
      </c>
      <c r="AB5" s="137">
        <f>Z5/AA5</f>
        <v>9.534902345</v>
      </c>
      <c r="AC5" s="20">
        <f>AC7*1.333</f>
        <v>620907343.681</v>
      </c>
      <c r="AD5" s="20">
        <v>46400000</v>
      </c>
      <c r="AE5" s="96">
        <f>AC5/AD5</f>
        <v>13.3816237862284</v>
      </c>
      <c r="AF5" s="20">
        <f>AF7*1.333</f>
        <v>488322016.968</v>
      </c>
      <c r="AG5" s="20">
        <v>50000000</v>
      </c>
      <c r="AH5" s="136">
        <f>AF5/AG5</f>
        <v>9.76644033936</v>
      </c>
      <c r="AI5" s="20">
        <f>AI7*1.333</f>
        <v>394235252.541</v>
      </c>
      <c r="AJ5" s="20">
        <v>50119477</v>
      </c>
      <c r="AK5" s="38">
        <f>AI5/AJ5</f>
        <v>7.8659091462786</v>
      </c>
      <c r="AL5" s="20">
        <f>AL7*1.333</f>
        <v>450097498.154</v>
      </c>
      <c r="AM5" s="20">
        <v>50149240</v>
      </c>
      <c r="AN5" s="138">
        <f>AL5/AM5</f>
        <v>8.97516090281727</v>
      </c>
      <c r="AO5" s="20">
        <f>AO7*1.333</f>
        <v>36563623.475</v>
      </c>
      <c r="AP5" s="20">
        <v>7500000</v>
      </c>
      <c r="AQ5" s="137">
        <f>AO5/AP5</f>
        <v>4.87514979666667</v>
      </c>
      <c r="AR5" s="20">
        <f>AR7*1.333</f>
        <v>14040964.881</v>
      </c>
      <c r="AS5" s="20">
        <v>7500000</v>
      </c>
      <c r="AT5" s="139">
        <f>AR5/AS5</f>
        <v>1.8721286508</v>
      </c>
      <c r="AU5" s="20">
        <f>AU7*1.333</f>
        <v>20553593.65</v>
      </c>
      <c r="AV5" s="20">
        <v>1810200</v>
      </c>
      <c r="AW5" s="38">
        <f>AU5/AV5</f>
        <v>11.3543219809966</v>
      </c>
    </row>
    <row r="6" ht="11.5" customHeight="1" spans="1:49">
      <c r="B6" s="2"/>
      <c r="C6" s="2" t="s">
        <v>163</v>
      </c>
      <c r="E6" s="20"/>
      <c r="F6" s="20"/>
      <c r="G6" s="38"/>
      <c r="H6" s="20"/>
      <c r="I6" s="20"/>
      <c r="J6" s="70"/>
      <c r="K6" s="20"/>
      <c r="L6" s="20"/>
      <c r="M6" s="135"/>
      <c r="N6" s="20"/>
      <c r="O6" s="20"/>
      <c r="P6" s="38"/>
      <c r="Q6" s="20"/>
      <c r="R6" s="20"/>
      <c r="S6" s="136"/>
      <c r="T6" s="20"/>
      <c r="U6" s="20"/>
      <c r="V6" s="96"/>
      <c r="W6" s="20"/>
      <c r="X6" s="20"/>
      <c r="Y6" s="96"/>
      <c r="Z6" s="20"/>
      <c r="AA6" s="20"/>
      <c r="AB6" s="137"/>
      <c r="AC6" s="20"/>
      <c r="AD6" s="20"/>
      <c r="AE6" s="96"/>
      <c r="AF6" s="20"/>
      <c r="AG6" s="20"/>
      <c r="AH6" s="136"/>
      <c r="AI6" s="20"/>
      <c r="AJ6" s="20"/>
      <c r="AK6" s="38"/>
      <c r="AL6" s="20"/>
      <c r="AM6" s="20"/>
      <c r="AN6" s="138"/>
      <c r="AO6" s="20"/>
      <c r="AP6" s="20"/>
      <c r="AQ6" s="137"/>
      <c r="AR6" s="20"/>
      <c r="AS6" s="20"/>
      <c r="AT6" s="139"/>
      <c r="AU6" s="20"/>
      <c r="AV6" s="20"/>
      <c r="AW6" s="38"/>
    </row>
    <row r="7" hidden="1" spans="1:49">
      <c r="B7" s="2"/>
      <c r="C7" s="2"/>
      <c r="E7" s="140">
        <v>652223760</v>
      </c>
      <c r="F7" s="20"/>
      <c r="G7" s="38"/>
      <c r="H7" s="140">
        <v>236022082</v>
      </c>
      <c r="I7" s="20"/>
      <c r="J7" s="70"/>
      <c r="K7" s="140">
        <v>472400661</v>
      </c>
      <c r="L7" s="20"/>
      <c r="M7" s="135"/>
      <c r="N7" s="79">
        <v>408522886</v>
      </c>
      <c r="O7" s="20"/>
      <c r="P7" s="38"/>
      <c r="Q7" s="79">
        <v>270723534</v>
      </c>
      <c r="R7" s="20"/>
      <c r="S7" s="136"/>
      <c r="T7" s="79">
        <v>334716929</v>
      </c>
      <c r="U7" s="20"/>
      <c r="V7" s="141"/>
      <c r="W7" s="79">
        <v>328997690</v>
      </c>
      <c r="X7" s="20"/>
      <c r="Y7" s="142"/>
      <c r="Z7" s="79">
        <v>357648250</v>
      </c>
      <c r="AA7" s="20"/>
      <c r="AB7" s="137"/>
      <c r="AC7" s="79">
        <v>465796957</v>
      </c>
      <c r="AD7" s="20"/>
      <c r="AE7" s="141"/>
      <c r="AF7" s="79">
        <v>366333096</v>
      </c>
      <c r="AG7" s="20"/>
      <c r="AH7" s="136"/>
      <c r="AI7" s="79">
        <v>295750377</v>
      </c>
      <c r="AJ7" s="20"/>
      <c r="AK7" s="38"/>
      <c r="AL7" s="79">
        <v>337657538</v>
      </c>
      <c r="AM7" s="20"/>
      <c r="AN7" s="138"/>
      <c r="AO7" s="79">
        <v>27429575</v>
      </c>
      <c r="AP7" s="20"/>
      <c r="AQ7" s="137"/>
      <c r="AR7" s="79">
        <v>10533357</v>
      </c>
      <c r="AS7" s="20"/>
      <c r="AT7" s="139"/>
      <c r="AU7" s="79">
        <v>15419050</v>
      </c>
      <c r="AV7" s="20"/>
      <c r="AW7" s="38"/>
    </row>
    <row r="8" hidden="1" spans="1:49">
      <c r="A8"/>
      <c r="D8"/>
      <c r="E8" s="51"/>
      <c r="F8" s="6"/>
      <c r="G8" s="40"/>
      <c r="H8" s="51"/>
      <c r="I8" s="6"/>
      <c r="J8" s="143"/>
      <c r="K8" s="51"/>
      <c r="L8" s="6"/>
      <c r="M8" s="144"/>
      <c r="N8" s="51"/>
      <c r="O8" s="6"/>
      <c r="P8" s="40"/>
      <c r="Q8" s="51"/>
      <c r="R8" s="6"/>
      <c r="S8" s="145"/>
      <c r="T8" s="51"/>
      <c r="U8" s="6"/>
      <c r="V8" s="146"/>
      <c r="W8" s="51"/>
      <c r="X8" s="6"/>
      <c r="Y8" s="147"/>
      <c r="Z8" s="51"/>
      <c r="AA8" s="6"/>
      <c r="AB8" s="148"/>
      <c r="AC8" s="51"/>
      <c r="AD8" s="6"/>
      <c r="AE8" s="146"/>
      <c r="AF8" s="51"/>
      <c r="AG8" s="6"/>
      <c r="AH8" s="145"/>
      <c r="AI8" s="51"/>
      <c r="AJ8" s="6"/>
      <c r="AK8" s="40"/>
      <c r="AL8" s="51"/>
      <c r="AM8" s="6"/>
      <c r="AN8" s="149"/>
      <c r="AO8" s="51"/>
      <c r="AP8" s="6"/>
      <c r="AQ8" s="148"/>
      <c r="AR8" s="51"/>
      <c r="AS8" s="6"/>
      <c r="AT8" s="150"/>
      <c r="AU8" s="51"/>
      <c r="AV8" s="6"/>
      <c r="AW8" s="40"/>
    </row>
    <row r="9" spans="1:49">
      <c r="A9" s="2">
        <v>2</v>
      </c>
      <c r="B9" s="41" t="s">
        <v>166</v>
      </c>
      <c r="C9" s="37" t="s">
        <v>167</v>
      </c>
      <c r="D9" s="2" t="s">
        <v>168</v>
      </c>
      <c r="E9" s="20">
        <v>728</v>
      </c>
      <c r="F9" s="42">
        <f>G5</f>
        <v>9.6293839235921</v>
      </c>
      <c r="G9" s="38">
        <f>E9/F9</f>
        <v>75.6019290306197</v>
      </c>
      <c r="H9" s="20">
        <v>856</v>
      </c>
      <c r="I9" s="42">
        <f>J5</f>
        <v>6.29234870612</v>
      </c>
      <c r="J9" s="70">
        <f>H9/I9</f>
        <v>136.03823309529</v>
      </c>
      <c r="K9" s="20">
        <v>389</v>
      </c>
      <c r="L9" s="42">
        <f>M5</f>
        <v>6.88716764589496</v>
      </c>
      <c r="M9" s="135">
        <f>K9/L9</f>
        <v>56.4818543704044</v>
      </c>
      <c r="N9" s="20">
        <v>585</v>
      </c>
      <c r="O9" s="42">
        <f>P5</f>
        <v>10.4479491800766</v>
      </c>
      <c r="P9" s="38">
        <f>N9/O9</f>
        <v>55.991849684295</v>
      </c>
      <c r="Q9" s="20">
        <v>492</v>
      </c>
      <c r="R9" s="42">
        <f>S5</f>
        <v>7.63658521292534</v>
      </c>
      <c r="S9" s="136">
        <f>Q9/R9</f>
        <v>64.4267020247823</v>
      </c>
      <c r="T9" s="20">
        <v>496</v>
      </c>
      <c r="U9" s="42">
        <f>V5</f>
        <v>13.12350439805</v>
      </c>
      <c r="V9" s="96">
        <f>T9/U9</f>
        <v>37.7947829296038</v>
      </c>
      <c r="W9" s="20">
        <v>465</v>
      </c>
      <c r="X9" s="42">
        <f>Y5</f>
        <v>11.070121182603</v>
      </c>
      <c r="Y9" s="96">
        <f>W9/X9</f>
        <v>42.0049602285078</v>
      </c>
      <c r="Z9" s="20">
        <v>462</v>
      </c>
      <c r="AA9" s="42">
        <f>AB5</f>
        <v>9.534902345</v>
      </c>
      <c r="AB9" s="137">
        <f>Z9/AA9</f>
        <v>48.4535638943662</v>
      </c>
      <c r="AC9" s="20">
        <v>439</v>
      </c>
      <c r="AD9" s="42">
        <f>AE5</f>
        <v>13.3816237862284</v>
      </c>
      <c r="AE9" s="96">
        <f>AC9/AD9</f>
        <v>32.8061830920543</v>
      </c>
      <c r="AF9" s="20">
        <v>437</v>
      </c>
      <c r="AG9" s="42">
        <f>AH5</f>
        <v>9.76644033936</v>
      </c>
      <c r="AH9" s="136">
        <f>AF9/AG9</f>
        <v>44.7450642010103</v>
      </c>
      <c r="AI9" s="20">
        <v>427</v>
      </c>
      <c r="AJ9" s="42">
        <f>AK5</f>
        <v>7.8659091462786</v>
      </c>
      <c r="AK9" s="38">
        <f>AI9/AJ9</f>
        <v>54.284888378353</v>
      </c>
      <c r="AL9" s="20">
        <v>392</v>
      </c>
      <c r="AM9" s="42">
        <f>AN5</f>
        <v>8.97516090281727</v>
      </c>
      <c r="AN9" s="138">
        <f>AL9/AM9</f>
        <v>43.676097202553</v>
      </c>
      <c r="AO9" s="20">
        <v>2225</v>
      </c>
      <c r="AP9" s="42">
        <f>AQ5</f>
        <v>4.87514979666667</v>
      </c>
      <c r="AQ9" s="39">
        <f>AO9/AP9</f>
        <v>456.396232485271</v>
      </c>
      <c r="AR9" s="20">
        <v>1360</v>
      </c>
      <c r="AS9" s="42">
        <f>AT5</f>
        <v>1.8721286508</v>
      </c>
      <c r="AT9" s="151">
        <f>AR9/AS9</f>
        <v>726.445802439295</v>
      </c>
      <c r="AU9" s="20">
        <v>5100</v>
      </c>
      <c r="AV9" s="42">
        <f>AW5</f>
        <v>11.3543219809966</v>
      </c>
      <c r="AW9" s="151">
        <f>AU9/AV9</f>
        <v>449.168167728177</v>
      </c>
    </row>
    <row r="10" ht="9" customHeight="1" spans="1:49">
      <c r="B10" s="41"/>
      <c r="C10" s="2" t="s">
        <v>169</v>
      </c>
      <c r="E10" s="20"/>
      <c r="F10" s="42"/>
      <c r="G10" s="38"/>
      <c r="H10" s="20"/>
      <c r="I10" s="42"/>
      <c r="J10" s="70"/>
      <c r="K10" s="20"/>
      <c r="L10" s="42"/>
      <c r="M10" s="135"/>
      <c r="N10" s="20"/>
      <c r="O10" s="42"/>
      <c r="P10" s="38"/>
      <c r="Q10" s="20"/>
      <c r="R10" s="42"/>
      <c r="S10" s="136"/>
      <c r="T10" s="20"/>
      <c r="U10" s="42"/>
      <c r="V10" s="96"/>
      <c r="W10" s="20"/>
      <c r="X10" s="42"/>
      <c r="Y10" s="96"/>
      <c r="Z10" s="20"/>
      <c r="AA10" s="42"/>
      <c r="AB10" s="137"/>
      <c r="AC10" s="20"/>
      <c r="AD10" s="42"/>
      <c r="AE10" s="96"/>
      <c r="AF10" s="20"/>
      <c r="AG10" s="42"/>
      <c r="AH10" s="136"/>
      <c r="AI10" s="20"/>
      <c r="AJ10" s="42"/>
      <c r="AK10" s="38"/>
      <c r="AL10" s="20"/>
      <c r="AM10" s="42"/>
      <c r="AN10" s="138"/>
      <c r="AO10" s="20"/>
      <c r="AP10" s="42"/>
      <c r="AQ10" s="39"/>
      <c r="AR10" s="20"/>
      <c r="AS10" s="42"/>
      <c r="AT10" s="151"/>
      <c r="AU10" s="20"/>
      <c r="AV10" s="42"/>
      <c r="AW10" s="151"/>
    </row>
    <row r="11" hidden="1" spans="1:49">
      <c r="B11" s="2"/>
      <c r="C11" s="2"/>
      <c r="E11" s="20"/>
      <c r="F11" s="42"/>
      <c r="G11" s="38"/>
      <c r="H11" s="20"/>
      <c r="I11" s="42"/>
      <c r="J11" s="70"/>
      <c r="K11" s="20"/>
      <c r="L11" s="42"/>
      <c r="M11" s="135"/>
      <c r="N11" s="20"/>
      <c r="O11" s="42"/>
      <c r="P11" s="38"/>
      <c r="Q11" s="20"/>
      <c r="R11" s="42"/>
      <c r="S11" s="136"/>
      <c r="T11" s="20"/>
      <c r="U11" s="42"/>
      <c r="V11" s="141"/>
      <c r="W11" s="20"/>
      <c r="X11" s="42"/>
      <c r="Y11" s="142"/>
      <c r="Z11" s="20"/>
      <c r="AA11" s="42"/>
      <c r="AB11" s="137"/>
      <c r="AC11" s="20"/>
      <c r="AD11" s="42"/>
      <c r="AE11" s="141"/>
      <c r="AF11" s="20"/>
      <c r="AG11" s="42"/>
      <c r="AH11" s="136"/>
      <c r="AI11" s="20"/>
      <c r="AJ11" s="42"/>
      <c r="AK11" s="38"/>
      <c r="AL11" s="20"/>
      <c r="AM11" s="42"/>
      <c r="AN11" s="138"/>
      <c r="AO11" s="20"/>
      <c r="AP11" s="42"/>
      <c r="AQ11" s="137"/>
      <c r="AR11" s="20"/>
      <c r="AS11" s="42"/>
      <c r="AT11" s="139"/>
      <c r="AU11" s="20"/>
      <c r="AV11" s="42"/>
      <c r="AW11" s="38"/>
    </row>
    <row r="12" spans="1:49">
      <c r="A12" s="2">
        <v>3</v>
      </c>
      <c r="B12" s="2" t="s">
        <v>437</v>
      </c>
      <c r="C12" s="97" t="s">
        <v>438</v>
      </c>
      <c r="D12" s="2" t="s">
        <v>175</v>
      </c>
      <c r="E12" s="20">
        <v>652223760</v>
      </c>
      <c r="F12" s="20">
        <v>47728467948</v>
      </c>
      <c r="G12" s="38">
        <f>(E12/F12)*100</f>
        <v>1.3665298469471</v>
      </c>
      <c r="H12" s="20">
        <v>236022082</v>
      </c>
      <c r="I12" s="20">
        <v>23336816480</v>
      </c>
      <c r="J12" s="70">
        <f>(H12/I12)*100</f>
        <v>1.01137223323616</v>
      </c>
      <c r="K12" s="20">
        <v>472400661</v>
      </c>
      <c r="L12" s="20">
        <v>18480021609</v>
      </c>
      <c r="M12" s="135">
        <f>(K12/L12)*100</f>
        <v>2.55627764401496</v>
      </c>
      <c r="N12" s="20">
        <v>408522886</v>
      </c>
      <c r="O12" s="20">
        <v>19378029062</v>
      </c>
      <c r="P12" s="38">
        <f>(N12/O12)*100</f>
        <v>2.10817562866136</v>
      </c>
      <c r="Q12" s="20">
        <f>Q7</f>
        <v>270723534</v>
      </c>
      <c r="R12" s="20">
        <v>4540141457</v>
      </c>
      <c r="S12" s="136">
        <f>(Q12/R12)*100</f>
        <v>5.9628876448904</v>
      </c>
      <c r="T12" s="20">
        <f>T7</f>
        <v>334716929</v>
      </c>
      <c r="U12" s="20">
        <v>9239914758</v>
      </c>
      <c r="V12" s="141">
        <f>(T12/U12)*100</f>
        <v>3.62251100542025</v>
      </c>
      <c r="W12" s="20">
        <f>W7</f>
        <v>328997690</v>
      </c>
      <c r="X12" s="20">
        <v>4005418726</v>
      </c>
      <c r="Y12" s="96">
        <f>(W12/X12)*100</f>
        <v>8.21381514657651</v>
      </c>
      <c r="Z12" s="20">
        <f>Z7</f>
        <v>357648250</v>
      </c>
      <c r="AA12" s="20">
        <v>6319371920</v>
      </c>
      <c r="AB12" s="137">
        <f>(Z12/AA12)*100</f>
        <v>5.65955374248648</v>
      </c>
      <c r="AC12" s="20">
        <f>AC7</f>
        <v>465796957</v>
      </c>
      <c r="AD12" s="20">
        <v>4763787445</v>
      </c>
      <c r="AE12" s="96">
        <f>(AC12/AD12)*100</f>
        <v>9.77787028447068</v>
      </c>
      <c r="AF12" s="20">
        <f>AF7</f>
        <v>366333096</v>
      </c>
      <c r="AG12" s="20">
        <v>4829499176</v>
      </c>
      <c r="AH12" s="96">
        <f>(AF12/AG12)*100</f>
        <v>7.58532267321791</v>
      </c>
      <c r="AI12" s="20">
        <f>AI7</f>
        <v>295750377</v>
      </c>
      <c r="AJ12" s="20">
        <v>10481979286</v>
      </c>
      <c r="AK12" s="38">
        <f>(AI12/AJ12)*100</f>
        <v>2.82151270223374</v>
      </c>
      <c r="AL12" s="20">
        <f>AL7</f>
        <v>337657538</v>
      </c>
      <c r="AM12" s="20">
        <v>6123472186</v>
      </c>
      <c r="AN12" s="138">
        <f>(AL12/AM12)*100</f>
        <v>5.51415157517954</v>
      </c>
      <c r="AO12" s="20">
        <f>AO7</f>
        <v>27429575</v>
      </c>
      <c r="AP12" s="20">
        <v>255187412</v>
      </c>
      <c r="AQ12" s="137">
        <f>(AO12/AP12)*100</f>
        <v>10.7487962611573</v>
      </c>
      <c r="AR12" s="20">
        <f>AR7</f>
        <v>10533357</v>
      </c>
      <c r="AS12" s="20">
        <v>234818908</v>
      </c>
      <c r="AT12" s="139">
        <f>(AR12/AS12)*100</f>
        <v>4.48573630195061</v>
      </c>
      <c r="AU12" s="20">
        <f>AU7</f>
        <v>15419050</v>
      </c>
      <c r="AV12" s="20">
        <v>11396946500</v>
      </c>
      <c r="AW12" s="38">
        <f>(AU12/AV12)*100</f>
        <v>0.135291062391141</v>
      </c>
    </row>
    <row r="13" ht="8.5" customHeight="1" spans="1:49">
      <c r="B13" s="2"/>
      <c r="C13" s="6" t="s">
        <v>439</v>
      </c>
      <c r="E13" s="20"/>
      <c r="F13" s="20"/>
      <c r="G13" s="38"/>
      <c r="H13" s="20"/>
      <c r="I13" s="20"/>
      <c r="J13" s="70"/>
      <c r="K13" s="20"/>
      <c r="L13" s="20"/>
      <c r="M13" s="135"/>
      <c r="N13" s="20"/>
      <c r="O13" s="20"/>
      <c r="P13" s="38"/>
      <c r="Q13" s="20"/>
      <c r="R13" s="20"/>
      <c r="S13" s="136"/>
      <c r="T13" s="20"/>
      <c r="U13" s="20"/>
      <c r="V13" s="141"/>
      <c r="W13" s="20"/>
      <c r="X13" s="20"/>
      <c r="Y13" s="96"/>
      <c r="Z13" s="20"/>
      <c r="AA13" s="20"/>
      <c r="AB13" s="137"/>
      <c r="AC13" s="20"/>
      <c r="AD13" s="20"/>
      <c r="AE13" s="96"/>
      <c r="AF13" s="20"/>
      <c r="AG13" s="20"/>
      <c r="AH13" s="96"/>
      <c r="AI13" s="20"/>
      <c r="AJ13" s="20"/>
      <c r="AK13" s="38"/>
      <c r="AL13" s="20"/>
      <c r="AM13" s="20"/>
      <c r="AN13" s="138"/>
      <c r="AO13" s="20"/>
      <c r="AP13" s="20"/>
      <c r="AQ13" s="137"/>
      <c r="AR13" s="20"/>
      <c r="AS13" s="20"/>
      <c r="AT13" s="139"/>
      <c r="AU13" s="20"/>
      <c r="AV13" s="20"/>
      <c r="AW13" s="38"/>
    </row>
    <row r="14" hidden="1" spans="1:49">
      <c r="D14"/>
      <c r="E14" s="45"/>
      <c r="F14"/>
      <c r="G14" s="48"/>
      <c r="H14" s="45"/>
      <c r="J14" s="152"/>
      <c r="K14" s="45"/>
      <c r="M14" s="114"/>
      <c r="N14" s="45"/>
      <c r="P14" s="48"/>
      <c r="Q14" s="45"/>
      <c r="S14" s="153"/>
      <c r="T14" s="45"/>
      <c r="V14" s="154"/>
      <c r="W14" s="45"/>
      <c r="Y14" s="155"/>
      <c r="Z14" s="45"/>
      <c r="AB14" s="156"/>
      <c r="AC14" s="45"/>
      <c r="AE14" s="154"/>
      <c r="AF14" s="45"/>
      <c r="AH14" s="153"/>
      <c r="AI14" s="45"/>
      <c r="AK14" s="48"/>
      <c r="AL14" s="45"/>
      <c r="AN14" s="157"/>
      <c r="AO14" s="45"/>
      <c r="AQ14" s="156"/>
      <c r="AR14" s="45"/>
      <c r="AT14" s="158"/>
      <c r="AU14" s="45"/>
      <c r="AW14" s="48"/>
    </row>
    <row r="15" ht="12" customHeight="1" spans="1:49">
      <c r="A15" s="2">
        <v>4</v>
      </c>
      <c r="B15" s="2" t="s">
        <v>120</v>
      </c>
      <c r="C15" s="41" t="s">
        <v>174</v>
      </c>
      <c r="D15" s="41" t="s">
        <v>443</v>
      </c>
      <c r="E15" s="20">
        <v>12261621445</v>
      </c>
      <c r="F15" s="20">
        <v>12153298601</v>
      </c>
      <c r="G15" s="44">
        <f>(E15-F15)/F15</f>
        <v>0.00891304061196085</v>
      </c>
      <c r="H15" s="20">
        <v>9948573328</v>
      </c>
      <c r="I15" s="20">
        <v>6865965363</v>
      </c>
      <c r="J15" s="159">
        <f>(H15-I15)/I15</f>
        <v>0.44896934400687</v>
      </c>
      <c r="K15" s="20">
        <v>10612650167</v>
      </c>
      <c r="L15" s="20">
        <v>10129042431</v>
      </c>
      <c r="M15" s="160">
        <f>(K15-L15)/L15</f>
        <v>0.0477446648381998</v>
      </c>
      <c r="N15" s="20">
        <v>7112815305</v>
      </c>
      <c r="O15" s="20">
        <v>7230600545</v>
      </c>
      <c r="P15" s="44">
        <f>(N15-O15)/O15</f>
        <v>-0.0162898281086001</v>
      </c>
      <c r="Q15" s="20">
        <v>5759999190</v>
      </c>
      <c r="R15" s="20">
        <v>5457208422</v>
      </c>
      <c r="S15" s="161">
        <f>(Q15-R15)/R15</f>
        <v>0.0554845526477127</v>
      </c>
      <c r="T15" s="20">
        <v>4371203721</v>
      </c>
      <c r="U15" s="20">
        <v>4014288343</v>
      </c>
      <c r="V15" s="162">
        <f>(T15-U15)/U15</f>
        <v>0.0889112459054863</v>
      </c>
      <c r="W15" s="20">
        <v>6506268323</v>
      </c>
      <c r="X15" s="20">
        <v>6281407084</v>
      </c>
      <c r="Y15" s="163">
        <f>(W15-X15)/X15</f>
        <v>0.03579790897055</v>
      </c>
      <c r="Z15" s="20">
        <v>7345428390</v>
      </c>
      <c r="AA15" s="20">
        <v>7062085091</v>
      </c>
      <c r="AB15" s="164">
        <f>(Z15-AA15)/AA15</f>
        <v>0.0401217622485314</v>
      </c>
      <c r="AC15" s="20">
        <v>7793821254</v>
      </c>
      <c r="AD15" s="20">
        <v>7330683338</v>
      </c>
      <c r="AE15" s="162">
        <f>(AC15-AD15)/AD15</f>
        <v>0.0631780005554511</v>
      </c>
      <c r="AF15" s="20">
        <v>6633530148</v>
      </c>
      <c r="AG15" s="20">
        <v>7397630198</v>
      </c>
      <c r="AH15" s="161">
        <f>(AF15-AG15)/AG15</f>
        <v>-0.103289841415239</v>
      </c>
      <c r="AI15" s="20">
        <v>6285713459</v>
      </c>
      <c r="AJ15" s="20">
        <v>7008514941</v>
      </c>
      <c r="AK15" s="44">
        <f>(AI15-AJ15)/AJ15</f>
        <v>-0.103131902847434</v>
      </c>
      <c r="AL15" s="20">
        <v>5546715802</v>
      </c>
      <c r="AM15" s="20">
        <v>5619028252</v>
      </c>
      <c r="AN15" s="165">
        <f>(AL15-AM15)/AM15</f>
        <v>-0.0128692091865282</v>
      </c>
      <c r="AO15" s="20">
        <v>775199315</v>
      </c>
      <c r="AP15" s="20">
        <v>529015258</v>
      </c>
      <c r="AQ15" s="164">
        <f>(AO15-AP15)/AP15</f>
        <v>0.465362866717164</v>
      </c>
      <c r="AR15" s="20">
        <v>771580996</v>
      </c>
      <c r="AS15" s="20">
        <v>542149492</v>
      </c>
      <c r="AT15" s="166">
        <f>(AR15-AS15)/AS15</f>
        <v>0.423188635949142</v>
      </c>
      <c r="AU15" s="20">
        <v>834891774</v>
      </c>
      <c r="AV15" s="20">
        <v>690300470</v>
      </c>
      <c r="AW15" s="44">
        <f>(AU15-AV15)/AV15</f>
        <v>0.20946140164152</v>
      </c>
    </row>
    <row r="16" ht="3" hidden="1" customHeight="1" spans="1:49">
      <c r="B16" s="2"/>
      <c r="C16" s="41"/>
      <c r="D16" s="41"/>
      <c r="E16" s="20"/>
      <c r="F16" s="20"/>
      <c r="G16" s="44"/>
      <c r="H16" s="20"/>
      <c r="I16" s="20"/>
      <c r="J16" s="159"/>
      <c r="K16" s="20"/>
      <c r="L16" s="20"/>
      <c r="M16" s="160"/>
      <c r="N16" s="20"/>
      <c r="O16" s="20"/>
      <c r="P16" s="44"/>
      <c r="Q16" s="20"/>
      <c r="R16" s="20"/>
      <c r="S16" s="161"/>
      <c r="T16" s="20"/>
      <c r="U16" s="20"/>
      <c r="V16" s="162"/>
      <c r="W16" s="20"/>
      <c r="X16" s="20"/>
      <c r="Y16" s="163"/>
      <c r="Z16" s="20"/>
      <c r="AA16" s="20"/>
      <c r="AB16" s="164"/>
      <c r="AC16" s="20"/>
      <c r="AD16" s="20"/>
      <c r="AE16" s="162"/>
      <c r="AF16" s="20"/>
      <c r="AG16" s="20"/>
      <c r="AH16" s="161"/>
      <c r="AI16" s="20"/>
      <c r="AJ16" s="20"/>
      <c r="AK16" s="44"/>
      <c r="AL16" s="20"/>
      <c r="AM16" s="20"/>
      <c r="AN16" s="165"/>
      <c r="AO16" s="20"/>
      <c r="AP16" s="20"/>
      <c r="AQ16" s="164"/>
      <c r="AR16" s="20"/>
      <c r="AS16" s="20"/>
      <c r="AT16" s="166"/>
      <c r="AU16" s="20"/>
      <c r="AV16" s="20"/>
      <c r="AW16" s="44"/>
    </row>
    <row r="17" hidden="1" spans="1:49">
      <c r="C17" s="6"/>
      <c r="E17" s="83"/>
      <c r="G17" s="80"/>
      <c r="H17" s="83"/>
      <c r="I17" s="2"/>
      <c r="J17" s="167"/>
      <c r="K17" s="83"/>
      <c r="L17" s="2"/>
      <c r="M17" s="168"/>
      <c r="N17" s="83"/>
      <c r="O17" s="2"/>
      <c r="P17" s="80"/>
      <c r="Q17" s="83"/>
      <c r="R17" s="2"/>
      <c r="S17" s="169"/>
      <c r="T17" s="83"/>
      <c r="U17" s="2"/>
      <c r="V17" s="170"/>
      <c r="W17" s="83"/>
      <c r="X17" s="2"/>
      <c r="Y17" s="171"/>
      <c r="Z17" s="83"/>
      <c r="AA17" s="2"/>
      <c r="AB17" s="172"/>
      <c r="AC17" s="83"/>
      <c r="AD17" s="2"/>
      <c r="AE17" s="170"/>
      <c r="AF17" s="83"/>
      <c r="AG17" s="2"/>
      <c r="AH17" s="169"/>
      <c r="AI17" s="83"/>
      <c r="AJ17" s="2"/>
      <c r="AK17" s="80"/>
      <c r="AL17" s="83"/>
      <c r="AM17" s="2"/>
      <c r="AN17" s="173"/>
      <c r="AO17" s="83"/>
      <c r="AP17" s="2"/>
      <c r="AQ17" s="172"/>
      <c r="AR17" s="83"/>
      <c r="AS17" s="2"/>
      <c r="AT17" s="174"/>
      <c r="AU17" s="83"/>
      <c r="AV17" s="2"/>
      <c r="AW17" s="80"/>
    </row>
    <row r="18" spans="1:49">
      <c r="A18" s="2">
        <v>5</v>
      </c>
      <c r="B18" s="2" t="s">
        <v>94</v>
      </c>
      <c r="C18" s="37" t="s">
        <v>161</v>
      </c>
      <c r="D18" s="2" t="s">
        <v>648</v>
      </c>
      <c r="E18" s="20">
        <f>E5</f>
        <v>869414272.08</v>
      </c>
      <c r="F18" s="20">
        <f>E15</f>
        <v>12261621445</v>
      </c>
      <c r="G18" s="38">
        <f>(E18/F18)*100</f>
        <v>7.09053265083898</v>
      </c>
      <c r="H18" s="20">
        <f>H5</f>
        <v>314617435.306</v>
      </c>
      <c r="I18" s="20">
        <f>H15</f>
        <v>9948573328</v>
      </c>
      <c r="J18" s="70">
        <f>(H18/I18)*100</f>
        <v>3.16243771778329</v>
      </c>
      <c r="K18" s="20">
        <f>K5</f>
        <v>629710081.113</v>
      </c>
      <c r="L18" s="20">
        <f>K15</f>
        <v>10612650167</v>
      </c>
      <c r="M18" s="135">
        <f>(K18/L18)*100</f>
        <v>5.93357993718743</v>
      </c>
      <c r="N18" s="20">
        <f>N5</f>
        <v>544561007.038</v>
      </c>
      <c r="O18" s="20">
        <f>N15</f>
        <v>7112815305</v>
      </c>
      <c r="P18" s="38">
        <f>(N18/O18)*100</f>
        <v>7.65605437069619</v>
      </c>
      <c r="Q18" s="20">
        <f>Q5</f>
        <v>360874470.822</v>
      </c>
      <c r="R18" s="20">
        <f>Q15</f>
        <v>5759999190</v>
      </c>
      <c r="S18" s="136">
        <f>(Q18/R18)*100</f>
        <v>6.26518266614548</v>
      </c>
      <c r="T18" s="20">
        <f>T5</f>
        <v>446177666.357</v>
      </c>
      <c r="U18" s="20">
        <f>T15</f>
        <v>4371203721</v>
      </c>
      <c r="V18" s="96">
        <f>(T18/U18)*100</f>
        <v>10.2072036636839</v>
      </c>
      <c r="W18" s="20">
        <f>W5</f>
        <v>438553920.77</v>
      </c>
      <c r="X18" s="20">
        <f>W15</f>
        <v>6506268323</v>
      </c>
      <c r="Y18" s="142">
        <f>(W18/X18)*100</f>
        <v>6.74048316174863</v>
      </c>
      <c r="Z18" s="20">
        <f>Z5</f>
        <v>476745117.25</v>
      </c>
      <c r="AA18" s="20">
        <f>Z15</f>
        <v>7345428390</v>
      </c>
      <c r="AB18" s="137">
        <f>(Z18/AA18)*100</f>
        <v>6.49036505343972</v>
      </c>
      <c r="AC18" s="20">
        <f>AC5</f>
        <v>620907343.681</v>
      </c>
      <c r="AD18" s="20">
        <f>AC15</f>
        <v>7793821254</v>
      </c>
      <c r="AE18" s="96">
        <f>(AC18/AD18)*100</f>
        <v>7.96666132626962</v>
      </c>
      <c r="AF18" s="20">
        <f>AF5</f>
        <v>488322016.968</v>
      </c>
      <c r="AG18" s="20">
        <f>AF15</f>
        <v>6633530148</v>
      </c>
      <c r="AH18" s="136">
        <f>(AF18/AG18)*100</f>
        <v>7.36142002935237</v>
      </c>
      <c r="AI18" s="20">
        <f>AI5</f>
        <v>394235252.541</v>
      </c>
      <c r="AJ18" s="20">
        <f>AI15</f>
        <v>6285713459</v>
      </c>
      <c r="AK18" s="38">
        <f>(AI18/AJ18)*100</f>
        <v>6.2719252971439</v>
      </c>
      <c r="AL18" s="20">
        <f>AL5</f>
        <v>450097498.154</v>
      </c>
      <c r="AM18" s="20">
        <f>AL15</f>
        <v>5546715802</v>
      </c>
      <c r="AN18" s="96">
        <f>(AL18/AM18)*100</f>
        <v>8.11466666440178</v>
      </c>
      <c r="AO18" s="20">
        <f>AO5</f>
        <v>36563623.475</v>
      </c>
      <c r="AP18" s="20">
        <f>AO15</f>
        <v>775199315</v>
      </c>
      <c r="AQ18" s="137">
        <f>(AO18/AP18)*100</f>
        <v>4.71667386277296</v>
      </c>
      <c r="AR18" s="20">
        <f>AR5</f>
        <v>14040964.881</v>
      </c>
      <c r="AS18" s="20">
        <f>AR15</f>
        <v>771580996</v>
      </c>
      <c r="AT18" s="139">
        <f>(AR18/AS18)*100</f>
        <v>1.81976551441658</v>
      </c>
      <c r="AU18" s="20">
        <f>AU5</f>
        <v>20553593.65</v>
      </c>
      <c r="AV18" s="20">
        <f>AU15</f>
        <v>834891774</v>
      </c>
      <c r="AW18" s="38">
        <f>(AU18/AV18)*100</f>
        <v>2.46182730385843</v>
      </c>
    </row>
    <row r="19" ht="10.5" customHeight="1" spans="1:49">
      <c r="B19" s="2"/>
      <c r="C19" s="2" t="s">
        <v>176</v>
      </c>
      <c r="E19" s="20"/>
      <c r="G19" s="38"/>
      <c r="H19" s="20"/>
      <c r="I19" s="2"/>
      <c r="J19" s="70"/>
      <c r="K19" s="20"/>
      <c r="L19" s="2"/>
      <c r="M19" s="135"/>
      <c r="N19" s="20"/>
      <c r="O19" s="2"/>
      <c r="P19" s="38"/>
      <c r="Q19" s="20"/>
      <c r="R19" s="2"/>
      <c r="S19" s="136"/>
      <c r="T19" s="20"/>
      <c r="U19" s="2"/>
      <c r="V19" s="96"/>
      <c r="W19" s="20"/>
      <c r="X19" s="2"/>
      <c r="Y19" s="142"/>
      <c r="Z19" s="20"/>
      <c r="AA19" s="2"/>
      <c r="AB19" s="137"/>
      <c r="AC19" s="20"/>
      <c r="AD19" s="2"/>
      <c r="AE19" s="96"/>
      <c r="AF19" s="20"/>
      <c r="AG19" s="2"/>
      <c r="AH19" s="136"/>
      <c r="AI19" s="20"/>
      <c r="AJ19" s="2"/>
      <c r="AK19" s="38"/>
      <c r="AL19" s="20"/>
      <c r="AM19" s="2"/>
      <c r="AN19" s="96"/>
      <c r="AO19" s="20"/>
      <c r="AP19" s="2"/>
      <c r="AQ19" s="137"/>
      <c r="AR19" s="20"/>
      <c r="AS19" s="2"/>
      <c r="AT19" s="139"/>
      <c r="AU19" s="20"/>
      <c r="AV19" s="2"/>
      <c r="AW19" s="38"/>
    </row>
    <row r="20" hidden="1" spans="1:49">
      <c r="E20" s="20"/>
      <c r="F20" s="20"/>
      <c r="G20" s="80"/>
      <c r="H20" s="20"/>
      <c r="I20" s="20"/>
      <c r="J20" s="167"/>
      <c r="K20" s="20"/>
      <c r="L20" s="20"/>
      <c r="M20" s="168"/>
      <c r="N20" s="20"/>
      <c r="O20" s="20"/>
      <c r="P20" s="80"/>
      <c r="Q20" s="20"/>
      <c r="R20" s="20"/>
      <c r="S20" s="169"/>
      <c r="T20" s="20"/>
      <c r="U20" s="20"/>
      <c r="V20" s="170"/>
      <c r="W20" s="20"/>
      <c r="X20" s="20"/>
      <c r="Y20" s="171"/>
      <c r="Z20" s="20"/>
      <c r="AA20" s="20"/>
      <c r="AB20" s="172"/>
      <c r="AC20" s="20"/>
      <c r="AD20" s="20"/>
      <c r="AE20" s="170"/>
      <c r="AF20" s="20"/>
      <c r="AG20" s="20"/>
      <c r="AH20" s="169"/>
      <c r="AI20" s="20"/>
      <c r="AJ20" s="20"/>
      <c r="AK20" s="80"/>
      <c r="AL20" s="20"/>
      <c r="AM20" s="20"/>
      <c r="AN20" s="173"/>
      <c r="AO20" s="20"/>
      <c r="AP20" s="20"/>
      <c r="AQ20" s="172"/>
      <c r="AR20" s="20"/>
      <c r="AS20" s="20"/>
      <c r="AT20" s="174"/>
      <c r="AU20" s="20"/>
      <c r="AV20" s="20"/>
      <c r="AW20" s="80"/>
    </row>
    <row r="21" spans="1:49">
      <c r="A21" s="2">
        <v>6</v>
      </c>
      <c r="B21" s="2" t="s">
        <v>180</v>
      </c>
      <c r="C21" s="37" t="s">
        <v>176</v>
      </c>
      <c r="D21" s="2" t="s">
        <v>181</v>
      </c>
      <c r="E21" s="20">
        <f>E15</f>
        <v>12261621445</v>
      </c>
      <c r="F21" s="20">
        <f>F5</f>
        <v>90287632</v>
      </c>
      <c r="G21" s="38">
        <f>E21/F21</f>
        <v>135.806213690486</v>
      </c>
      <c r="H21" s="20">
        <f>H15</f>
        <v>9948573328</v>
      </c>
      <c r="I21" s="20">
        <f>I5</f>
        <v>50000000</v>
      </c>
      <c r="J21" s="70">
        <f>H21/I21</f>
        <v>198.97146656</v>
      </c>
      <c r="K21" s="20">
        <f>K15</f>
        <v>10612650167</v>
      </c>
      <c r="L21" s="20">
        <f>L5</f>
        <v>91432373</v>
      </c>
      <c r="M21" s="135">
        <f>K21/L21</f>
        <v>116.071035004199</v>
      </c>
      <c r="N21" s="20">
        <f>N15</f>
        <v>7112815305</v>
      </c>
      <c r="O21" s="20">
        <f>O5</f>
        <v>52121330</v>
      </c>
      <c r="P21" s="38">
        <f>N21/O21</f>
        <v>136.466496633912</v>
      </c>
      <c r="Q21" s="20">
        <f>Q15</f>
        <v>5759999190</v>
      </c>
      <c r="R21" s="20">
        <f>R5</f>
        <v>47256000</v>
      </c>
      <c r="S21" s="136">
        <f>Q21/R21</f>
        <v>121.889266759777</v>
      </c>
      <c r="T21" s="20">
        <f>T15</f>
        <v>4371203721</v>
      </c>
      <c r="U21" s="20">
        <f>U5</f>
        <v>33998363</v>
      </c>
      <c r="V21" s="141">
        <f>T21/U21</f>
        <v>128.571005639301</v>
      </c>
      <c r="W21" s="20">
        <f>W15</f>
        <v>6506268323</v>
      </c>
      <c r="X21" s="20">
        <f>X5</f>
        <v>39616000</v>
      </c>
      <c r="Y21" s="142">
        <f>W21/X21</f>
        <v>164.233348217892</v>
      </c>
      <c r="Z21" s="20">
        <f>Z15</f>
        <v>7345428390</v>
      </c>
      <c r="AA21" s="20">
        <f>AA5</f>
        <v>50000000</v>
      </c>
      <c r="AB21" s="137">
        <f>Z21/AA21</f>
        <v>146.9085678</v>
      </c>
      <c r="AC21" s="20">
        <f>AC15</f>
        <v>7793821254</v>
      </c>
      <c r="AD21" s="20">
        <f>AD5</f>
        <v>46400000</v>
      </c>
      <c r="AE21" s="141">
        <f>AC21/AD21</f>
        <v>167.970285646552</v>
      </c>
      <c r="AF21" s="20">
        <f>AF15</f>
        <v>6633530148</v>
      </c>
      <c r="AG21" s="20">
        <f>AG5</f>
        <v>50000000</v>
      </c>
      <c r="AH21" s="136">
        <f>AF21/AG21</f>
        <v>132.67060296</v>
      </c>
      <c r="AI21" s="20">
        <f>AI15</f>
        <v>6285713459</v>
      </c>
      <c r="AJ21" s="20">
        <f>AJ5</f>
        <v>50119477</v>
      </c>
      <c r="AK21" s="38">
        <f>AI21/AJ21</f>
        <v>125.414586010145</v>
      </c>
      <c r="AL21" s="20">
        <f>AL15</f>
        <v>5546715802</v>
      </c>
      <c r="AM21" s="20">
        <f>AM5</f>
        <v>50149240</v>
      </c>
      <c r="AN21" s="138">
        <f>AL21/AM21</f>
        <v>110.604184669598</v>
      </c>
      <c r="AO21" s="20">
        <f>AO15</f>
        <v>775199315</v>
      </c>
      <c r="AP21" s="20">
        <f>AP5</f>
        <v>7500000</v>
      </c>
      <c r="AQ21" s="137">
        <f>AO21/AP21</f>
        <v>103.359908666667</v>
      </c>
      <c r="AR21" s="20">
        <f>AR15</f>
        <v>771580996</v>
      </c>
      <c r="AS21" s="20">
        <f>AS5</f>
        <v>7500000</v>
      </c>
      <c r="AT21" s="139">
        <f>AR21/AS21</f>
        <v>102.877466133333</v>
      </c>
      <c r="AU21" s="20">
        <f>AU15</f>
        <v>834891774</v>
      </c>
      <c r="AV21" s="20">
        <f>AV5</f>
        <v>1810200</v>
      </c>
      <c r="AW21" s="38">
        <f>AU21/AV21</f>
        <v>461.215210473981</v>
      </c>
    </row>
    <row r="22" ht="9" customHeight="1" spans="1:49">
      <c r="B22" s="2"/>
      <c r="C22" s="6" t="s">
        <v>163</v>
      </c>
      <c r="E22" s="20"/>
      <c r="F22" s="20"/>
      <c r="G22" s="38"/>
      <c r="H22" s="20"/>
      <c r="I22" s="20"/>
      <c r="J22" s="70"/>
      <c r="K22" s="20"/>
      <c r="L22" s="20"/>
      <c r="M22" s="135"/>
      <c r="N22" s="20"/>
      <c r="O22" s="20"/>
      <c r="P22" s="38"/>
      <c r="Q22" s="20"/>
      <c r="R22" s="20"/>
      <c r="S22" s="136"/>
      <c r="T22" s="20"/>
      <c r="U22" s="20"/>
      <c r="V22" s="141"/>
      <c r="W22" s="20"/>
      <c r="X22" s="20"/>
      <c r="Y22" s="142"/>
      <c r="Z22" s="20"/>
      <c r="AA22" s="20"/>
      <c r="AB22" s="137"/>
      <c r="AC22" s="20"/>
      <c r="AD22" s="20"/>
      <c r="AE22" s="141"/>
      <c r="AF22" s="20"/>
      <c r="AG22" s="20"/>
      <c r="AH22" s="136"/>
      <c r="AI22" s="20"/>
      <c r="AJ22" s="20"/>
      <c r="AK22" s="38"/>
      <c r="AL22" s="20"/>
      <c r="AM22" s="20"/>
      <c r="AN22" s="138"/>
      <c r="AO22" s="20"/>
      <c r="AP22" s="20"/>
      <c r="AQ22" s="137"/>
      <c r="AR22" s="20"/>
      <c r="AS22" s="20"/>
      <c r="AT22" s="139"/>
      <c r="AU22" s="20"/>
      <c r="AV22" s="20"/>
      <c r="AW22" s="38"/>
    </row>
    <row r="23" hidden="1" spans="1:49">
      <c r="B23" s="2"/>
      <c r="C23" s="6"/>
      <c r="E23" s="20"/>
      <c r="F23" s="20"/>
      <c r="G23" s="38"/>
      <c r="H23" s="20"/>
      <c r="I23" s="20"/>
      <c r="J23" s="70"/>
      <c r="K23" s="20"/>
      <c r="L23" s="20"/>
      <c r="M23" s="135"/>
      <c r="N23" s="20"/>
      <c r="O23" s="20"/>
      <c r="P23" s="38"/>
      <c r="Q23" s="20"/>
      <c r="R23" s="20"/>
      <c r="S23" s="136"/>
      <c r="T23" s="20"/>
      <c r="U23" s="20"/>
      <c r="V23" s="141"/>
      <c r="W23" s="20"/>
      <c r="X23" s="20"/>
      <c r="Y23" s="142"/>
      <c r="Z23" s="20"/>
      <c r="AA23" s="20"/>
      <c r="AB23" s="137"/>
      <c r="AC23" s="20"/>
      <c r="AD23" s="20"/>
      <c r="AE23" s="141"/>
      <c r="AF23" s="20"/>
      <c r="AG23" s="20"/>
      <c r="AH23" s="136"/>
      <c r="AI23" s="20"/>
      <c r="AJ23" s="20"/>
      <c r="AK23" s="38"/>
      <c r="AL23" s="20"/>
      <c r="AM23" s="20"/>
      <c r="AN23" s="138"/>
      <c r="AO23" s="20"/>
      <c r="AP23" s="20"/>
      <c r="AQ23" s="137"/>
      <c r="AR23" s="20"/>
      <c r="AS23" s="20"/>
      <c r="AT23" s="139"/>
      <c r="AU23" s="20"/>
      <c r="AV23" s="20"/>
      <c r="AW23" s="38"/>
    </row>
    <row r="24" spans="1:49">
      <c r="A24" s="2">
        <v>7</v>
      </c>
      <c r="B24" s="2" t="s">
        <v>182</v>
      </c>
      <c r="C24" s="37" t="s">
        <v>183</v>
      </c>
      <c r="D24" s="50" t="s">
        <v>184</v>
      </c>
      <c r="E24" s="20">
        <f>E9</f>
        <v>728</v>
      </c>
      <c r="F24" s="42">
        <f>G21</f>
        <v>135.806213690486</v>
      </c>
      <c r="G24" s="38">
        <f>E24/F24</f>
        <v>5.3605794625802</v>
      </c>
      <c r="H24" s="20">
        <f>H9</f>
        <v>856</v>
      </c>
      <c r="I24" s="42">
        <f>J21</f>
        <v>198.97146656</v>
      </c>
      <c r="J24" s="70">
        <f>H24/I24</f>
        <v>4.3021243940114</v>
      </c>
      <c r="K24" s="20">
        <f>K9</f>
        <v>389</v>
      </c>
      <c r="L24" s="42">
        <f>M21</f>
        <v>116.071035004199</v>
      </c>
      <c r="M24" s="135">
        <f>K24/L24</f>
        <v>3.35139597907373</v>
      </c>
      <c r="N24" s="20">
        <f>N9</f>
        <v>585</v>
      </c>
      <c r="O24" s="42">
        <f>P21</f>
        <v>136.466496633912</v>
      </c>
      <c r="P24" s="38">
        <f>N24/O24</f>
        <v>4.28676645498811</v>
      </c>
      <c r="Q24" s="20">
        <f>Q9</f>
        <v>492</v>
      </c>
      <c r="R24" s="42">
        <f>S21</f>
        <v>121.889266759777</v>
      </c>
      <c r="S24" s="136">
        <f>Q24/R24</f>
        <v>4.03645056762586</v>
      </c>
      <c r="T24" s="20">
        <f>T9</f>
        <v>496</v>
      </c>
      <c r="U24" s="42">
        <f>V21</f>
        <v>128.571005639301</v>
      </c>
      <c r="V24" s="141">
        <f>T24/U24</f>
        <v>3.8577904678719</v>
      </c>
      <c r="W24" s="20">
        <f>W9</f>
        <v>465</v>
      </c>
      <c r="X24" s="42">
        <f>Y21</f>
        <v>164.233348217892</v>
      </c>
      <c r="Y24" s="96">
        <f>W24/X24</f>
        <v>2.83133727130178</v>
      </c>
      <c r="Z24" s="20">
        <f>Z9</f>
        <v>462</v>
      </c>
      <c r="AA24" s="42">
        <f>AB21</f>
        <v>146.9085678</v>
      </c>
      <c r="AB24" s="137">
        <f>Z24/AA24</f>
        <v>3.14481317814603</v>
      </c>
      <c r="AC24" s="20">
        <f>AC9</f>
        <v>439</v>
      </c>
      <c r="AD24" s="42">
        <f>AE21</f>
        <v>167.970285646552</v>
      </c>
      <c r="AE24" s="96">
        <f>AC24/AD24</f>
        <v>2.6135575010199</v>
      </c>
      <c r="AF24" s="20">
        <f>AF9</f>
        <v>437</v>
      </c>
      <c r="AG24" s="42">
        <f>AH21</f>
        <v>132.67060296</v>
      </c>
      <c r="AH24" s="96">
        <f>AF24/AG24</f>
        <v>3.29387211823975</v>
      </c>
      <c r="AI24" s="20">
        <f>AI9</f>
        <v>427</v>
      </c>
      <c r="AJ24" s="42">
        <f>AK21</f>
        <v>125.414586010145</v>
      </c>
      <c r="AK24" s="38">
        <f>AI24/AJ24</f>
        <v>3.40470764672825</v>
      </c>
      <c r="AL24" s="20">
        <f>AL9</f>
        <v>392</v>
      </c>
      <c r="AM24" s="42">
        <f>AN21</f>
        <v>110.604184669598</v>
      </c>
      <c r="AN24" s="138">
        <f>AL24/AM24</f>
        <v>3.54416970000728</v>
      </c>
      <c r="AO24" s="20">
        <f>AO9</f>
        <v>2225</v>
      </c>
      <c r="AP24" s="42">
        <f>AQ21</f>
        <v>103.359908666667</v>
      </c>
      <c r="AQ24" s="137">
        <f>AO24/AP24</f>
        <v>21.5267218083133</v>
      </c>
      <c r="AR24" s="20">
        <f>AR9</f>
        <v>1360</v>
      </c>
      <c r="AS24" s="42">
        <f>AT21</f>
        <v>102.877466133333</v>
      </c>
      <c r="AT24" s="139">
        <f>AR24/AS24</f>
        <v>13.2196101937171</v>
      </c>
      <c r="AU24" s="20">
        <f>AU9</f>
        <v>5100</v>
      </c>
      <c r="AV24" s="42">
        <f>AW21</f>
        <v>461.215210473981</v>
      </c>
      <c r="AW24" s="38">
        <f>AU24/AV24</f>
        <v>11.0577445933729</v>
      </c>
    </row>
    <row r="25" ht="8" customHeight="1" spans="1:49">
      <c r="B25" s="2"/>
      <c r="C25" s="2" t="s">
        <v>185</v>
      </c>
      <c r="E25" s="20"/>
      <c r="F25" s="42"/>
      <c r="G25" s="38"/>
      <c r="H25" s="20"/>
      <c r="I25" s="42"/>
      <c r="J25" s="70"/>
      <c r="K25" s="20"/>
      <c r="L25" s="42"/>
      <c r="M25" s="135"/>
      <c r="N25" s="20"/>
      <c r="O25" s="42"/>
      <c r="P25" s="38"/>
      <c r="Q25" s="20"/>
      <c r="R25" s="42"/>
      <c r="S25" s="136"/>
      <c r="T25" s="20"/>
      <c r="U25" s="42"/>
      <c r="V25" s="141"/>
      <c r="W25" s="20"/>
      <c r="X25" s="42"/>
      <c r="Y25" s="96"/>
      <c r="Z25" s="20"/>
      <c r="AA25" s="42"/>
      <c r="AB25" s="137"/>
      <c r="AC25" s="20"/>
      <c r="AD25" s="42"/>
      <c r="AE25" s="96"/>
      <c r="AF25" s="20"/>
      <c r="AG25" s="42"/>
      <c r="AH25" s="96"/>
      <c r="AI25" s="20"/>
      <c r="AJ25" s="42"/>
      <c r="AK25" s="38"/>
      <c r="AL25" s="20"/>
      <c r="AM25" s="42"/>
      <c r="AN25" s="138"/>
      <c r="AO25" s="20"/>
      <c r="AP25" s="42"/>
      <c r="AQ25" s="137"/>
      <c r="AR25" s="20"/>
      <c r="AS25" s="42"/>
      <c r="AT25" s="139"/>
      <c r="AU25" s="20"/>
      <c r="AV25" s="42"/>
      <c r="AW25" s="38"/>
    </row>
    <row r="26" hidden="1" spans="1:49">
      <c r="B26" s="2"/>
      <c r="C26" s="2"/>
      <c r="E26" s="20"/>
      <c r="G26" s="85"/>
      <c r="H26" s="20"/>
      <c r="I26" s="2"/>
      <c r="J26" s="175"/>
      <c r="K26" s="20"/>
      <c r="L26" s="2"/>
      <c r="M26" s="176"/>
      <c r="N26" s="20"/>
      <c r="O26" s="2"/>
      <c r="P26" s="85"/>
      <c r="Q26" s="20"/>
      <c r="R26" s="2"/>
      <c r="S26" s="177"/>
      <c r="T26" s="20"/>
      <c r="U26" s="2"/>
      <c r="V26" s="178"/>
      <c r="W26" s="20"/>
      <c r="X26" s="2"/>
      <c r="Y26" s="179"/>
      <c r="Z26" s="20"/>
      <c r="AA26" s="2"/>
      <c r="AB26" s="180"/>
      <c r="AC26" s="20"/>
      <c r="AD26" s="2"/>
      <c r="AE26" s="178"/>
      <c r="AF26" s="20"/>
      <c r="AG26" s="2"/>
      <c r="AH26" s="177"/>
      <c r="AI26" s="20"/>
      <c r="AJ26" s="2"/>
      <c r="AK26" s="85"/>
      <c r="AL26" s="20"/>
      <c r="AM26" s="2"/>
      <c r="AN26" s="181"/>
      <c r="AO26" s="20"/>
      <c r="AP26" s="2"/>
      <c r="AQ26" s="180"/>
      <c r="AR26" s="20"/>
      <c r="AS26" s="2"/>
      <c r="AT26" s="182"/>
      <c r="AU26" s="20"/>
      <c r="AV26" s="2"/>
      <c r="AW26" s="85"/>
    </row>
    <row r="27" spans="1:49">
      <c r="A27" s="2">
        <v>8</v>
      </c>
      <c r="B27" s="2" t="s">
        <v>186</v>
      </c>
      <c r="C27" s="37" t="s">
        <v>187</v>
      </c>
      <c r="D27" s="41" t="s">
        <v>295</v>
      </c>
      <c r="E27" s="42">
        <v>21</v>
      </c>
      <c r="F27" s="20">
        <f>E9</f>
        <v>728</v>
      </c>
      <c r="G27" s="38">
        <f>(E27/F27)*100</f>
        <v>2.88461538461538</v>
      </c>
      <c r="H27" s="42">
        <v>10.5</v>
      </c>
      <c r="I27" s="20">
        <f>H9</f>
        <v>856</v>
      </c>
      <c r="J27" s="70">
        <f>(H27/I27)*100</f>
        <v>1.22663551401869</v>
      </c>
      <c r="K27" s="42">
        <v>8</v>
      </c>
      <c r="L27" s="20">
        <f>K9</f>
        <v>389</v>
      </c>
      <c r="M27" s="135">
        <f>(K27/L27)*100</f>
        <v>2.05655526992288</v>
      </c>
      <c r="N27" s="42">
        <v>15</v>
      </c>
      <c r="O27" s="20">
        <f>N9</f>
        <v>585</v>
      </c>
      <c r="P27" s="38">
        <f>(N27/O27)*100</f>
        <v>2.56410256410256</v>
      </c>
      <c r="Q27" s="42">
        <v>8.4</v>
      </c>
      <c r="R27" s="20">
        <f>Q9</f>
        <v>492</v>
      </c>
      <c r="S27" s="136">
        <f>(Q27/R27)*100</f>
        <v>1.70731707317073</v>
      </c>
      <c r="T27" s="42">
        <v>5.3</v>
      </c>
      <c r="U27" s="20">
        <f>T9</f>
        <v>496</v>
      </c>
      <c r="V27" s="141">
        <f>(T27/U27)*100</f>
        <v>1.06854838709677</v>
      </c>
      <c r="W27" s="42">
        <v>25</v>
      </c>
      <c r="X27" s="20">
        <f>W9</f>
        <v>465</v>
      </c>
      <c r="Y27" s="96">
        <f>(W27/X27)*100</f>
        <v>5.37634408602151</v>
      </c>
      <c r="Z27" s="42">
        <v>28.4</v>
      </c>
      <c r="AA27" s="20">
        <f>Z9</f>
        <v>462</v>
      </c>
      <c r="AB27" s="96">
        <f>(Z27/AA27)*100</f>
        <v>6.14718614718615</v>
      </c>
      <c r="AC27" s="42">
        <v>12.6</v>
      </c>
      <c r="AD27" s="20">
        <f>AC9</f>
        <v>439</v>
      </c>
      <c r="AE27" s="141">
        <f>(AC27/AD27)*100</f>
        <v>2.87015945330296</v>
      </c>
      <c r="AF27" s="42">
        <v>21</v>
      </c>
      <c r="AG27" s="20">
        <f>AF9</f>
        <v>437</v>
      </c>
      <c r="AH27" s="96">
        <f>(AF27/AG27)*100</f>
        <v>4.80549199084668</v>
      </c>
      <c r="AI27" s="42">
        <v>20</v>
      </c>
      <c r="AJ27" s="20">
        <f>AI9</f>
        <v>427</v>
      </c>
      <c r="AK27" s="38">
        <f>(AI27/AJ27)*100</f>
        <v>4.68384074941452</v>
      </c>
      <c r="AL27" s="42">
        <v>9.2</v>
      </c>
      <c r="AM27" s="20">
        <f>AL9</f>
        <v>392</v>
      </c>
      <c r="AN27" s="138">
        <f>(AL27/AM27)*100</f>
        <v>2.3469387755102</v>
      </c>
      <c r="AO27" s="42">
        <v>0</v>
      </c>
      <c r="AP27" s="20">
        <f>AO9</f>
        <v>2225</v>
      </c>
      <c r="AQ27" s="137">
        <f>(AO27/AP27)*100</f>
        <v>0</v>
      </c>
      <c r="AR27" s="42">
        <v>0</v>
      </c>
      <c r="AS27" s="20">
        <f>AR9</f>
        <v>1360</v>
      </c>
      <c r="AT27" s="139">
        <f>(AR27/AS27)*100</f>
        <v>0</v>
      </c>
      <c r="AU27" s="42">
        <v>0</v>
      </c>
      <c r="AV27" s="20">
        <f>AU9</f>
        <v>5100</v>
      </c>
      <c r="AW27" s="38">
        <f>(AU27/AV27)*100</f>
        <v>0</v>
      </c>
    </row>
    <row r="28" ht="8" customHeight="1" spans="1:49">
      <c r="B28" s="2"/>
      <c r="C28" s="2" t="s">
        <v>189</v>
      </c>
      <c r="D28" s="41"/>
      <c r="E28" s="42"/>
      <c r="F28" s="20"/>
      <c r="G28" s="38"/>
      <c r="H28" s="42"/>
      <c r="I28" s="20"/>
      <c r="J28" s="70"/>
      <c r="K28" s="42"/>
      <c r="L28" s="20"/>
      <c r="M28" s="135"/>
      <c r="N28" s="42"/>
      <c r="O28" s="20"/>
      <c r="P28" s="38"/>
      <c r="Q28" s="42"/>
      <c r="R28" s="20"/>
      <c r="S28" s="136"/>
      <c r="T28" s="42"/>
      <c r="U28" s="20"/>
      <c r="V28" s="141"/>
      <c r="W28" s="42"/>
      <c r="X28" s="20"/>
      <c r="Y28" s="96"/>
      <c r="Z28" s="42"/>
      <c r="AA28" s="20"/>
      <c r="AB28" s="96"/>
      <c r="AC28" s="42"/>
      <c r="AD28" s="20"/>
      <c r="AE28" s="141"/>
      <c r="AF28" s="42"/>
      <c r="AG28" s="20"/>
      <c r="AH28" s="96"/>
      <c r="AI28" s="42"/>
      <c r="AJ28" s="20"/>
      <c r="AK28" s="38"/>
      <c r="AL28" s="42"/>
      <c r="AM28" s="20"/>
      <c r="AN28" s="138"/>
      <c r="AO28" s="42"/>
      <c r="AP28" s="20"/>
      <c r="AQ28" s="137"/>
      <c r="AR28" s="42"/>
      <c r="AS28" s="20"/>
      <c r="AT28" s="139"/>
      <c r="AU28" s="42"/>
      <c r="AV28" s="20"/>
      <c r="AW28" s="38"/>
    </row>
    <row r="29" hidden="1" spans="1:49">
      <c r="A29"/>
      <c r="G29" s="80"/>
      <c r="H29" s="2"/>
      <c r="I29" s="2"/>
      <c r="J29" s="167"/>
      <c r="K29" s="2"/>
      <c r="L29" s="2"/>
      <c r="M29" s="168"/>
      <c r="N29" s="2"/>
      <c r="O29" s="2"/>
      <c r="P29" s="80"/>
      <c r="Q29" s="2"/>
      <c r="R29" s="2"/>
      <c r="S29" s="169"/>
      <c r="T29" s="2"/>
      <c r="U29" s="2"/>
      <c r="V29" s="170"/>
      <c r="W29" s="2"/>
      <c r="X29" s="2"/>
      <c r="Y29" s="171"/>
      <c r="Z29" s="2"/>
      <c r="AA29" s="2"/>
      <c r="AB29" s="172"/>
      <c r="AC29" s="2"/>
      <c r="AD29" s="2"/>
      <c r="AE29" s="170"/>
      <c r="AF29" s="2"/>
      <c r="AG29" s="2"/>
      <c r="AH29" s="169"/>
      <c r="AI29" s="2"/>
      <c r="AJ29" s="2"/>
      <c r="AK29" s="80"/>
      <c r="AL29" s="2"/>
      <c r="AM29" s="2"/>
      <c r="AN29" s="173"/>
      <c r="AO29" s="2"/>
      <c r="AP29" s="2"/>
      <c r="AQ29" s="172"/>
      <c r="AR29" s="2"/>
      <c r="AS29" s="2"/>
      <c r="AT29" s="174"/>
      <c r="AU29" s="2"/>
      <c r="AV29" s="2"/>
      <c r="AW29" s="80"/>
    </row>
    <row r="30" spans="1:49">
      <c r="A30" s="2">
        <v>9</v>
      </c>
      <c r="B30" s="2" t="s">
        <v>202</v>
      </c>
      <c r="C30" s="37" t="s">
        <v>203</v>
      </c>
      <c r="D30" s="2" t="s">
        <v>172</v>
      </c>
      <c r="E30" s="20">
        <v>243769956927</v>
      </c>
      <c r="F30" s="20">
        <f>F5</f>
        <v>90287632</v>
      </c>
      <c r="G30" s="85">
        <f>E30/F30</f>
        <v>2699.92635233805</v>
      </c>
      <c r="H30" s="20">
        <v>141581706425</v>
      </c>
      <c r="I30" s="20">
        <f>I5</f>
        <v>50000000</v>
      </c>
      <c r="J30" s="175">
        <f>H30/I30</f>
        <v>2831.6341285</v>
      </c>
      <c r="K30" s="20">
        <v>88735982448</v>
      </c>
      <c r="L30" s="20">
        <f>L5</f>
        <v>91432373</v>
      </c>
      <c r="M30" s="176">
        <f>K30/L30</f>
        <v>970.509454545164</v>
      </c>
      <c r="N30" s="20">
        <v>98169194245</v>
      </c>
      <c r="O30" s="20">
        <f>O5</f>
        <v>52121330</v>
      </c>
      <c r="P30" s="85">
        <f>N30/O30</f>
        <v>1883.47446707519</v>
      </c>
      <c r="Q30" s="20">
        <v>19414529805</v>
      </c>
      <c r="R30" s="20">
        <f>R5</f>
        <v>47256000</v>
      </c>
      <c r="S30" s="177">
        <f>Q30/R30</f>
        <v>410.837349860335</v>
      </c>
      <c r="T30" s="20">
        <v>53372805128</v>
      </c>
      <c r="U30" s="20">
        <f>U5</f>
        <v>33998363</v>
      </c>
      <c r="V30" s="178">
        <f>T30/U30</f>
        <v>1569.86397045058</v>
      </c>
      <c r="W30" s="20">
        <v>16521030468</v>
      </c>
      <c r="X30" s="20">
        <f>X5</f>
        <v>39616000</v>
      </c>
      <c r="Y30" s="179">
        <f>W30/X30</f>
        <v>417.029242427302</v>
      </c>
      <c r="Z30" s="20">
        <v>25957037564</v>
      </c>
      <c r="AA30" s="20">
        <f>AA5</f>
        <v>50000000</v>
      </c>
      <c r="AB30" s="180">
        <f>Z30/AA30</f>
        <v>519.14075128</v>
      </c>
      <c r="AC30" s="20">
        <v>20982403756</v>
      </c>
      <c r="AD30" s="20">
        <f>AD5</f>
        <v>46400000</v>
      </c>
      <c r="AE30" s="178">
        <f>AC30/AD30</f>
        <v>452.2069775</v>
      </c>
      <c r="AF30" s="20">
        <v>19722228400</v>
      </c>
      <c r="AG30" s="20">
        <f>AG5</f>
        <v>50000000</v>
      </c>
      <c r="AH30" s="177">
        <f>AF30/AG30</f>
        <v>394.444568</v>
      </c>
      <c r="AI30" s="20">
        <v>46940455219</v>
      </c>
      <c r="AJ30" s="20">
        <f>AJ5</f>
        <v>50119477</v>
      </c>
      <c r="AK30" s="85">
        <f>AI30/AJ30</f>
        <v>936.571130201538</v>
      </c>
      <c r="AL30" s="20">
        <v>24703427980</v>
      </c>
      <c r="AM30" s="20">
        <f>AM5</f>
        <v>50149240</v>
      </c>
      <c r="AN30" s="181">
        <f>AL30/AM30</f>
        <v>492.598252336426</v>
      </c>
      <c r="AO30" s="20">
        <v>943583500</v>
      </c>
      <c r="AP30" s="20">
        <f>AP5</f>
        <v>7500000</v>
      </c>
      <c r="AQ30" s="180">
        <f>AO30/AP30</f>
        <v>125.811133333333</v>
      </c>
      <c r="AR30" s="20">
        <v>941817614</v>
      </c>
      <c r="AS30" s="20">
        <f>AS5</f>
        <v>7500000</v>
      </c>
      <c r="AT30" s="182">
        <f>AR30/AS30</f>
        <v>125.575681866667</v>
      </c>
      <c r="AU30" s="20">
        <v>66794845681</v>
      </c>
      <c r="AV30" s="20">
        <f>AV5</f>
        <v>1810200</v>
      </c>
      <c r="AW30" s="85">
        <f>AU30/AV30</f>
        <v>36899.1524036018</v>
      </c>
    </row>
    <row r="31" ht="6.5" customHeight="1" spans="1:49">
      <c r="B31" s="2"/>
      <c r="C31" s="6" t="s">
        <v>163</v>
      </c>
      <c r="E31" s="20"/>
      <c r="G31" s="85"/>
      <c r="H31" s="20"/>
      <c r="I31" s="2"/>
      <c r="J31" s="175"/>
      <c r="K31" s="20"/>
      <c r="L31" s="2"/>
      <c r="M31" s="176"/>
      <c r="N31" s="20"/>
      <c r="O31" s="2"/>
      <c r="P31" s="85"/>
      <c r="Q31" s="20"/>
      <c r="R31" s="2"/>
      <c r="S31" s="177"/>
      <c r="T31" s="20"/>
      <c r="U31" s="2"/>
      <c r="V31" s="178"/>
      <c r="W31" s="20"/>
      <c r="X31" s="2"/>
      <c r="Y31" s="179"/>
      <c r="Z31" s="20"/>
      <c r="AA31" s="2"/>
      <c r="AB31" s="180"/>
      <c r="AC31" s="20"/>
      <c r="AD31" s="2"/>
      <c r="AE31" s="178"/>
      <c r="AF31" s="20"/>
      <c r="AG31" s="2"/>
      <c r="AH31" s="177"/>
      <c r="AI31" s="20"/>
      <c r="AJ31" s="2"/>
      <c r="AK31" s="85"/>
      <c r="AL31" s="20"/>
      <c r="AM31" s="2"/>
      <c r="AN31" s="181"/>
      <c r="AO31" s="20"/>
      <c r="AP31" s="2"/>
      <c r="AQ31" s="180"/>
      <c r="AR31" s="20"/>
      <c r="AS31" s="2"/>
      <c r="AT31" s="182"/>
      <c r="AU31" s="20"/>
      <c r="AV31" s="2"/>
      <c r="AW31" s="85"/>
    </row>
    <row r="32" hidden="1" spans="1:49">
      <c r="A32"/>
      <c r="D32"/>
      <c r="E32"/>
      <c r="F32"/>
      <c r="G32" s="48"/>
      <c r="J32" s="152"/>
      <c r="M32" s="114"/>
      <c r="P32" s="48"/>
      <c r="S32" s="153"/>
      <c r="V32" s="154"/>
      <c r="Y32" s="155"/>
      <c r="AB32" s="156"/>
      <c r="AE32" s="154"/>
      <c r="AH32" s="153"/>
      <c r="AK32" s="48"/>
      <c r="AN32" s="157"/>
      <c r="AQ32" s="156"/>
      <c r="AT32" s="158"/>
      <c r="AW32" s="48"/>
    </row>
    <row r="33" spans="1:49">
      <c r="A33" s="2">
        <v>10</v>
      </c>
      <c r="B33" s="2" t="s">
        <v>125</v>
      </c>
      <c r="C33" s="37" t="s">
        <v>122</v>
      </c>
      <c r="D33" s="2" t="s">
        <v>649</v>
      </c>
      <c r="E33" s="20">
        <f>G15</f>
        <v>0.00891304061196085</v>
      </c>
      <c r="F33" s="20">
        <f>E33/G33</f>
        <v>0.006146924559973</v>
      </c>
      <c r="G33" s="38">
        <v>1.45</v>
      </c>
      <c r="H33" s="20">
        <f>J15</f>
        <v>0.44896934400687</v>
      </c>
      <c r="I33" s="20">
        <f>H33/J33</f>
        <v>0.309634030349565</v>
      </c>
      <c r="J33" s="70">
        <v>1.45</v>
      </c>
      <c r="K33" s="20">
        <f>M15</f>
        <v>0.0477446648381998</v>
      </c>
      <c r="L33" s="20">
        <f>K33/M33</f>
        <v>0.0123690841549741</v>
      </c>
      <c r="M33" s="135">
        <v>3.86</v>
      </c>
      <c r="N33" s="20">
        <f>N15</f>
        <v>7112815305</v>
      </c>
      <c r="O33" s="20">
        <f>N33/P33</f>
        <v>5308071123.13433</v>
      </c>
      <c r="P33" s="38">
        <v>1.34</v>
      </c>
      <c r="Q33" s="20">
        <f>Q15</f>
        <v>5759999190</v>
      </c>
      <c r="R33" s="20">
        <f>Q33/S33</f>
        <v>2938775096.93878</v>
      </c>
      <c r="S33" s="136">
        <v>1.96</v>
      </c>
      <c r="T33" s="20">
        <f>T15</f>
        <v>4371203721</v>
      </c>
      <c r="U33" s="20">
        <f>T33/V33</f>
        <v>1977920235.74661</v>
      </c>
      <c r="V33" s="141">
        <v>2.21</v>
      </c>
      <c r="W33" s="20">
        <f>W15</f>
        <v>6506268323</v>
      </c>
      <c r="X33" s="20">
        <f>W33/Y33</f>
        <v>2792389838.19742</v>
      </c>
      <c r="Y33" s="96">
        <v>2.33</v>
      </c>
      <c r="Z33" s="20">
        <f>Z15</f>
        <v>7345428390</v>
      </c>
      <c r="AA33" s="20">
        <f>Z33/AB33</f>
        <v>2147786078.94737</v>
      </c>
      <c r="AB33" s="96">
        <v>3.42</v>
      </c>
      <c r="AC33" s="20">
        <f>AC15</f>
        <v>7793821254</v>
      </c>
      <c r="AD33" s="20">
        <f>AC33/AE33</f>
        <v>2141159685.16483</v>
      </c>
      <c r="AE33" s="96">
        <v>3.64</v>
      </c>
      <c r="AF33" s="20">
        <f>AF15</f>
        <v>6633530148</v>
      </c>
      <c r="AG33" s="20">
        <f>AF33/AH33</f>
        <v>2977347463.19569</v>
      </c>
      <c r="AH33" s="136">
        <v>2.228</v>
      </c>
      <c r="AI33" s="20">
        <f>AI15</f>
        <v>6285713459</v>
      </c>
      <c r="AJ33" s="20">
        <f>AI33/AK33</f>
        <v>2544823262.75304</v>
      </c>
      <c r="AK33" s="96">
        <v>2.47</v>
      </c>
      <c r="AL33" s="20">
        <f>AL15</f>
        <v>5546715802</v>
      </c>
      <c r="AM33" s="20">
        <f>AL33/AN33</f>
        <v>3799120412.32877</v>
      </c>
      <c r="AN33" s="138">
        <v>1.46</v>
      </c>
      <c r="AO33" s="20">
        <f>AO15</f>
        <v>775199315</v>
      </c>
      <c r="AP33" s="20">
        <f>AO33/AQ33</f>
        <v>393502190.35533</v>
      </c>
      <c r="AQ33" s="137">
        <v>1.97</v>
      </c>
      <c r="AR33" s="20">
        <f>AR15</f>
        <v>771580996</v>
      </c>
      <c r="AS33" s="20">
        <f>AR33/AT33</f>
        <v>391665480.203046</v>
      </c>
      <c r="AT33" s="139">
        <v>1.97</v>
      </c>
      <c r="AU33" s="20">
        <f>AU15</f>
        <v>834891774</v>
      </c>
      <c r="AV33" s="20"/>
      <c r="AW33" s="38">
        <v>2</v>
      </c>
    </row>
    <row r="34" ht="9" customHeight="1" spans="1:49">
      <c r="B34" s="2"/>
      <c r="C34" s="2" t="s">
        <v>650</v>
      </c>
      <c r="E34" s="20"/>
      <c r="F34" s="20"/>
      <c r="G34" s="38"/>
      <c r="H34" s="20"/>
      <c r="I34" s="20"/>
      <c r="J34" s="70"/>
      <c r="K34" s="20"/>
      <c r="L34" s="20"/>
      <c r="M34" s="135"/>
      <c r="N34" s="20"/>
      <c r="O34" s="20"/>
      <c r="P34" s="38"/>
      <c r="Q34" s="20"/>
      <c r="R34" s="20"/>
      <c r="S34" s="136"/>
      <c r="T34" s="20"/>
      <c r="U34" s="20"/>
      <c r="V34" s="141"/>
      <c r="W34" s="20"/>
      <c r="X34" s="20"/>
      <c r="Y34" s="96"/>
      <c r="Z34" s="20"/>
      <c r="AA34" s="20"/>
      <c r="AB34" s="96"/>
      <c r="AC34" s="20"/>
      <c r="AD34" s="20"/>
      <c r="AE34" s="96"/>
      <c r="AF34" s="20"/>
      <c r="AG34" s="20"/>
      <c r="AH34" s="136"/>
      <c r="AI34" s="20"/>
      <c r="AJ34" s="20"/>
      <c r="AK34" s="96"/>
      <c r="AL34" s="20"/>
      <c r="AM34" s="20"/>
      <c r="AN34" s="138"/>
      <c r="AO34" s="20"/>
      <c r="AP34" s="20"/>
      <c r="AQ34" s="137"/>
      <c r="AR34" s="20"/>
      <c r="AS34" s="20"/>
      <c r="AT34" s="139"/>
      <c r="AU34" s="20"/>
      <c r="AV34" s="20"/>
      <c r="AW34" s="38"/>
    </row>
    <row r="35" ht="14.5" hidden="1" customHeight="1" spans="1:49">
      <c r="A35"/>
      <c r="D35"/>
      <c r="E35" s="99"/>
      <c r="F35" s="99"/>
      <c r="G35" s="100"/>
      <c r="H35" s="99"/>
      <c r="I35" s="99"/>
      <c r="J35" s="183"/>
      <c r="K35" s="99"/>
      <c r="L35" s="99"/>
      <c r="M35" s="184"/>
      <c r="N35" s="99"/>
      <c r="O35" s="99"/>
      <c r="P35" s="100"/>
      <c r="Q35" s="99"/>
      <c r="R35" s="99"/>
      <c r="S35" s="185"/>
      <c r="T35" s="99"/>
      <c r="U35" s="99"/>
      <c r="V35" s="186"/>
      <c r="W35" s="99"/>
      <c r="X35" s="99"/>
      <c r="Y35" s="187"/>
      <c r="AB35" s="156"/>
      <c r="AE35" s="154"/>
      <c r="AH35" s="153"/>
      <c r="AK35" s="48"/>
      <c r="AN35" s="157"/>
      <c r="AQ35" s="156"/>
      <c r="AT35" s="158"/>
      <c r="AW35" s="48"/>
    </row>
    <row r="36" ht="14.5" customHeight="1" spans="1:49">
      <c r="A36" s="2">
        <v>11</v>
      </c>
      <c r="B36" s="23" t="s">
        <v>651</v>
      </c>
      <c r="C36" s="23" t="s">
        <v>652</v>
      </c>
      <c r="D36" s="41" t="s">
        <v>653</v>
      </c>
      <c r="E36" s="20">
        <f>E5/2</f>
        <v>434707136.04</v>
      </c>
      <c r="F36" s="46">
        <v>1384480698</v>
      </c>
      <c r="G36" s="188">
        <f>E36-F36</f>
        <v>-949773561.96</v>
      </c>
      <c r="H36" s="20">
        <f>H5/2</f>
        <v>157308717.653</v>
      </c>
      <c r="I36" s="46">
        <v>710820192</v>
      </c>
      <c r="J36" s="189">
        <f>H36-I36</f>
        <v>-553511474.347</v>
      </c>
      <c r="K36" s="20">
        <f>K5/2</f>
        <v>314855040.5565</v>
      </c>
      <c r="L36" s="46">
        <v>192936333</v>
      </c>
      <c r="M36" s="190">
        <f>K36-L36</f>
        <v>121918707.5565</v>
      </c>
      <c r="N36" s="20">
        <f>N5/2</f>
        <v>272280503.519</v>
      </c>
      <c r="O36" s="46">
        <v>1415507075</v>
      </c>
      <c r="P36" s="188">
        <f>N36-O36</f>
        <v>-1143226571.481</v>
      </c>
      <c r="Q36" s="20">
        <f>Q5/2</f>
        <v>180437235.411</v>
      </c>
      <c r="R36" s="46">
        <v>3369500</v>
      </c>
      <c r="S36" s="191">
        <f>Q36-R36</f>
        <v>177067735.411</v>
      </c>
      <c r="T36" s="20">
        <f>T5/2</f>
        <v>223088833.1785</v>
      </c>
      <c r="U36" s="46">
        <v>98368000</v>
      </c>
      <c r="V36" s="192">
        <f>T36-U36</f>
        <v>124720833.1785</v>
      </c>
      <c r="W36" s="20">
        <f>W5/2</f>
        <v>219276960.385</v>
      </c>
      <c r="X36" s="46">
        <v>25175773</v>
      </c>
      <c r="Y36" s="46">
        <f>W36-X36</f>
        <v>194101187.385</v>
      </c>
      <c r="Z36" s="20">
        <f>Z5/2</f>
        <v>238372558.625</v>
      </c>
      <c r="AA36" s="46">
        <v>80842466</v>
      </c>
      <c r="AB36" s="46">
        <f>Z36-AA36</f>
        <v>157530092.625</v>
      </c>
      <c r="AC36" s="20">
        <f>AC5/2</f>
        <v>310453671.8405</v>
      </c>
      <c r="AD36" s="46">
        <v>63054170</v>
      </c>
      <c r="AE36" s="46">
        <f>AC36-AD36</f>
        <v>247399501.8405</v>
      </c>
      <c r="AF36" s="20">
        <f>AF5/2</f>
        <v>244161008.484</v>
      </c>
      <c r="AG36" s="46">
        <v>276972388</v>
      </c>
      <c r="AH36" s="191">
        <f>AF36-AG36</f>
        <v>-32811379.516</v>
      </c>
      <c r="AI36" s="20">
        <f>AI5/2</f>
        <v>197117626.2705</v>
      </c>
      <c r="AJ36" s="46">
        <v>97736739</v>
      </c>
      <c r="AK36" s="188">
        <f>AI36-AJ36</f>
        <v>99380887.2705</v>
      </c>
      <c r="AL36" s="20">
        <f>AL5/2</f>
        <v>225048749.077</v>
      </c>
      <c r="AM36" s="46">
        <v>353814353</v>
      </c>
      <c r="AN36" s="193">
        <f>AL36-AM36</f>
        <v>-128765603.923</v>
      </c>
      <c r="AO36" s="20">
        <f>AO5/2</f>
        <v>18281811.7375</v>
      </c>
      <c r="AP36" s="46">
        <v>0</v>
      </c>
      <c r="AQ36" s="194">
        <f>AO36-AP36</f>
        <v>18281811.7375</v>
      </c>
      <c r="AR36" s="20">
        <f>AR5/2</f>
        <v>7020482.4405</v>
      </c>
      <c r="AS36" s="46">
        <v>0</v>
      </c>
      <c r="AT36" s="195">
        <f>AR36-AS36</f>
        <v>7020482.4405</v>
      </c>
      <c r="AU36" s="20">
        <f>AU5/2</f>
        <v>10276796.825</v>
      </c>
      <c r="AV36" s="46" t="s">
        <v>470</v>
      </c>
      <c r="AW36" s="188" t="s">
        <v>470</v>
      </c>
    </row>
    <row r="37" ht="14.5" customHeight="1" spans="1:49">
      <c r="B37" s="23"/>
      <c r="C37" s="23"/>
      <c r="D37" s="41"/>
      <c r="E37" s="20"/>
      <c r="F37" s="41"/>
      <c r="G37" s="196"/>
      <c r="H37" s="20"/>
      <c r="I37" s="41"/>
      <c r="J37" s="197"/>
      <c r="K37" s="20"/>
      <c r="L37" s="41"/>
      <c r="M37" s="198"/>
      <c r="N37" s="20"/>
      <c r="O37" s="41"/>
      <c r="P37" s="196"/>
      <c r="Q37" s="20"/>
      <c r="R37" s="41"/>
      <c r="S37" s="199"/>
      <c r="T37" s="20"/>
      <c r="U37" s="41"/>
      <c r="V37" s="200"/>
      <c r="W37" s="20"/>
      <c r="X37" s="41"/>
      <c r="Y37" s="41"/>
      <c r="Z37" s="20"/>
      <c r="AA37" s="41"/>
      <c r="AB37" s="41"/>
      <c r="AC37" s="20"/>
      <c r="AD37" s="41"/>
      <c r="AE37" s="41"/>
      <c r="AF37" s="20"/>
      <c r="AG37" s="41"/>
      <c r="AH37" s="199"/>
      <c r="AI37" s="20"/>
      <c r="AJ37" s="41"/>
      <c r="AK37" s="196"/>
      <c r="AL37" s="20"/>
      <c r="AM37" s="41"/>
      <c r="AN37" s="201"/>
      <c r="AO37" s="20"/>
      <c r="AP37" s="41"/>
      <c r="AQ37" s="202"/>
      <c r="AR37" s="20"/>
      <c r="AS37" s="41"/>
      <c r="AT37" s="203"/>
      <c r="AU37" s="20"/>
      <c r="AV37" s="41"/>
      <c r="AW37" s="196"/>
    </row>
    <row r="38" ht="14.5" customHeight="1" spans="1:49">
      <c r="B38" s="23"/>
      <c r="C38" s="23"/>
      <c r="D38" s="41"/>
      <c r="E38" s="20"/>
      <c r="F38" s="41"/>
      <c r="G38" s="41"/>
      <c r="H38" s="99"/>
      <c r="I38" s="99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AC38" s="20"/>
      <c r="AD38" s="41"/>
      <c r="AE38" s="41"/>
    </row>
    <row r="39" ht="14.5" customHeight="1" spans="1:49">
      <c r="B39" s="23"/>
      <c r="C39" s="23"/>
      <c r="D39" s="41"/>
      <c r="H39" s="99"/>
      <c r="I39" s="99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AC39" s="20"/>
      <c r="AD39" s="41"/>
      <c r="AE39" s="41"/>
    </row>
    <row r="40" ht="14.5" hidden="1" customHeight="1" spans="1:49">
      <c r="A40"/>
      <c r="D40"/>
      <c r="E40" s="99"/>
      <c r="F40" s="99"/>
      <c r="G40"/>
      <c r="N40" s="99"/>
    </row>
    <row r="41" ht="15.75" hidden="1" spans="1:49">
      <c r="A41" s="2">
        <v>12</v>
      </c>
      <c r="B41" s="2" t="s">
        <v>688</v>
      </c>
      <c r="C41" s="204" t="s">
        <v>689</v>
      </c>
      <c r="D41" s="2" t="s">
        <v>488</v>
      </c>
      <c r="E41" s="103"/>
      <c r="F41"/>
      <c r="G41"/>
      <c r="N41" s="103"/>
    </row>
    <row r="42" hidden="1" spans="1:49">
      <c r="B42" s="2"/>
      <c r="C42" s="6" t="s">
        <v>503</v>
      </c>
      <c r="E42"/>
      <c r="F42"/>
      <c r="G42"/>
    </row>
    <row r="43" hidden="1" spans="1:49">
      <c r="B43" s="2"/>
      <c r="C43" s="6"/>
      <c r="E43"/>
      <c r="F43"/>
      <c r="G43"/>
    </row>
    <row r="44" hidden="1" spans="1:49">
      <c r="A44" s="2">
        <v>13</v>
      </c>
      <c r="B44" s="2" t="s">
        <v>690</v>
      </c>
      <c r="C44" s="97" t="s">
        <v>691</v>
      </c>
      <c r="D44" s="2" t="s">
        <v>692</v>
      </c>
      <c r="E44"/>
      <c r="F44"/>
      <c r="G44"/>
    </row>
    <row r="45" hidden="1" spans="1:49">
      <c r="B45" s="2"/>
      <c r="C45" s="6" t="s">
        <v>503</v>
      </c>
      <c r="E45"/>
      <c r="F45"/>
      <c r="G45"/>
    </row>
    <row r="46" hidden="1" spans="1:49">
      <c r="A46"/>
      <c r="D46"/>
      <c r="E46"/>
      <c r="F46"/>
      <c r="G46"/>
    </row>
    <row r="47" hidden="1" spans="1:49">
      <c r="B47" s="2" t="s">
        <v>693</v>
      </c>
      <c r="C47" s="37" t="s">
        <v>694</v>
      </c>
      <c r="D47" s="2" t="s">
        <v>237</v>
      </c>
      <c r="E47" s="20"/>
      <c r="F47" s="20"/>
      <c r="G47"/>
    </row>
    <row r="48" hidden="1" spans="1:49">
      <c r="B48" s="2"/>
      <c r="C48" s="2" t="s">
        <v>695</v>
      </c>
      <c r="E48" s="20"/>
      <c r="F48" s="20"/>
      <c r="G48"/>
    </row>
    <row r="49" hidden="1" spans="7:7">
      <c r="G49"/>
    </row>
    <row r="50" hidden="1" spans="7:7">
      <c r="G50"/>
    </row>
    <row r="51" hidden="1" spans="7:7">
      <c r="G51"/>
    </row>
    <row r="52" hidden="1"/>
    <row r="53" hidden="1"/>
  </sheetData>
  <mergeCells count="556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AR1:AT1"/>
    <mergeCell ref="AU1:AW1"/>
    <mergeCell ref="A5:A6"/>
    <mergeCell ref="A9:A10"/>
    <mergeCell ref="A12:A13"/>
    <mergeCell ref="A15:A16"/>
    <mergeCell ref="A18:A19"/>
    <mergeCell ref="A21:A22"/>
    <mergeCell ref="A24:A25"/>
    <mergeCell ref="A27:A28"/>
    <mergeCell ref="A30:A31"/>
    <mergeCell ref="A33:A34"/>
    <mergeCell ref="A36:A37"/>
    <mergeCell ref="A41:A42"/>
    <mergeCell ref="A44:A45"/>
    <mergeCell ref="B5:B6"/>
    <mergeCell ref="B9:B10"/>
    <mergeCell ref="B12:B13"/>
    <mergeCell ref="B15:B16"/>
    <mergeCell ref="B18:B19"/>
    <mergeCell ref="B21:B22"/>
    <mergeCell ref="B24:B25"/>
    <mergeCell ref="B27:B28"/>
    <mergeCell ref="B30:B31"/>
    <mergeCell ref="B33:B34"/>
    <mergeCell ref="B36:B37"/>
    <mergeCell ref="B41:B42"/>
    <mergeCell ref="B44:B45"/>
    <mergeCell ref="B47:B48"/>
    <mergeCell ref="C15:C16"/>
    <mergeCell ref="C36:C37"/>
    <mergeCell ref="D5:D6"/>
    <mergeCell ref="D9:D10"/>
    <mergeCell ref="D12:D13"/>
    <mergeCell ref="D15:D16"/>
    <mergeCell ref="D18:D19"/>
    <mergeCell ref="D21:D22"/>
    <mergeCell ref="D24:D25"/>
    <mergeCell ref="D27:D28"/>
    <mergeCell ref="D30:D31"/>
    <mergeCell ref="D33:D34"/>
    <mergeCell ref="D36:D37"/>
    <mergeCell ref="D41:D42"/>
    <mergeCell ref="D44:D45"/>
    <mergeCell ref="D47:D48"/>
    <mergeCell ref="E5:E6"/>
    <mergeCell ref="E9:E10"/>
    <mergeCell ref="E12:E13"/>
    <mergeCell ref="E15:E16"/>
    <mergeCell ref="E18:E19"/>
    <mergeCell ref="E21:E22"/>
    <mergeCell ref="E24:E25"/>
    <mergeCell ref="E27:E28"/>
    <mergeCell ref="E30:E31"/>
    <mergeCell ref="E33:E34"/>
    <mergeCell ref="E36:E37"/>
    <mergeCell ref="E47:E48"/>
    <mergeCell ref="F5:F6"/>
    <mergeCell ref="F9:F10"/>
    <mergeCell ref="F12:F13"/>
    <mergeCell ref="F15:F16"/>
    <mergeCell ref="F18:F19"/>
    <mergeCell ref="F21:F22"/>
    <mergeCell ref="F24:F25"/>
    <mergeCell ref="F27:F28"/>
    <mergeCell ref="F30:F31"/>
    <mergeCell ref="F33:F34"/>
    <mergeCell ref="F36:F37"/>
    <mergeCell ref="F47:F48"/>
    <mergeCell ref="G5:G6"/>
    <mergeCell ref="G9:G10"/>
    <mergeCell ref="G12:G13"/>
    <mergeCell ref="G15:G16"/>
    <mergeCell ref="G18:G19"/>
    <mergeCell ref="G21:G22"/>
    <mergeCell ref="G24:G25"/>
    <mergeCell ref="G27:G28"/>
    <mergeCell ref="G30:G31"/>
    <mergeCell ref="G33:G34"/>
    <mergeCell ref="G36:G37"/>
    <mergeCell ref="H5:H6"/>
    <mergeCell ref="H9:H10"/>
    <mergeCell ref="H12:H13"/>
    <mergeCell ref="H15:H16"/>
    <mergeCell ref="H18:H19"/>
    <mergeCell ref="H21:H22"/>
    <mergeCell ref="H24:H25"/>
    <mergeCell ref="H27:H28"/>
    <mergeCell ref="H30:H31"/>
    <mergeCell ref="H33:H34"/>
    <mergeCell ref="H36:H37"/>
    <mergeCell ref="I5:I6"/>
    <mergeCell ref="I9:I10"/>
    <mergeCell ref="I12:I13"/>
    <mergeCell ref="I15:I16"/>
    <mergeCell ref="I18:I19"/>
    <mergeCell ref="I21:I22"/>
    <mergeCell ref="I24:I25"/>
    <mergeCell ref="I27:I28"/>
    <mergeCell ref="I30:I31"/>
    <mergeCell ref="I33:I34"/>
    <mergeCell ref="I36:I37"/>
    <mergeCell ref="J5:J6"/>
    <mergeCell ref="J9:J10"/>
    <mergeCell ref="J12:J13"/>
    <mergeCell ref="J15:J16"/>
    <mergeCell ref="J18:J19"/>
    <mergeCell ref="J21:J22"/>
    <mergeCell ref="J24:J25"/>
    <mergeCell ref="J27:J28"/>
    <mergeCell ref="J30:J31"/>
    <mergeCell ref="J33:J34"/>
    <mergeCell ref="J36:J37"/>
    <mergeCell ref="K5:K6"/>
    <mergeCell ref="K9:K10"/>
    <mergeCell ref="K12:K13"/>
    <mergeCell ref="K15:K16"/>
    <mergeCell ref="K18:K19"/>
    <mergeCell ref="K21:K22"/>
    <mergeCell ref="K24:K25"/>
    <mergeCell ref="K27:K28"/>
    <mergeCell ref="K30:K31"/>
    <mergeCell ref="K33:K34"/>
    <mergeCell ref="K36:K37"/>
    <mergeCell ref="L5:L6"/>
    <mergeCell ref="L9:L10"/>
    <mergeCell ref="L12:L13"/>
    <mergeCell ref="L15:L16"/>
    <mergeCell ref="L18:L19"/>
    <mergeCell ref="L21:L22"/>
    <mergeCell ref="L24:L25"/>
    <mergeCell ref="L27:L28"/>
    <mergeCell ref="L30:L31"/>
    <mergeCell ref="L33:L34"/>
    <mergeCell ref="L36:L37"/>
    <mergeCell ref="M5:M6"/>
    <mergeCell ref="M9:M10"/>
    <mergeCell ref="M12:M13"/>
    <mergeCell ref="M15:M16"/>
    <mergeCell ref="M18:M19"/>
    <mergeCell ref="M21:M22"/>
    <mergeCell ref="M24:M25"/>
    <mergeCell ref="M27:M28"/>
    <mergeCell ref="M30:M31"/>
    <mergeCell ref="M33:M34"/>
    <mergeCell ref="M36:M37"/>
    <mergeCell ref="N5:N6"/>
    <mergeCell ref="N9:N10"/>
    <mergeCell ref="N12:N13"/>
    <mergeCell ref="N15:N16"/>
    <mergeCell ref="N18:N19"/>
    <mergeCell ref="N21:N22"/>
    <mergeCell ref="N24:N25"/>
    <mergeCell ref="N27:N28"/>
    <mergeCell ref="N30:N31"/>
    <mergeCell ref="N33:N34"/>
    <mergeCell ref="N36:N37"/>
    <mergeCell ref="O5:O6"/>
    <mergeCell ref="O9:O10"/>
    <mergeCell ref="O12:O13"/>
    <mergeCell ref="O15:O16"/>
    <mergeCell ref="O18:O19"/>
    <mergeCell ref="O21:O22"/>
    <mergeCell ref="O24:O25"/>
    <mergeCell ref="O27:O28"/>
    <mergeCell ref="O30:O31"/>
    <mergeCell ref="O33:O34"/>
    <mergeCell ref="O36:O37"/>
    <mergeCell ref="P5:P6"/>
    <mergeCell ref="P9:P10"/>
    <mergeCell ref="P12:P13"/>
    <mergeCell ref="P15:P16"/>
    <mergeCell ref="P18:P19"/>
    <mergeCell ref="P21:P22"/>
    <mergeCell ref="P24:P25"/>
    <mergeCell ref="P27:P28"/>
    <mergeCell ref="P30:P31"/>
    <mergeCell ref="P33:P34"/>
    <mergeCell ref="P36:P37"/>
    <mergeCell ref="Q5:Q6"/>
    <mergeCell ref="Q9:Q10"/>
    <mergeCell ref="Q12:Q13"/>
    <mergeCell ref="Q15:Q16"/>
    <mergeCell ref="Q18:Q19"/>
    <mergeCell ref="Q21:Q22"/>
    <mergeCell ref="Q24:Q25"/>
    <mergeCell ref="Q27:Q28"/>
    <mergeCell ref="Q30:Q31"/>
    <mergeCell ref="Q33:Q34"/>
    <mergeCell ref="Q36:Q37"/>
    <mergeCell ref="R5:R6"/>
    <mergeCell ref="R9:R10"/>
    <mergeCell ref="R12:R13"/>
    <mergeCell ref="R15:R16"/>
    <mergeCell ref="R18:R19"/>
    <mergeCell ref="R21:R22"/>
    <mergeCell ref="R24:R25"/>
    <mergeCell ref="R27:R28"/>
    <mergeCell ref="R30:R31"/>
    <mergeCell ref="R33:R34"/>
    <mergeCell ref="R36:R37"/>
    <mergeCell ref="S5:S6"/>
    <mergeCell ref="S9:S10"/>
    <mergeCell ref="S12:S13"/>
    <mergeCell ref="S15:S16"/>
    <mergeCell ref="S18:S19"/>
    <mergeCell ref="S21:S22"/>
    <mergeCell ref="S24:S25"/>
    <mergeCell ref="S27:S28"/>
    <mergeCell ref="S30:S31"/>
    <mergeCell ref="S33:S34"/>
    <mergeCell ref="S36:S37"/>
    <mergeCell ref="T5:T6"/>
    <mergeCell ref="T9:T10"/>
    <mergeCell ref="T12:T13"/>
    <mergeCell ref="T15:T16"/>
    <mergeCell ref="T18:T19"/>
    <mergeCell ref="T21:T22"/>
    <mergeCell ref="T24:T25"/>
    <mergeCell ref="T27:T28"/>
    <mergeCell ref="T30:T31"/>
    <mergeCell ref="T33:T34"/>
    <mergeCell ref="T36:T37"/>
    <mergeCell ref="U5:U6"/>
    <mergeCell ref="U9:U10"/>
    <mergeCell ref="U12:U13"/>
    <mergeCell ref="U15:U16"/>
    <mergeCell ref="U18:U19"/>
    <mergeCell ref="U21:U22"/>
    <mergeCell ref="U24:U25"/>
    <mergeCell ref="U27:U28"/>
    <mergeCell ref="U30:U31"/>
    <mergeCell ref="U33:U34"/>
    <mergeCell ref="U36:U37"/>
    <mergeCell ref="V5:V6"/>
    <mergeCell ref="V9:V10"/>
    <mergeCell ref="V12:V13"/>
    <mergeCell ref="V15:V16"/>
    <mergeCell ref="V18:V19"/>
    <mergeCell ref="V21:V22"/>
    <mergeCell ref="V24:V25"/>
    <mergeCell ref="V27:V28"/>
    <mergeCell ref="V30:V31"/>
    <mergeCell ref="V33:V34"/>
    <mergeCell ref="V36:V37"/>
    <mergeCell ref="W5:W6"/>
    <mergeCell ref="W9:W10"/>
    <mergeCell ref="W12:W13"/>
    <mergeCell ref="W15:W16"/>
    <mergeCell ref="W18:W19"/>
    <mergeCell ref="W21:W22"/>
    <mergeCell ref="W24:W25"/>
    <mergeCell ref="W27:W28"/>
    <mergeCell ref="W30:W31"/>
    <mergeCell ref="W33:W34"/>
    <mergeCell ref="W36:W37"/>
    <mergeCell ref="X5:X6"/>
    <mergeCell ref="X9:X10"/>
    <mergeCell ref="X12:X13"/>
    <mergeCell ref="X15:X16"/>
    <mergeCell ref="X18:X19"/>
    <mergeCell ref="X21:X22"/>
    <mergeCell ref="X24:X25"/>
    <mergeCell ref="X27:X28"/>
    <mergeCell ref="X30:X31"/>
    <mergeCell ref="X33:X34"/>
    <mergeCell ref="X36:X37"/>
    <mergeCell ref="Y5:Y6"/>
    <mergeCell ref="Y9:Y10"/>
    <mergeCell ref="Y12:Y13"/>
    <mergeCell ref="Y15:Y16"/>
    <mergeCell ref="Y18:Y19"/>
    <mergeCell ref="Y21:Y22"/>
    <mergeCell ref="Y24:Y25"/>
    <mergeCell ref="Y27:Y28"/>
    <mergeCell ref="Y30:Y31"/>
    <mergeCell ref="Y33:Y34"/>
    <mergeCell ref="Y36:Y37"/>
    <mergeCell ref="Z5:Z6"/>
    <mergeCell ref="Z9:Z10"/>
    <mergeCell ref="Z12:Z13"/>
    <mergeCell ref="Z15:Z16"/>
    <mergeCell ref="Z18:Z19"/>
    <mergeCell ref="Z21:Z22"/>
    <mergeCell ref="Z24:Z25"/>
    <mergeCell ref="Z27:Z28"/>
    <mergeCell ref="Z30:Z31"/>
    <mergeCell ref="Z33:Z34"/>
    <mergeCell ref="Z36:Z37"/>
    <mergeCell ref="AA5:AA6"/>
    <mergeCell ref="AA9:AA10"/>
    <mergeCell ref="AA12:AA13"/>
    <mergeCell ref="AA15:AA16"/>
    <mergeCell ref="AA18:AA19"/>
    <mergeCell ref="AA21:AA22"/>
    <mergeCell ref="AA24:AA25"/>
    <mergeCell ref="AA27:AA28"/>
    <mergeCell ref="AA30:AA31"/>
    <mergeCell ref="AA33:AA34"/>
    <mergeCell ref="AA36:AA37"/>
    <mergeCell ref="AB5:AB6"/>
    <mergeCell ref="AB9:AB10"/>
    <mergeCell ref="AB12:AB13"/>
    <mergeCell ref="AB15:AB16"/>
    <mergeCell ref="AB18:AB19"/>
    <mergeCell ref="AB21:AB22"/>
    <mergeCell ref="AB24:AB25"/>
    <mergeCell ref="AB27:AB28"/>
    <mergeCell ref="AB30:AB31"/>
    <mergeCell ref="AB33:AB34"/>
    <mergeCell ref="AB36:AB37"/>
    <mergeCell ref="AC5:AC6"/>
    <mergeCell ref="AC9:AC10"/>
    <mergeCell ref="AC12:AC13"/>
    <mergeCell ref="AC15:AC16"/>
    <mergeCell ref="AC18:AC19"/>
    <mergeCell ref="AC21:AC22"/>
    <mergeCell ref="AC24:AC25"/>
    <mergeCell ref="AC27:AC28"/>
    <mergeCell ref="AC30:AC31"/>
    <mergeCell ref="AC33:AC34"/>
    <mergeCell ref="AC36:AC37"/>
    <mergeCell ref="AD5:AD6"/>
    <mergeCell ref="AD9:AD10"/>
    <mergeCell ref="AD12:AD13"/>
    <mergeCell ref="AD15:AD16"/>
    <mergeCell ref="AD18:AD19"/>
    <mergeCell ref="AD21:AD22"/>
    <mergeCell ref="AD24:AD25"/>
    <mergeCell ref="AD27:AD28"/>
    <mergeCell ref="AD30:AD31"/>
    <mergeCell ref="AD33:AD34"/>
    <mergeCell ref="AD36:AD37"/>
    <mergeCell ref="AE5:AE6"/>
    <mergeCell ref="AE9:AE10"/>
    <mergeCell ref="AE12:AE13"/>
    <mergeCell ref="AE15:AE16"/>
    <mergeCell ref="AE18:AE19"/>
    <mergeCell ref="AE21:AE22"/>
    <mergeCell ref="AE24:AE25"/>
    <mergeCell ref="AE27:AE28"/>
    <mergeCell ref="AE30:AE31"/>
    <mergeCell ref="AE33:AE34"/>
    <mergeCell ref="AE36:AE37"/>
    <mergeCell ref="AF5:AF6"/>
    <mergeCell ref="AF9:AF10"/>
    <mergeCell ref="AF12:AF13"/>
    <mergeCell ref="AF15:AF16"/>
    <mergeCell ref="AF18:AF19"/>
    <mergeCell ref="AF21:AF22"/>
    <mergeCell ref="AF24:AF25"/>
    <mergeCell ref="AF27:AF28"/>
    <mergeCell ref="AF30:AF31"/>
    <mergeCell ref="AF33:AF34"/>
    <mergeCell ref="AF36:AF37"/>
    <mergeCell ref="AG5:AG6"/>
    <mergeCell ref="AG9:AG10"/>
    <mergeCell ref="AG12:AG13"/>
    <mergeCell ref="AG15:AG16"/>
    <mergeCell ref="AG18:AG19"/>
    <mergeCell ref="AG21:AG22"/>
    <mergeCell ref="AG24:AG25"/>
    <mergeCell ref="AG27:AG28"/>
    <mergeCell ref="AG30:AG31"/>
    <mergeCell ref="AG33:AG34"/>
    <mergeCell ref="AG36:AG37"/>
    <mergeCell ref="AH5:AH6"/>
    <mergeCell ref="AH9:AH10"/>
    <mergeCell ref="AH12:AH13"/>
    <mergeCell ref="AH15:AH16"/>
    <mergeCell ref="AH18:AH19"/>
    <mergeCell ref="AH21:AH22"/>
    <mergeCell ref="AH24:AH25"/>
    <mergeCell ref="AH27:AH28"/>
    <mergeCell ref="AH30:AH31"/>
    <mergeCell ref="AH33:AH34"/>
    <mergeCell ref="AH36:AH37"/>
    <mergeCell ref="AI5:AI6"/>
    <mergeCell ref="AI9:AI10"/>
    <mergeCell ref="AI12:AI13"/>
    <mergeCell ref="AI15:AI16"/>
    <mergeCell ref="AI18:AI19"/>
    <mergeCell ref="AI21:AI22"/>
    <mergeCell ref="AI24:AI25"/>
    <mergeCell ref="AI27:AI28"/>
    <mergeCell ref="AI30:AI31"/>
    <mergeCell ref="AI33:AI34"/>
    <mergeCell ref="AI36:AI37"/>
    <mergeCell ref="AJ5:AJ6"/>
    <mergeCell ref="AJ9:AJ10"/>
    <mergeCell ref="AJ12:AJ13"/>
    <mergeCell ref="AJ15:AJ16"/>
    <mergeCell ref="AJ18:AJ19"/>
    <mergeCell ref="AJ21:AJ22"/>
    <mergeCell ref="AJ24:AJ25"/>
    <mergeCell ref="AJ27:AJ28"/>
    <mergeCell ref="AJ30:AJ31"/>
    <mergeCell ref="AJ33:AJ34"/>
    <mergeCell ref="AJ36:AJ37"/>
    <mergeCell ref="AK5:AK6"/>
    <mergeCell ref="AK9:AK10"/>
    <mergeCell ref="AK12:AK13"/>
    <mergeCell ref="AK15:AK16"/>
    <mergeCell ref="AK18:AK19"/>
    <mergeCell ref="AK21:AK22"/>
    <mergeCell ref="AK24:AK25"/>
    <mergeCell ref="AK27:AK28"/>
    <mergeCell ref="AK30:AK31"/>
    <mergeCell ref="AK33:AK34"/>
    <mergeCell ref="AK36:AK37"/>
    <mergeCell ref="AL5:AL6"/>
    <mergeCell ref="AL9:AL10"/>
    <mergeCell ref="AL12:AL13"/>
    <mergeCell ref="AL15:AL16"/>
    <mergeCell ref="AL18:AL19"/>
    <mergeCell ref="AL21:AL22"/>
    <mergeCell ref="AL24:AL25"/>
    <mergeCell ref="AL27:AL28"/>
    <mergeCell ref="AL30:AL31"/>
    <mergeCell ref="AL33:AL34"/>
    <mergeCell ref="AL36:AL37"/>
    <mergeCell ref="AM5:AM6"/>
    <mergeCell ref="AM9:AM10"/>
    <mergeCell ref="AM12:AM13"/>
    <mergeCell ref="AM15:AM16"/>
    <mergeCell ref="AM18:AM19"/>
    <mergeCell ref="AM21:AM22"/>
    <mergeCell ref="AM24:AM25"/>
    <mergeCell ref="AM27:AM28"/>
    <mergeCell ref="AM30:AM31"/>
    <mergeCell ref="AM33:AM34"/>
    <mergeCell ref="AM36:AM37"/>
    <mergeCell ref="AN5:AN6"/>
    <mergeCell ref="AN9:AN10"/>
    <mergeCell ref="AN12:AN13"/>
    <mergeCell ref="AN15:AN16"/>
    <mergeCell ref="AN18:AN19"/>
    <mergeCell ref="AN21:AN22"/>
    <mergeCell ref="AN24:AN25"/>
    <mergeCell ref="AN27:AN28"/>
    <mergeCell ref="AN30:AN31"/>
    <mergeCell ref="AN33:AN34"/>
    <mergeCell ref="AN36:AN37"/>
    <mergeCell ref="AO5:AO6"/>
    <mergeCell ref="AO9:AO10"/>
    <mergeCell ref="AO12:AO13"/>
    <mergeCell ref="AO15:AO16"/>
    <mergeCell ref="AO18:AO19"/>
    <mergeCell ref="AO21:AO22"/>
    <mergeCell ref="AO24:AO25"/>
    <mergeCell ref="AO27:AO28"/>
    <mergeCell ref="AO30:AO31"/>
    <mergeCell ref="AO33:AO34"/>
    <mergeCell ref="AO36:AO37"/>
    <mergeCell ref="AP5:AP6"/>
    <mergeCell ref="AP9:AP10"/>
    <mergeCell ref="AP12:AP13"/>
    <mergeCell ref="AP15:AP16"/>
    <mergeCell ref="AP18:AP19"/>
    <mergeCell ref="AP21:AP22"/>
    <mergeCell ref="AP24:AP25"/>
    <mergeCell ref="AP27:AP28"/>
    <mergeCell ref="AP30:AP31"/>
    <mergeCell ref="AP33:AP34"/>
    <mergeCell ref="AP36:AP37"/>
    <mergeCell ref="AQ5:AQ6"/>
    <mergeCell ref="AQ9:AQ10"/>
    <mergeCell ref="AQ12:AQ13"/>
    <mergeCell ref="AQ15:AQ16"/>
    <mergeCell ref="AQ18:AQ19"/>
    <mergeCell ref="AQ21:AQ22"/>
    <mergeCell ref="AQ24:AQ25"/>
    <mergeCell ref="AQ27:AQ28"/>
    <mergeCell ref="AQ30:AQ31"/>
    <mergeCell ref="AQ33:AQ34"/>
    <mergeCell ref="AQ36:AQ37"/>
    <mergeCell ref="AR5:AR6"/>
    <mergeCell ref="AR9:AR10"/>
    <mergeCell ref="AR12:AR13"/>
    <mergeCell ref="AR15:AR16"/>
    <mergeCell ref="AR18:AR19"/>
    <mergeCell ref="AR21:AR22"/>
    <mergeCell ref="AR24:AR25"/>
    <mergeCell ref="AR27:AR28"/>
    <mergeCell ref="AR30:AR31"/>
    <mergeCell ref="AR33:AR34"/>
    <mergeCell ref="AR36:AR37"/>
    <mergeCell ref="AS5:AS6"/>
    <mergeCell ref="AS9:AS10"/>
    <mergeCell ref="AS12:AS13"/>
    <mergeCell ref="AS15:AS16"/>
    <mergeCell ref="AS18:AS19"/>
    <mergeCell ref="AS21:AS22"/>
    <mergeCell ref="AS24:AS25"/>
    <mergeCell ref="AS27:AS28"/>
    <mergeCell ref="AS30:AS31"/>
    <mergeCell ref="AS33:AS34"/>
    <mergeCell ref="AS36:AS37"/>
    <mergeCell ref="AT5:AT6"/>
    <mergeCell ref="AT9:AT10"/>
    <mergeCell ref="AT12:AT13"/>
    <mergeCell ref="AT15:AT16"/>
    <mergeCell ref="AT18:AT19"/>
    <mergeCell ref="AT21:AT22"/>
    <mergeCell ref="AT24:AT25"/>
    <mergeCell ref="AT27:AT28"/>
    <mergeCell ref="AT30:AT31"/>
    <mergeCell ref="AT33:AT34"/>
    <mergeCell ref="AT36:AT37"/>
    <mergeCell ref="AU5:AU6"/>
    <mergeCell ref="AU9:AU10"/>
    <mergeCell ref="AU12:AU13"/>
    <mergeCell ref="AU15:AU16"/>
    <mergeCell ref="AU18:AU19"/>
    <mergeCell ref="AU21:AU22"/>
    <mergeCell ref="AU24:AU25"/>
    <mergeCell ref="AU27:AU28"/>
    <mergeCell ref="AU30:AU31"/>
    <mergeCell ref="AU33:AU34"/>
    <mergeCell ref="AU36:AU37"/>
    <mergeCell ref="AV5:AV6"/>
    <mergeCell ref="AV9:AV10"/>
    <mergeCell ref="AV12:AV13"/>
    <mergeCell ref="AV15:AV16"/>
    <mergeCell ref="AV18:AV19"/>
    <mergeCell ref="AV21:AV22"/>
    <mergeCell ref="AV24:AV25"/>
    <mergeCell ref="AV27:AV28"/>
    <mergeCell ref="AV30:AV31"/>
    <mergeCell ref="AV33:AV34"/>
    <mergeCell ref="AV36:AV37"/>
    <mergeCell ref="AW5:AW6"/>
    <mergeCell ref="AW9:AW10"/>
    <mergeCell ref="AW12:AW13"/>
    <mergeCell ref="AW15:AW16"/>
    <mergeCell ref="AW18:AW19"/>
    <mergeCell ref="AW21:AW22"/>
    <mergeCell ref="AW24:AW25"/>
    <mergeCell ref="AW27:AW28"/>
    <mergeCell ref="AW30:AW31"/>
    <mergeCell ref="AW33:AW34"/>
    <mergeCell ref="AW36:AW37"/>
  </mergeCells>
  <pageMargins left="0.7" right="0.7" top="0.75" bottom="0.75" header="0.3" footer="0.3"/>
  <pageSetup paperSize="1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5"/>
  <sheetViews>
    <sheetView workbookViewId="0">
      <selection activeCell="C18" sqref="C18"/>
    </sheetView>
  </sheetViews>
  <sheetFormatPr defaultColWidth="9" defaultRowHeight="15"/>
  <cols>
    <col min="1" max="1" width="5.36190476190476" customWidth="1"/>
    <col min="2" max="2" width="35.6285714285714" customWidth="1"/>
    <col min="3" max="3" width="48.1809523809524" customWidth="1"/>
    <col min="4" max="4" width="24.1809523809524" customWidth="1"/>
    <col min="5" max="5" width="12.5428571428571" customWidth="1"/>
    <col min="6" max="6" width="12.2666666666667" customWidth="1"/>
    <col min="7" max="7" width="12.5428571428571" customWidth="1"/>
    <col min="8" max="8" width="13" customWidth="1"/>
    <col min="9" max="9" width="13.6285714285714" hidden="1" customWidth="1"/>
    <col min="10" max="10" width="15.4571428571429" customWidth="1"/>
  </cols>
  <sheetData>
    <row r="1" s="15" customFormat="1" ht="18.75" spans="1:11">
      <c r="A1" s="16" t="s">
        <v>696</v>
      </c>
      <c r="B1" s="16"/>
      <c r="C1" s="16"/>
      <c r="D1" s="16"/>
      <c r="E1" s="16"/>
      <c r="F1" s="16"/>
      <c r="G1" s="16"/>
      <c r="H1" s="16"/>
      <c r="I1" s="16"/>
      <c r="J1" s="16"/>
    </row>
    <row r="2" ht="18.7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2077</v>
      </c>
      <c r="F2" s="18">
        <v>2078</v>
      </c>
      <c r="G2" s="18">
        <v>2079</v>
      </c>
      <c r="H2" s="18">
        <v>2080</v>
      </c>
      <c r="I2" s="18" t="s">
        <v>469</v>
      </c>
      <c r="J2" s="18">
        <v>2081</v>
      </c>
      <c r="K2" s="2"/>
    </row>
    <row r="3" ht="15.75" spans="1:11">
      <c r="A3" s="2">
        <v>1</v>
      </c>
      <c r="B3" s="19" t="s">
        <v>249</v>
      </c>
      <c r="C3" s="19" t="s">
        <v>250</v>
      </c>
      <c r="D3" s="2" t="s">
        <v>246</v>
      </c>
      <c r="E3" s="20">
        <v>225900000</v>
      </c>
      <c r="F3" s="20">
        <v>274866000</v>
      </c>
      <c r="G3" s="20">
        <v>432299000</v>
      </c>
      <c r="H3" s="20">
        <v>426358241</v>
      </c>
      <c r="I3" s="20">
        <v>465796957</v>
      </c>
      <c r="J3" s="20">
        <f>I3*1.333</f>
        <v>620907343.681</v>
      </c>
      <c r="K3" s="2"/>
    </row>
    <row r="4" spans="1:11">
      <c r="A4" s="2">
        <v>2</v>
      </c>
      <c r="B4" t="s">
        <v>697</v>
      </c>
      <c r="C4" t="s">
        <v>698</v>
      </c>
      <c r="D4" s="2" t="s">
        <v>246</v>
      </c>
      <c r="E4" s="20">
        <v>300367000</v>
      </c>
      <c r="F4" s="20">
        <v>409501000</v>
      </c>
      <c r="G4" s="20">
        <v>560112000</v>
      </c>
      <c r="H4" s="20">
        <v>5296832770</v>
      </c>
      <c r="I4" s="20">
        <v>4763787445</v>
      </c>
      <c r="J4" s="20">
        <f>I4*1.333</f>
        <v>6350128664.185</v>
      </c>
    </row>
    <row r="5" ht="15.75" spans="1:11">
      <c r="A5" s="2">
        <v>3</v>
      </c>
      <c r="B5" s="19" t="s">
        <v>247</v>
      </c>
      <c r="C5" s="19" t="s">
        <v>248</v>
      </c>
      <c r="D5" s="2" t="s">
        <v>470</v>
      </c>
      <c r="E5" s="2"/>
      <c r="F5" s="2"/>
      <c r="G5" s="2"/>
      <c r="H5" s="2"/>
    </row>
    <row r="6" ht="15.75" spans="1:11">
      <c r="A6" s="2">
        <v>4</v>
      </c>
      <c r="B6" s="19" t="s">
        <v>699</v>
      </c>
      <c r="C6" s="19" t="s">
        <v>700</v>
      </c>
      <c r="D6" s="6" t="s">
        <v>253</v>
      </c>
      <c r="E6" s="113">
        <f t="shared" ref="E6:J6" si="0">(E3/E4)</f>
        <v>0.752079955521079</v>
      </c>
      <c r="F6" s="113">
        <f t="shared" si="0"/>
        <v>0.671221804098158</v>
      </c>
      <c r="G6" s="113">
        <f t="shared" si="0"/>
        <v>0.771808138372326</v>
      </c>
      <c r="H6" s="113">
        <f t="shared" si="0"/>
        <v>0.0804930530211925</v>
      </c>
      <c r="I6" s="113">
        <f t="shared" si="0"/>
        <v>0.0977787028447068</v>
      </c>
      <c r="J6" s="113">
        <f t="shared" si="0"/>
        <v>0.0977787028447068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>
        <v>16.14</v>
      </c>
      <c r="F7" s="2">
        <v>19.63</v>
      </c>
      <c r="G7" s="2">
        <v>15.44</v>
      </c>
      <c r="H7" s="2">
        <v>9.19</v>
      </c>
      <c r="I7" s="2">
        <v>13.39</v>
      </c>
      <c r="J7" s="2">
        <v>13.39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"/>
      <c r="F8" s="2"/>
      <c r="G8" s="2"/>
      <c r="H8" s="2">
        <v>49.84</v>
      </c>
      <c r="I8" s="2">
        <v>32.81</v>
      </c>
      <c r="J8" s="2">
        <v>32.81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3" hidden="1"/>
    <row r="14" ht="18.75" spans="1:11">
      <c r="A14" s="114"/>
      <c r="B14" s="16" t="s">
        <v>701</v>
      </c>
      <c r="C14" s="16"/>
      <c r="D14" s="16"/>
      <c r="E14" s="16"/>
      <c r="F14" s="16"/>
      <c r="G14" s="16"/>
      <c r="H14" s="16"/>
      <c r="I14" s="16"/>
      <c r="J14" s="16"/>
    </row>
    <row r="15" ht="18.7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2077</v>
      </c>
      <c r="F15" s="18">
        <v>2078</v>
      </c>
      <c r="G15" s="18">
        <v>2079</v>
      </c>
      <c r="H15" s="18">
        <v>2080</v>
      </c>
      <c r="I15" s="18" t="s">
        <v>469</v>
      </c>
      <c r="J15" s="18">
        <v>2081</v>
      </c>
    </row>
    <row r="16" ht="15.75" spans="1:11">
      <c r="A16" s="2">
        <v>1</v>
      </c>
      <c r="B16" s="19" t="s">
        <v>249</v>
      </c>
      <c r="C16" s="19" t="s">
        <v>250</v>
      </c>
      <c r="D16" s="2" t="s">
        <v>246</v>
      </c>
      <c r="E16" s="20">
        <v>106098000</v>
      </c>
      <c r="F16" s="20">
        <v>214601000</v>
      </c>
      <c r="G16" s="20">
        <v>1994811000</v>
      </c>
      <c r="H16" s="20">
        <v>547967452</v>
      </c>
      <c r="I16" s="20">
        <v>328997690</v>
      </c>
      <c r="J16" s="20">
        <f>I16*1.333</f>
        <v>438553920.77</v>
      </c>
    </row>
    <row r="17" spans="1:10">
      <c r="A17" s="2">
        <v>2</v>
      </c>
      <c r="B17" t="s">
        <v>697</v>
      </c>
      <c r="C17" t="s">
        <v>698</v>
      </c>
      <c r="D17" s="2" t="s">
        <v>246</v>
      </c>
      <c r="E17" s="20">
        <v>161110000</v>
      </c>
      <c r="F17" s="20">
        <v>317243000</v>
      </c>
      <c r="G17" s="20">
        <v>4040826000</v>
      </c>
      <c r="H17" s="20">
        <v>4454111736</v>
      </c>
      <c r="I17" s="20">
        <v>4005418726</v>
      </c>
      <c r="J17" s="20">
        <f>I17*1.333</f>
        <v>5339223161.758</v>
      </c>
    </row>
    <row r="18" ht="15.75" spans="1:10">
      <c r="A18" s="2">
        <v>3</v>
      </c>
      <c r="B18" s="19" t="s">
        <v>247</v>
      </c>
      <c r="C18" s="19" t="s">
        <v>248</v>
      </c>
      <c r="D18" s="2" t="s">
        <v>470</v>
      </c>
      <c r="E18" s="2"/>
      <c r="F18" s="2"/>
      <c r="G18" s="2"/>
      <c r="H18" s="2"/>
    </row>
    <row r="19" ht="15.75" spans="1:10">
      <c r="A19" s="2">
        <v>4</v>
      </c>
      <c r="B19" s="19" t="s">
        <v>699</v>
      </c>
      <c r="C19" s="19" t="s">
        <v>700</v>
      </c>
      <c r="D19" s="6" t="s">
        <v>253</v>
      </c>
      <c r="E19" s="113">
        <f t="shared" ref="E19:J19" si="1">(E16/E17)</f>
        <v>0.658543852026566</v>
      </c>
      <c r="F19" s="113">
        <f t="shared" si="1"/>
        <v>0.676456218104103</v>
      </c>
      <c r="G19" s="113">
        <f t="shared" si="1"/>
        <v>0.493664166682752</v>
      </c>
      <c r="H19" s="113">
        <f t="shared" si="1"/>
        <v>0.123025079853991</v>
      </c>
      <c r="I19" s="113">
        <f t="shared" si="1"/>
        <v>0.0821381514657651</v>
      </c>
      <c r="J19" s="113">
        <f t="shared" si="1"/>
        <v>0.0821381514657651</v>
      </c>
    </row>
    <row r="20" ht="15.75" spans="1:10">
      <c r="A20" s="2">
        <v>5</v>
      </c>
      <c r="B20" s="19" t="s">
        <v>254</v>
      </c>
      <c r="C20" s="19" t="s">
        <v>255</v>
      </c>
      <c r="D20" s="2" t="s">
        <v>246</v>
      </c>
      <c r="E20" s="2"/>
      <c r="F20" s="2"/>
      <c r="G20" s="2"/>
      <c r="H20" s="2">
        <v>14.51</v>
      </c>
      <c r="I20" s="2">
        <v>11.07</v>
      </c>
      <c r="J20" s="2">
        <v>11.07</v>
      </c>
    </row>
    <row r="21" ht="31.5" spans="1:10">
      <c r="A21" s="2">
        <v>6</v>
      </c>
      <c r="B21" s="19" t="s">
        <v>256</v>
      </c>
      <c r="C21" s="19" t="s">
        <v>257</v>
      </c>
      <c r="D21" s="2" t="s">
        <v>246</v>
      </c>
      <c r="E21" s="2"/>
      <c r="F21" s="2"/>
      <c r="G21" s="2"/>
      <c r="H21" s="2">
        <v>35.23</v>
      </c>
      <c r="I21" s="96">
        <v>42</v>
      </c>
      <c r="J21" s="96">
        <v>42</v>
      </c>
    </row>
    <row r="22" ht="31.5" spans="1:10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10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10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10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</sheetData>
  <mergeCells count="2">
    <mergeCell ref="A1:J1"/>
    <mergeCell ref="B14:J14"/>
  </mergeCells>
  <pageMargins left="0.7" right="0.7" top="0.75" bottom="0.75" header="0.3" footer="0.3"/>
  <pageSetup paperSize="1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58"/>
  <sheetViews>
    <sheetView topLeftCell="A10" workbookViewId="0">
      <selection activeCell="B28" sqref="B28:C29"/>
    </sheetView>
  </sheetViews>
  <sheetFormatPr defaultColWidth="9" defaultRowHeight="15"/>
  <cols>
    <col min="1" max="1" width="5.36190476190476" style="2" customWidth="1"/>
    <col min="2" max="2" width="21.6285714285714" customWidth="1"/>
    <col min="3" max="3" width="22.3619047619048" customWidth="1"/>
    <col min="4" max="4" width="10.2666666666667" style="2" hidden="1" customWidth="1"/>
    <col min="5" max="5" width="14.7238095238095" style="2" customWidth="1"/>
    <col min="6" max="6" width="15.1809523809524" style="2" customWidth="1"/>
    <col min="7" max="7" width="13.1809523809524" style="2" customWidth="1"/>
    <col min="8" max="8" width="14.7238095238095" style="2" customWidth="1"/>
    <col min="9" max="9" width="15.1809523809524" style="2" customWidth="1"/>
    <col min="10" max="10" width="13.1809523809524" style="2" customWidth="1"/>
    <col min="11" max="11" width="14.7238095238095" style="2" customWidth="1"/>
    <col min="12" max="12" width="15.1809523809524" style="2" customWidth="1"/>
    <col min="13" max="13" width="13.1809523809524" style="2" customWidth="1"/>
    <col min="14" max="14" width="14.7238095238095" style="2" customWidth="1"/>
    <col min="15" max="15" width="15.1809523809524" style="2" customWidth="1"/>
    <col min="16" max="16" width="13.1809523809524" style="2" customWidth="1"/>
    <col min="17" max="17" width="14.7238095238095" style="2" customWidth="1"/>
    <col min="18" max="18" width="15.1809523809524" style="2" customWidth="1"/>
    <col min="19" max="19" width="13.1809523809524" style="2" customWidth="1"/>
    <col min="20" max="20" width="14.7238095238095" style="2" customWidth="1"/>
    <col min="21" max="21" width="15.1809523809524" style="2" customWidth="1"/>
    <col min="22" max="22" width="13.1809523809524" style="2" customWidth="1"/>
    <col min="23" max="23" width="14.7238095238095" style="2" customWidth="1"/>
    <col min="24" max="24" width="15.1809523809524" style="2" customWidth="1"/>
    <col min="25" max="25" width="13.1809523809524" style="2" customWidth="1"/>
    <col min="26" max="26" width="14.7238095238095" style="2" customWidth="1"/>
    <col min="27" max="27" width="15.1809523809524" style="2" customWidth="1"/>
    <col min="28" max="28" width="13.1809523809524" style="2" customWidth="1"/>
    <col min="29" max="29" width="14.7238095238095" style="2" customWidth="1"/>
    <col min="30" max="30" width="15.1809523809524" style="2" customWidth="1"/>
    <col min="31" max="31" width="13.1809523809524" style="2" customWidth="1"/>
    <col min="32" max="32" width="14.7238095238095" style="2" customWidth="1"/>
    <col min="33" max="33" width="15.1809523809524" style="2" customWidth="1"/>
    <col min="34" max="34" width="13.1809523809524" style="2" customWidth="1"/>
    <col min="35" max="35" width="14.7238095238095" style="2" customWidth="1"/>
    <col min="36" max="36" width="15.1809523809524" style="2" customWidth="1"/>
    <col min="37" max="37" width="13.1809523809524" style="2" customWidth="1"/>
    <col min="38" max="38" width="14.7238095238095" style="2" customWidth="1"/>
    <col min="39" max="39" width="15.1809523809524" style="2" customWidth="1"/>
    <col min="40" max="40" width="13.1809523809524" style="2" customWidth="1"/>
    <col min="41" max="41" width="14.7238095238095" style="2" customWidth="1"/>
    <col min="42" max="42" width="15.1809523809524" style="2" customWidth="1"/>
    <col min="43" max="43" width="13.1809523809524" style="2" customWidth="1"/>
  </cols>
  <sheetData>
    <row r="1" s="1" customFormat="1" ht="18.75" spans="1:43">
      <c r="A1" s="104" t="s">
        <v>702</v>
      </c>
      <c r="B1" s="104"/>
      <c r="C1" s="104"/>
      <c r="D1" s="104"/>
      <c r="E1" s="35" t="s">
        <v>703</v>
      </c>
      <c r="F1" s="35"/>
      <c r="G1" s="35"/>
      <c r="H1" s="35" t="s">
        <v>704</v>
      </c>
      <c r="I1" s="35"/>
      <c r="J1" s="35"/>
      <c r="K1" s="35" t="s">
        <v>705</v>
      </c>
      <c r="L1" s="35"/>
      <c r="M1" s="35"/>
      <c r="N1" s="35" t="s">
        <v>706</v>
      </c>
      <c r="O1" s="35"/>
      <c r="P1" s="35"/>
      <c r="Q1" s="35" t="s">
        <v>707</v>
      </c>
      <c r="R1" s="35"/>
      <c r="S1" s="35"/>
      <c r="T1" s="35" t="s">
        <v>708</v>
      </c>
      <c r="U1" s="35"/>
      <c r="V1" s="35"/>
      <c r="W1" s="35" t="s">
        <v>709</v>
      </c>
      <c r="X1" s="35"/>
      <c r="Y1" s="35"/>
      <c r="Z1" s="35" t="s">
        <v>710</v>
      </c>
      <c r="AA1" s="35"/>
      <c r="AB1" s="35"/>
      <c r="AC1" s="35" t="s">
        <v>711</v>
      </c>
      <c r="AD1" s="35"/>
      <c r="AE1" s="35"/>
      <c r="AF1" s="35" t="s">
        <v>712</v>
      </c>
      <c r="AG1" s="35"/>
      <c r="AH1" s="35"/>
      <c r="AI1" s="35" t="s">
        <v>713</v>
      </c>
      <c r="AJ1" s="35"/>
      <c r="AK1" s="35"/>
      <c r="AL1" s="35" t="s">
        <v>714</v>
      </c>
      <c r="AM1" s="35"/>
      <c r="AN1" s="35"/>
      <c r="AO1" s="61" t="s">
        <v>715</v>
      </c>
      <c r="AP1" s="62"/>
      <c r="AQ1" s="63"/>
    </row>
    <row r="2" s="45" customFormat="1" ht="17" customHeight="1" spans="1:43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  <c r="AF2" s="35" t="s">
        <v>158</v>
      </c>
      <c r="AG2" s="35" t="s">
        <v>159</v>
      </c>
      <c r="AH2" s="35" t="s">
        <v>160</v>
      </c>
      <c r="AI2" s="35" t="s">
        <v>158</v>
      </c>
      <c r="AJ2" s="35" t="s">
        <v>159</v>
      </c>
      <c r="AK2" s="35" t="s">
        <v>160</v>
      </c>
      <c r="AL2" s="35" t="s">
        <v>158</v>
      </c>
      <c r="AM2" s="35" t="s">
        <v>159</v>
      </c>
      <c r="AN2" s="35" t="s">
        <v>160</v>
      </c>
      <c r="AO2" s="35" t="s">
        <v>158</v>
      </c>
      <c r="AP2" s="35" t="s">
        <v>159</v>
      </c>
      <c r="AQ2" s="35" t="s">
        <v>160</v>
      </c>
    </row>
    <row r="3" s="45" customFormat="1" ht="5" customHeight="1" spans="1:43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>
      <c r="A4" s="2">
        <v>1</v>
      </c>
      <c r="B4" s="2" t="s">
        <v>65</v>
      </c>
      <c r="C4" s="37" t="s">
        <v>161</v>
      </c>
      <c r="D4" s="2" t="s">
        <v>162</v>
      </c>
      <c r="E4" s="20">
        <v>427642633</v>
      </c>
      <c r="F4" s="20">
        <v>2666390</v>
      </c>
      <c r="G4" s="38">
        <f>E4/F4</f>
        <v>160.382627072559</v>
      </c>
      <c r="H4" s="20">
        <v>713180707</v>
      </c>
      <c r="I4" s="20">
        <v>28065499</v>
      </c>
      <c r="J4" s="38">
        <f>H4/I4</f>
        <v>25.4112961611693</v>
      </c>
      <c r="K4" s="20">
        <v>161181590</v>
      </c>
      <c r="L4" s="20">
        <v>25652244</v>
      </c>
      <c r="M4" s="38">
        <f>K4/L4</f>
        <v>6.28333295130048</v>
      </c>
      <c r="N4" s="20">
        <v>452919182</v>
      </c>
      <c r="O4" s="20">
        <v>29230990</v>
      </c>
      <c r="P4" s="38">
        <f>N4/O4</f>
        <v>15.4944865705883</v>
      </c>
      <c r="Q4" s="20">
        <v>550826282</v>
      </c>
      <c r="R4" s="20">
        <v>25154507</v>
      </c>
      <c r="S4" s="38">
        <f>Q4/R4</f>
        <v>21.8977172559971</v>
      </c>
      <c r="T4" s="20">
        <v>403206146</v>
      </c>
      <c r="U4" s="20">
        <v>26226382</v>
      </c>
      <c r="V4" s="38">
        <f>T4/U4</f>
        <v>15.3740666936065</v>
      </c>
      <c r="W4" s="20">
        <v>364974069</v>
      </c>
      <c r="X4" s="20">
        <v>30293346</v>
      </c>
      <c r="Y4" s="38">
        <f>W4/X4</f>
        <v>12.04799459921</v>
      </c>
      <c r="Z4" s="20">
        <v>316459284</v>
      </c>
      <c r="AA4" s="20">
        <v>18908782</v>
      </c>
      <c r="AB4" s="38">
        <f>Z4/AA4</f>
        <v>16.7361009291873</v>
      </c>
      <c r="AC4" s="20">
        <v>532335531</v>
      </c>
      <c r="AD4" s="20">
        <v>25001574</v>
      </c>
      <c r="AE4" s="38">
        <f>AC4/AD4</f>
        <v>21.2920806905997</v>
      </c>
      <c r="AF4" s="20">
        <v>211958944</v>
      </c>
      <c r="AG4" s="20">
        <v>14414880</v>
      </c>
      <c r="AH4" s="38">
        <f>AF4/AG4</f>
        <v>14.7041767950895</v>
      </c>
      <c r="AI4" s="20">
        <v>350388699</v>
      </c>
      <c r="AJ4" s="20">
        <v>21500000</v>
      </c>
      <c r="AK4" s="38">
        <f>AI4/AJ4</f>
        <v>16.2971487906977</v>
      </c>
      <c r="AL4" s="20">
        <v>216432841</v>
      </c>
      <c r="AM4" s="20">
        <v>23100000</v>
      </c>
      <c r="AN4" s="38">
        <f>AL4/AM4</f>
        <v>9.36938705627706</v>
      </c>
      <c r="AO4" s="20">
        <v>1657100</v>
      </c>
      <c r="AP4" s="20">
        <v>7500000</v>
      </c>
      <c r="AQ4" s="49">
        <f>AO4/AP4</f>
        <v>0.220946666666667</v>
      </c>
    </row>
    <row r="5" spans="1:43">
      <c r="B5" s="2"/>
      <c r="C5" s="2" t="s">
        <v>163</v>
      </c>
      <c r="E5" s="20"/>
      <c r="F5" s="20"/>
      <c r="G5" s="38"/>
      <c r="H5" s="20"/>
      <c r="I5" s="20"/>
      <c r="J5" s="38"/>
      <c r="K5" s="20"/>
      <c r="L5" s="20"/>
      <c r="M5" s="38"/>
      <c r="N5" s="20"/>
      <c r="O5" s="20"/>
      <c r="P5" s="38"/>
      <c r="Q5" s="20"/>
      <c r="R5" s="20"/>
      <c r="S5" s="38"/>
      <c r="T5" s="20"/>
      <c r="U5" s="20"/>
      <c r="V5" s="38"/>
      <c r="W5" s="20"/>
      <c r="X5" s="20"/>
      <c r="Y5" s="38"/>
      <c r="Z5" s="20"/>
      <c r="AA5" s="20"/>
      <c r="AB5" s="38"/>
      <c r="AC5" s="20"/>
      <c r="AD5" s="20"/>
      <c r="AE5" s="38"/>
      <c r="AF5" s="20"/>
      <c r="AG5" s="20"/>
      <c r="AH5" s="38"/>
      <c r="AI5" s="20"/>
      <c r="AJ5" s="20"/>
      <c r="AK5" s="38"/>
      <c r="AL5" s="20"/>
      <c r="AM5" s="20"/>
      <c r="AN5" s="38"/>
      <c r="AO5" s="20"/>
      <c r="AP5" s="20"/>
      <c r="AQ5" s="49"/>
    </row>
    <row r="6" spans="1:43">
      <c r="A6"/>
      <c r="D6"/>
      <c r="E6" s="51"/>
      <c r="F6" s="6"/>
      <c r="G6" s="40"/>
      <c r="H6" s="51"/>
      <c r="I6" s="6"/>
      <c r="J6" s="40"/>
      <c r="K6" s="51"/>
      <c r="L6" s="6"/>
      <c r="M6" s="40"/>
      <c r="N6" s="51"/>
      <c r="O6" s="6"/>
      <c r="P6" s="40"/>
      <c r="Q6" s="51"/>
      <c r="R6" s="6"/>
      <c r="S6" s="40"/>
      <c r="T6" s="51"/>
      <c r="U6" s="6"/>
      <c r="V6" s="40"/>
      <c r="W6" s="51"/>
      <c r="X6" s="6"/>
      <c r="Y6" s="40"/>
      <c r="Z6" s="51"/>
      <c r="AA6" s="6"/>
      <c r="AB6" s="40"/>
      <c r="AC6" s="51"/>
      <c r="AD6" s="6"/>
      <c r="AE6" s="40"/>
      <c r="AF6" s="51"/>
      <c r="AG6" s="6"/>
      <c r="AH6" s="40"/>
      <c r="AI6" s="51"/>
      <c r="AJ6" s="6"/>
      <c r="AK6" s="40"/>
      <c r="AL6" s="51"/>
      <c r="AM6" s="6"/>
      <c r="AN6" s="40"/>
      <c r="AO6" s="51"/>
      <c r="AP6" s="6"/>
      <c r="AQ6" s="40"/>
    </row>
    <row r="7" spans="1:43">
      <c r="A7" s="2">
        <v>2</v>
      </c>
      <c r="B7" s="41" t="s">
        <v>166</v>
      </c>
      <c r="C7" s="37" t="s">
        <v>167</v>
      </c>
      <c r="D7" s="2" t="s">
        <v>168</v>
      </c>
      <c r="E7" s="20">
        <v>15100</v>
      </c>
      <c r="F7" s="42">
        <f>G4</f>
        <v>160.382627072559</v>
      </c>
      <c r="G7" s="38">
        <f>E7/F7</f>
        <v>94.1498482449012</v>
      </c>
      <c r="H7" s="20">
        <v>840</v>
      </c>
      <c r="I7" s="42">
        <f>J4</f>
        <v>25.4112961611693</v>
      </c>
      <c r="J7" s="38">
        <f>H7/I7</f>
        <v>33.0561650485029</v>
      </c>
      <c r="K7" s="20">
        <v>779.28</v>
      </c>
      <c r="L7" s="42">
        <f>M4</f>
        <v>6.28333295130048</v>
      </c>
      <c r="M7" s="38">
        <f>K7/L7</f>
        <v>124.023349715808</v>
      </c>
      <c r="N7" s="20">
        <v>773.53</v>
      </c>
      <c r="O7" s="42">
        <f>P4</f>
        <v>15.4944865705883</v>
      </c>
      <c r="P7" s="38">
        <f>N7/O7</f>
        <v>49.9229191284285</v>
      </c>
      <c r="Q7" s="20">
        <v>710.36</v>
      </c>
      <c r="R7" s="42">
        <f>S4</f>
        <v>21.8977172559971</v>
      </c>
      <c r="S7" s="38">
        <f>Q7/R7</f>
        <v>32.4399110507948</v>
      </c>
      <c r="T7" s="20">
        <v>726</v>
      </c>
      <c r="U7" s="42">
        <f>V4</f>
        <v>15.3740666936065</v>
      </c>
      <c r="V7" s="38">
        <f>T7/U7</f>
        <v>47.2223787283242</v>
      </c>
      <c r="W7" s="20">
        <v>556.99</v>
      </c>
      <c r="X7" s="42">
        <f>Y4</f>
        <v>12.04799459921</v>
      </c>
      <c r="Y7" s="38">
        <f>W7/X7</f>
        <v>46.2309304186211</v>
      </c>
      <c r="Z7" s="20">
        <v>645.18</v>
      </c>
      <c r="AA7" s="42">
        <f>AB4</f>
        <v>16.7361009291873</v>
      </c>
      <c r="AB7" s="38">
        <f>Z7/AA7</f>
        <v>38.5501977270479</v>
      </c>
      <c r="AC7" s="20">
        <v>616.36</v>
      </c>
      <c r="AD7" s="42">
        <f>AE4</f>
        <v>21.2920806905997</v>
      </c>
      <c r="AE7" s="38">
        <f>AC7/AD7</f>
        <v>28.9478519716543</v>
      </c>
      <c r="AF7" s="20">
        <v>910</v>
      </c>
      <c r="AG7" s="42">
        <f>AH4</f>
        <v>14.7041767950895</v>
      </c>
      <c r="AH7" s="38">
        <f>AF7/AG7</f>
        <v>61.8871775469876</v>
      </c>
      <c r="AI7" s="20">
        <v>609.99</v>
      </c>
      <c r="AJ7" s="42">
        <f>AK4</f>
        <v>16.2971487906977</v>
      </c>
      <c r="AK7" s="38">
        <f>AI7/AJ7</f>
        <v>37.4292465408538</v>
      </c>
      <c r="AL7" s="20">
        <v>571.56</v>
      </c>
      <c r="AM7" s="42">
        <f>AN4</f>
        <v>9.36938705627706</v>
      </c>
      <c r="AN7" s="38">
        <f>AL7/AM7</f>
        <v>61.002923304047</v>
      </c>
      <c r="AO7" s="20">
        <v>1559</v>
      </c>
      <c r="AP7" s="42">
        <f>AQ4</f>
        <v>0.220946666666667</v>
      </c>
      <c r="AQ7" s="39">
        <f>AO7/AP7</f>
        <v>7056.00144831332</v>
      </c>
    </row>
    <row r="8" spans="1:43">
      <c r="B8" s="41"/>
      <c r="C8" s="2" t="s">
        <v>169</v>
      </c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  <c r="AI8" s="20"/>
      <c r="AJ8" s="42"/>
      <c r="AK8" s="38"/>
      <c r="AL8" s="20"/>
      <c r="AM8" s="42"/>
      <c r="AN8" s="38"/>
      <c r="AO8" s="20"/>
      <c r="AP8" s="42"/>
      <c r="AQ8" s="39"/>
    </row>
    <row r="9" spans="1:43">
      <c r="B9" s="2"/>
      <c r="C9" s="2"/>
      <c r="E9" s="20"/>
      <c r="F9" s="42"/>
      <c r="G9" s="38"/>
      <c r="H9" s="20"/>
      <c r="I9" s="42"/>
      <c r="J9" s="38"/>
      <c r="K9" s="20"/>
      <c r="L9" s="42"/>
      <c r="M9" s="38"/>
      <c r="N9" s="20"/>
      <c r="O9" s="42"/>
      <c r="P9" s="38"/>
      <c r="Q9" s="20"/>
      <c r="R9" s="42"/>
      <c r="S9" s="38"/>
      <c r="T9" s="20"/>
      <c r="U9" s="42"/>
      <c r="V9" s="38"/>
      <c r="W9" s="20"/>
      <c r="X9" s="42"/>
      <c r="Y9" s="38"/>
      <c r="Z9" s="20"/>
      <c r="AA9" s="42"/>
      <c r="AB9" s="38"/>
      <c r="AC9" s="20"/>
      <c r="AD9" s="42"/>
      <c r="AE9" s="38"/>
      <c r="AF9" s="20"/>
      <c r="AG9" s="42"/>
      <c r="AH9" s="38"/>
      <c r="AI9" s="20"/>
      <c r="AJ9" s="42"/>
      <c r="AK9" s="38"/>
      <c r="AL9" s="20"/>
      <c r="AM9" s="42"/>
      <c r="AN9" s="38"/>
      <c r="AO9" s="20"/>
      <c r="AP9" s="42"/>
      <c r="AQ9" s="38"/>
    </row>
    <row r="10" spans="1:43">
      <c r="A10" s="2">
        <v>3</v>
      </c>
      <c r="B10" s="2" t="s">
        <v>437</v>
      </c>
      <c r="C10" s="97" t="s">
        <v>438</v>
      </c>
      <c r="D10" s="2" t="s">
        <v>175</v>
      </c>
      <c r="E10" s="20">
        <f>E4</f>
        <v>427642633</v>
      </c>
      <c r="F10" s="20">
        <v>1045556415</v>
      </c>
      <c r="G10" s="38">
        <f>(E10/F10)*100</f>
        <v>40.9009620968181</v>
      </c>
      <c r="H10" s="20">
        <f>H4</f>
        <v>713180707</v>
      </c>
      <c r="I10" s="20">
        <v>3099359179</v>
      </c>
      <c r="J10" s="38">
        <f>(H10/I10)*100</f>
        <v>23.0105859247364</v>
      </c>
      <c r="K10" s="20">
        <f>K4</f>
        <v>161181590</v>
      </c>
      <c r="L10" s="20">
        <v>1527349247</v>
      </c>
      <c r="M10" s="38">
        <f>(K10/L10)*100</f>
        <v>10.5530277581628</v>
      </c>
      <c r="N10" s="20">
        <f>N4</f>
        <v>452919182</v>
      </c>
      <c r="O10" s="20">
        <v>2730245598</v>
      </c>
      <c r="P10" s="38">
        <f>(N10/O10)*100</f>
        <v>16.5889538410676</v>
      </c>
      <c r="Q10" s="20">
        <f>Q4</f>
        <v>550826282</v>
      </c>
      <c r="R10" s="20">
        <v>2478593156</v>
      </c>
      <c r="S10" s="38">
        <f>(Q10/R10)*100</f>
        <v>22.2233439427765</v>
      </c>
      <c r="T10" s="20">
        <f>T4</f>
        <v>403206146</v>
      </c>
      <c r="U10" s="20">
        <v>3118859435</v>
      </c>
      <c r="V10" s="38">
        <f>(T10/U10)*100</f>
        <v>12.9279999436717</v>
      </c>
      <c r="W10" s="20">
        <f>W4</f>
        <v>364974069</v>
      </c>
      <c r="X10" s="20">
        <v>2171917840</v>
      </c>
      <c r="Y10" s="38">
        <f>(W10/X10)*100</f>
        <v>16.8042299887366</v>
      </c>
      <c r="Z10" s="20">
        <f>Z4</f>
        <v>316459284</v>
      </c>
      <c r="AA10" s="20">
        <v>1467745266</v>
      </c>
      <c r="AB10" s="38">
        <f>(Z10/AA10)*100</f>
        <v>21.560913281801</v>
      </c>
      <c r="AC10" s="20">
        <f>AC4</f>
        <v>532335531</v>
      </c>
      <c r="AD10" s="20">
        <v>2687503246</v>
      </c>
      <c r="AE10" s="38">
        <f>(AC10/AD10)*100</f>
        <v>19.8078097874789</v>
      </c>
      <c r="AF10" s="20">
        <f>AF4</f>
        <v>211958944</v>
      </c>
      <c r="AG10" s="20">
        <v>962100959</v>
      </c>
      <c r="AH10" s="38">
        <f>(AF10/AG10)*100</f>
        <v>22.0308421914794</v>
      </c>
      <c r="AI10" s="20">
        <f>AI4</f>
        <v>350388699</v>
      </c>
      <c r="AJ10" s="20">
        <v>1476873281</v>
      </c>
      <c r="AK10" s="38">
        <f>(AI10/AJ10)*100</f>
        <v>23.7250347411492</v>
      </c>
      <c r="AL10" s="20">
        <f>AL4</f>
        <v>216432841</v>
      </c>
      <c r="AM10" s="20">
        <v>1744856225</v>
      </c>
      <c r="AN10" s="38">
        <f>(AL10/AM10)*100</f>
        <v>12.4040501388589</v>
      </c>
      <c r="AO10" s="20">
        <f>AO4</f>
        <v>1657100</v>
      </c>
      <c r="AP10" s="20">
        <v>145584820</v>
      </c>
      <c r="AQ10" s="39">
        <f>(AO10/AP10)*100</f>
        <v>1.13823680243586</v>
      </c>
    </row>
    <row r="11" spans="1:43">
      <c r="B11" s="2"/>
      <c r="C11" s="6" t="s">
        <v>303</v>
      </c>
      <c r="E11" s="20"/>
      <c r="F11" s="20"/>
      <c r="G11" s="38"/>
      <c r="H11" s="20"/>
      <c r="I11" s="20"/>
      <c r="J11" s="38"/>
      <c r="K11" s="20"/>
      <c r="L11" s="20"/>
      <c r="M11" s="38"/>
      <c r="N11" s="20"/>
      <c r="O11" s="20"/>
      <c r="P11" s="38"/>
      <c r="Q11" s="20"/>
      <c r="R11" s="20"/>
      <c r="S11" s="38"/>
      <c r="T11" s="20"/>
      <c r="U11" s="20"/>
      <c r="V11" s="38"/>
      <c r="W11" s="20"/>
      <c r="X11" s="20"/>
      <c r="Y11" s="38"/>
      <c r="Z11" s="20"/>
      <c r="AA11" s="20"/>
      <c r="AB11" s="38"/>
      <c r="AC11" s="20"/>
      <c r="AD11" s="20"/>
      <c r="AE11" s="38"/>
      <c r="AF11" s="20"/>
      <c r="AG11" s="20"/>
      <c r="AH11" s="38"/>
      <c r="AI11" s="20"/>
      <c r="AJ11" s="20"/>
      <c r="AK11" s="38"/>
      <c r="AL11" s="20"/>
      <c r="AM11" s="20"/>
      <c r="AN11" s="38"/>
      <c r="AO11" s="20"/>
      <c r="AP11" s="20"/>
      <c r="AQ11" s="39"/>
    </row>
    <row r="12" spans="1:43">
      <c r="D12"/>
      <c r="E12" s="45"/>
      <c r="F12"/>
      <c r="G12" s="48"/>
      <c r="H12" s="45"/>
      <c r="I12"/>
      <c r="J12" s="48"/>
      <c r="K12" s="45"/>
      <c r="L12"/>
      <c r="M12" s="48"/>
      <c r="N12" s="45"/>
      <c r="O12"/>
      <c r="P12" s="48"/>
      <c r="Q12" s="45"/>
      <c r="R12"/>
      <c r="S12" s="48"/>
      <c r="T12" s="45"/>
      <c r="U12"/>
      <c r="V12" s="48"/>
      <c r="W12" s="45"/>
      <c r="X12"/>
      <c r="Y12" s="48"/>
      <c r="Z12" s="45"/>
      <c r="AA12"/>
      <c r="AB12" s="48"/>
      <c r="AC12" s="45"/>
      <c r="AD12"/>
      <c r="AE12" s="48"/>
      <c r="AF12" s="45"/>
      <c r="AG12"/>
      <c r="AH12" s="48"/>
      <c r="AI12" s="45"/>
      <c r="AJ12"/>
      <c r="AK12" s="48"/>
      <c r="AL12" s="45"/>
      <c r="AM12"/>
      <c r="AN12" s="48"/>
      <c r="AO12" s="98" t="s">
        <v>432</v>
      </c>
      <c r="AP12"/>
      <c r="AQ12" s="48"/>
    </row>
    <row r="13" spans="1:43">
      <c r="A13" s="2">
        <v>4</v>
      </c>
      <c r="B13" s="2" t="s">
        <v>173</v>
      </c>
      <c r="C13" s="41" t="s">
        <v>174</v>
      </c>
      <c r="D13" s="41" t="s">
        <v>443</v>
      </c>
      <c r="E13" s="20">
        <v>17302429951</v>
      </c>
      <c r="F13" s="20">
        <v>16150915895</v>
      </c>
      <c r="G13" s="44">
        <f>(E13-F13)/F13</f>
        <v>0.0712971365516482</v>
      </c>
      <c r="H13" s="20">
        <v>7705699260</v>
      </c>
      <c r="I13" s="20">
        <v>7763842211</v>
      </c>
      <c r="J13" s="44">
        <f>(H13-I13)/I13</f>
        <v>-0.00748894032359669</v>
      </c>
      <c r="K13" s="20">
        <v>4541930588</v>
      </c>
      <c r="L13" s="20">
        <v>3160382891</v>
      </c>
      <c r="M13" s="44">
        <f>(K13-L13)/L13</f>
        <v>0.437145670207971</v>
      </c>
      <c r="N13" s="20">
        <v>5816093512</v>
      </c>
      <c r="O13" s="20">
        <v>5360414366</v>
      </c>
      <c r="P13" s="44">
        <f>(N13-O13)/O13</f>
        <v>0.085008194308686</v>
      </c>
      <c r="Q13" s="20">
        <v>6176718740</v>
      </c>
      <c r="R13" s="20">
        <v>5148469573</v>
      </c>
      <c r="S13" s="44">
        <f>(Q13-R13)/R13</f>
        <v>0.199719383094429</v>
      </c>
      <c r="T13" s="20">
        <v>6271235140</v>
      </c>
      <c r="U13" s="20">
        <v>6208262781</v>
      </c>
      <c r="V13" s="44">
        <f>(T13-U13)/U13</f>
        <v>0.0101433140350829</v>
      </c>
      <c r="W13" s="20">
        <v>5738789411</v>
      </c>
      <c r="X13" s="20">
        <v>5629804377</v>
      </c>
      <c r="Y13" s="44">
        <f>(W13-X13)/X13</f>
        <v>0.019358582768035</v>
      </c>
      <c r="Z13" s="20">
        <v>3760611307</v>
      </c>
      <c r="AA13" s="20">
        <v>3458197297</v>
      </c>
      <c r="AB13" s="44">
        <f>(Z13-AA13)/AA13</f>
        <v>0.0874484547953193</v>
      </c>
      <c r="AC13" s="20">
        <v>5258896879</v>
      </c>
      <c r="AD13" s="20">
        <v>4926311506</v>
      </c>
      <c r="AE13" s="44">
        <f>(AC13-AD13)/AD13</f>
        <v>0.0675120468112761</v>
      </c>
      <c r="AF13" s="20">
        <v>3390654803</v>
      </c>
      <c r="AG13" s="20">
        <v>3141339627</v>
      </c>
      <c r="AH13" s="44">
        <f>(AF13-AG13)/AG13</f>
        <v>0.0793658774928764</v>
      </c>
      <c r="AI13" s="20">
        <v>3270586614</v>
      </c>
      <c r="AJ13" s="20">
        <v>2969071902</v>
      </c>
      <c r="AK13" s="44">
        <f>(AI13-AJ13)/AJ13</f>
        <v>0.101551839077018</v>
      </c>
      <c r="AL13" s="20">
        <v>4083058644</v>
      </c>
      <c r="AM13" s="20">
        <v>3854702643</v>
      </c>
      <c r="AN13" s="44">
        <f>(AL13-AM13)/AM13</f>
        <v>0.0592408863014858</v>
      </c>
      <c r="AO13" s="20">
        <v>4083058644</v>
      </c>
      <c r="AP13" s="20">
        <v>3854702643</v>
      </c>
      <c r="AQ13" s="44">
        <f>(AO13-AP13)/AP13</f>
        <v>0.0592408863014858</v>
      </c>
    </row>
    <row r="14" spans="1:43">
      <c r="B14" s="2"/>
      <c r="C14" s="41"/>
      <c r="D14" s="41"/>
      <c r="E14" s="20"/>
      <c r="F14" s="20"/>
      <c r="G14" s="44"/>
      <c r="H14" s="20"/>
      <c r="I14" s="20"/>
      <c r="J14" s="44"/>
      <c r="K14" s="20"/>
      <c r="L14" s="20"/>
      <c r="M14" s="44"/>
      <c r="N14" s="20"/>
      <c r="O14" s="20"/>
      <c r="P14" s="44"/>
      <c r="Q14" s="20"/>
      <c r="R14" s="20"/>
      <c r="S14" s="44"/>
      <c r="T14" s="20"/>
      <c r="U14" s="20"/>
      <c r="V14" s="44"/>
      <c r="W14" s="20"/>
      <c r="X14" s="20"/>
      <c r="Y14" s="44"/>
      <c r="Z14" s="20"/>
      <c r="AA14" s="20"/>
      <c r="AB14" s="44"/>
      <c r="AC14" s="20"/>
      <c r="AD14" s="20"/>
      <c r="AE14" s="44"/>
      <c r="AF14" s="20"/>
      <c r="AG14" s="20"/>
      <c r="AH14" s="44"/>
      <c r="AI14" s="20"/>
      <c r="AJ14" s="20"/>
      <c r="AK14" s="44"/>
      <c r="AL14" s="20"/>
      <c r="AM14" s="20"/>
      <c r="AN14" s="44"/>
      <c r="AO14" s="20"/>
      <c r="AP14" s="20"/>
      <c r="AQ14" s="44"/>
    </row>
    <row r="15" spans="1:43">
      <c r="C15" s="6"/>
      <c r="E15" s="83"/>
      <c r="G15" s="80"/>
      <c r="H15" s="83"/>
      <c r="J15" s="80"/>
      <c r="K15" s="83"/>
      <c r="M15" s="80"/>
      <c r="N15" s="83"/>
      <c r="P15" s="80"/>
      <c r="Q15" s="83"/>
      <c r="S15" s="80"/>
      <c r="T15" s="83"/>
      <c r="V15" s="80"/>
      <c r="W15" s="83"/>
      <c r="Y15" s="80"/>
      <c r="Z15" s="83"/>
      <c r="AB15" s="80"/>
      <c r="AC15" s="83"/>
      <c r="AE15" s="80"/>
      <c r="AF15" s="83"/>
      <c r="AH15" s="80"/>
      <c r="AI15" s="83"/>
      <c r="AK15" s="80"/>
      <c r="AL15" s="83"/>
      <c r="AN15" s="80"/>
      <c r="AO15" s="83"/>
      <c r="AQ15" s="80"/>
    </row>
    <row r="16" spans="1:43">
      <c r="A16" s="2">
        <v>5</v>
      </c>
      <c r="B16" s="2" t="s">
        <v>94</v>
      </c>
      <c r="C16" s="37" t="s">
        <v>161</v>
      </c>
      <c r="D16" s="2" t="s">
        <v>648</v>
      </c>
      <c r="E16" s="20">
        <f>E4</f>
        <v>427642633</v>
      </c>
      <c r="F16" s="20">
        <f>E13</f>
        <v>17302429951</v>
      </c>
      <c r="G16" s="38">
        <f>(E16/F16)*100</f>
        <v>2.47157557759848</v>
      </c>
      <c r="H16" s="20">
        <f>H4</f>
        <v>713180707</v>
      </c>
      <c r="I16" s="20">
        <f>H13</f>
        <v>7705699260</v>
      </c>
      <c r="J16" s="38">
        <f>(H16/I16)*100</f>
        <v>9.25523671423429</v>
      </c>
      <c r="K16" s="20">
        <f>K4</f>
        <v>161181590</v>
      </c>
      <c r="L16" s="20">
        <f>K13</f>
        <v>4541930588</v>
      </c>
      <c r="M16" s="38">
        <f>(K16/L16)*100</f>
        <v>3.54874621875221</v>
      </c>
      <c r="N16" s="20">
        <f>N4</f>
        <v>452919182</v>
      </c>
      <c r="O16" s="20">
        <f>N13</f>
        <v>5816093512</v>
      </c>
      <c r="P16" s="38">
        <f>(N16/O16)*100</f>
        <v>7.78734353334448</v>
      </c>
      <c r="Q16" s="20">
        <f>Q4</f>
        <v>550826282</v>
      </c>
      <c r="R16" s="20">
        <f>Q13</f>
        <v>6176718740</v>
      </c>
      <c r="S16" s="38">
        <f>(Q16/R16)*100</f>
        <v>8.91778151452627</v>
      </c>
      <c r="T16" s="20">
        <f>T4</f>
        <v>403206146</v>
      </c>
      <c r="U16" s="20">
        <f>T13</f>
        <v>6271235140</v>
      </c>
      <c r="V16" s="38">
        <f>(T16/U16)*100</f>
        <v>6.42945348083376</v>
      </c>
      <c r="W16" s="20">
        <f>W4</f>
        <v>364974069</v>
      </c>
      <c r="X16" s="20">
        <f>W13</f>
        <v>5738789411</v>
      </c>
      <c r="Y16" s="38">
        <f>(W16/X16)*100</f>
        <v>6.35977455977779</v>
      </c>
      <c r="Z16" s="20">
        <f>Z4</f>
        <v>316459284</v>
      </c>
      <c r="AA16" s="20">
        <f>Z13</f>
        <v>3760611307</v>
      </c>
      <c r="AB16" s="38">
        <f>(Z16/AA16)*100</f>
        <v>8.41510217796088</v>
      </c>
      <c r="AC16" s="20">
        <f>AC4</f>
        <v>532335531</v>
      </c>
      <c r="AD16" s="20">
        <f>AC13</f>
        <v>5258896879</v>
      </c>
      <c r="AE16" s="38">
        <f>(AC16/AD16)*100</f>
        <v>10.1225702509159</v>
      </c>
      <c r="AF16" s="20">
        <f>AF4</f>
        <v>211958944</v>
      </c>
      <c r="AG16" s="20">
        <f>AF13</f>
        <v>3390654803</v>
      </c>
      <c r="AH16" s="38">
        <f>(AF16/AG16)*100</f>
        <v>6.25126874645163</v>
      </c>
      <c r="AI16" s="20">
        <f>AI4</f>
        <v>350388699</v>
      </c>
      <c r="AJ16" s="20">
        <f>AI13</f>
        <v>3270586614</v>
      </c>
      <c r="AK16" s="38">
        <f>(AI16/AJ16)*100</f>
        <v>10.7133288413807</v>
      </c>
      <c r="AL16" s="20">
        <f>AL4</f>
        <v>216432841</v>
      </c>
      <c r="AM16" s="20">
        <f>AL13</f>
        <v>4083058644</v>
      </c>
      <c r="AN16" s="38">
        <f>(AL16/AM16)*100</f>
        <v>5.30075269229956</v>
      </c>
      <c r="AO16" s="20">
        <f>AO4</f>
        <v>1657100</v>
      </c>
      <c r="AP16" s="20">
        <f>AO13</f>
        <v>4083058644</v>
      </c>
      <c r="AQ16" s="38">
        <f>(AO16/AP16)*100</f>
        <v>0.0405847709886579</v>
      </c>
    </row>
    <row r="17" spans="1:43">
      <c r="B17" s="2"/>
      <c r="C17" s="2" t="s">
        <v>176</v>
      </c>
      <c r="E17" s="20"/>
      <c r="G17" s="38"/>
      <c r="H17" s="20"/>
      <c r="J17" s="38"/>
      <c r="K17" s="20"/>
      <c r="M17" s="38"/>
      <c r="N17" s="20"/>
      <c r="P17" s="38"/>
      <c r="Q17" s="20"/>
      <c r="S17" s="38"/>
      <c r="T17" s="20"/>
      <c r="V17" s="38"/>
      <c r="W17" s="20"/>
      <c r="Y17" s="38"/>
      <c r="Z17" s="20"/>
      <c r="AB17" s="38"/>
      <c r="AC17" s="20"/>
      <c r="AE17" s="38"/>
      <c r="AF17" s="20"/>
      <c r="AH17" s="38"/>
      <c r="AI17" s="20"/>
      <c r="AK17" s="38"/>
      <c r="AL17" s="20"/>
      <c r="AM17" s="20"/>
      <c r="AN17" s="38"/>
      <c r="AO17" s="20"/>
      <c r="AP17" s="20"/>
      <c r="AQ17" s="38"/>
    </row>
    <row r="18" spans="1:43">
      <c r="E18" s="20"/>
      <c r="F18" s="20"/>
      <c r="G18" s="80"/>
      <c r="H18" s="20"/>
      <c r="I18" s="20"/>
      <c r="J18" s="80"/>
      <c r="K18" s="20"/>
      <c r="L18" s="20"/>
      <c r="M18" s="80"/>
      <c r="N18" s="20"/>
      <c r="O18" s="20"/>
      <c r="P18" s="80"/>
      <c r="Q18" s="20"/>
      <c r="R18" s="20"/>
      <c r="S18" s="80"/>
      <c r="T18" s="20"/>
      <c r="U18" s="20"/>
      <c r="V18" s="80"/>
      <c r="W18" s="20"/>
      <c r="X18" s="20"/>
      <c r="Y18" s="80"/>
      <c r="Z18" s="20"/>
      <c r="AA18" s="20"/>
      <c r="AB18" s="80"/>
      <c r="AC18" s="20"/>
      <c r="AD18" s="20"/>
      <c r="AE18" s="80"/>
      <c r="AF18" s="20"/>
      <c r="AG18" s="20"/>
      <c r="AH18" s="80"/>
      <c r="AI18" s="20"/>
      <c r="AJ18" s="20"/>
      <c r="AK18" s="80"/>
      <c r="AL18" s="20"/>
      <c r="AM18" s="20"/>
      <c r="AN18" s="80"/>
      <c r="AO18" s="20"/>
      <c r="AP18" s="20"/>
      <c r="AQ18" s="80"/>
    </row>
    <row r="19" spans="1:43">
      <c r="A19" s="2">
        <v>6</v>
      </c>
      <c r="B19" s="2" t="s">
        <v>180</v>
      </c>
      <c r="C19" s="37" t="s">
        <v>176</v>
      </c>
      <c r="D19" s="2" t="s">
        <v>181</v>
      </c>
      <c r="E19" s="20">
        <f>E13</f>
        <v>17302429951</v>
      </c>
      <c r="F19" s="20">
        <f>F4</f>
        <v>2666390</v>
      </c>
      <c r="G19" s="38">
        <f>E19/F19</f>
        <v>6489.08447413919</v>
      </c>
      <c r="H19" s="20">
        <f>H13</f>
        <v>7705699260</v>
      </c>
      <c r="I19" s="20">
        <f>I4</f>
        <v>28065499</v>
      </c>
      <c r="J19" s="38">
        <f>H19/I19</f>
        <v>274.561277531534</v>
      </c>
      <c r="K19" s="20">
        <f>K13</f>
        <v>4541930588</v>
      </c>
      <c r="L19" s="20">
        <f>L4</f>
        <v>25652244</v>
      </c>
      <c r="M19" s="38">
        <f>K19/L19</f>
        <v>177.057827299631</v>
      </c>
      <c r="N19" s="20">
        <f>N13</f>
        <v>5816093512</v>
      </c>
      <c r="O19" s="20">
        <f>O4</f>
        <v>29230990</v>
      </c>
      <c r="P19" s="38">
        <f>N19/O19</f>
        <v>198.970117399376</v>
      </c>
      <c r="Q19" s="20">
        <f>Q13</f>
        <v>6176718740</v>
      </c>
      <c r="R19" s="20">
        <f>R4</f>
        <v>25154507</v>
      </c>
      <c r="S19" s="38">
        <f>Q19/R19</f>
        <v>245.551174586725</v>
      </c>
      <c r="T19" s="20">
        <f>T13</f>
        <v>6271235140</v>
      </c>
      <c r="U19" s="20">
        <f>U4</f>
        <v>26226382</v>
      </c>
      <c r="V19" s="38">
        <f>T19/U19</f>
        <v>239.119339449872</v>
      </c>
      <c r="W19" s="20">
        <f>W13</f>
        <v>5738789411</v>
      </c>
      <c r="X19" s="20">
        <f>X4</f>
        <v>30293346</v>
      </c>
      <c r="Y19" s="38">
        <f>W19/X19</f>
        <v>189.44059236639</v>
      </c>
      <c r="Z19" s="20">
        <f>Z13</f>
        <v>3760611307</v>
      </c>
      <c r="AA19" s="20">
        <f>AA4</f>
        <v>18908782</v>
      </c>
      <c r="AB19" s="38">
        <f>Z19/AA19</f>
        <v>198.881731620789</v>
      </c>
      <c r="AC19" s="20">
        <f>AC13</f>
        <v>5258896879</v>
      </c>
      <c r="AD19" s="20">
        <f>AD4</f>
        <v>25001574</v>
      </c>
      <c r="AE19" s="38">
        <f>AC19/AD19</f>
        <v>210.34263198789</v>
      </c>
      <c r="AF19" s="20">
        <f>AF13</f>
        <v>3390654803</v>
      </c>
      <c r="AG19" s="20">
        <f>AG4</f>
        <v>14414880</v>
      </c>
      <c r="AH19" s="38">
        <f>AF19/AG19</f>
        <v>235.219079381861</v>
      </c>
      <c r="AI19" s="20">
        <f>AI13</f>
        <v>3270586614</v>
      </c>
      <c r="AJ19" s="20">
        <f>AJ4</f>
        <v>21500000</v>
      </c>
      <c r="AK19" s="38">
        <f>AI19/AJ19</f>
        <v>152.120307627907</v>
      </c>
      <c r="AL19" s="20">
        <f>AL13</f>
        <v>4083058644</v>
      </c>
      <c r="AM19" s="20">
        <f>AM4</f>
        <v>23100000</v>
      </c>
      <c r="AN19" s="38">
        <f>AL19/AM19</f>
        <v>176.755785454545</v>
      </c>
      <c r="AO19" s="20">
        <f>AO13</f>
        <v>4083058644</v>
      </c>
      <c r="AP19" s="20">
        <f>AP4</f>
        <v>7500000</v>
      </c>
      <c r="AQ19" s="38">
        <f>AO19/AP19</f>
        <v>544.4078192</v>
      </c>
    </row>
    <row r="20" spans="1:43">
      <c r="B20" s="2"/>
      <c r="C20" s="6" t="s">
        <v>163</v>
      </c>
      <c r="E20" s="20"/>
      <c r="F20" s="20"/>
      <c r="G20" s="38"/>
      <c r="H20" s="20"/>
      <c r="I20" s="20"/>
      <c r="J20" s="38"/>
      <c r="K20" s="20"/>
      <c r="L20" s="20"/>
      <c r="M20" s="38"/>
      <c r="N20" s="20"/>
      <c r="O20" s="20"/>
      <c r="P20" s="38"/>
      <c r="Q20" s="20"/>
      <c r="R20" s="20"/>
      <c r="S20" s="38"/>
      <c r="T20" s="20"/>
      <c r="U20" s="20"/>
      <c r="V20" s="38"/>
      <c r="W20" s="20"/>
      <c r="X20" s="20"/>
      <c r="Y20" s="38"/>
      <c r="Z20" s="20"/>
      <c r="AA20" s="20"/>
      <c r="AB20" s="38"/>
      <c r="AC20" s="20"/>
      <c r="AD20" s="20"/>
      <c r="AE20" s="38"/>
      <c r="AF20" s="20"/>
      <c r="AG20" s="20"/>
      <c r="AH20" s="38"/>
      <c r="AI20" s="20"/>
      <c r="AJ20" s="20"/>
      <c r="AK20" s="38"/>
      <c r="AL20" s="20"/>
      <c r="AM20" s="20"/>
      <c r="AN20" s="38"/>
      <c r="AO20" s="20"/>
      <c r="AP20" s="20"/>
      <c r="AQ20" s="38"/>
    </row>
    <row r="21" spans="1:43">
      <c r="B21" s="2"/>
      <c r="C21" s="6"/>
      <c r="E21" s="20"/>
      <c r="F21" s="20"/>
      <c r="G21" s="38"/>
      <c r="H21" s="20"/>
      <c r="I21" s="20"/>
      <c r="J21" s="38"/>
      <c r="K21" s="20"/>
      <c r="L21" s="20"/>
      <c r="M21" s="38"/>
      <c r="N21" s="20"/>
      <c r="O21" s="20"/>
      <c r="P21" s="38"/>
      <c r="Q21" s="20"/>
      <c r="R21" s="20"/>
      <c r="S21" s="38"/>
      <c r="T21" s="20"/>
      <c r="U21" s="20"/>
      <c r="V21" s="38"/>
      <c r="W21" s="20"/>
      <c r="X21" s="20"/>
      <c r="Y21" s="38"/>
      <c r="Z21" s="20"/>
      <c r="AA21" s="20"/>
      <c r="AB21" s="38"/>
      <c r="AC21" s="20"/>
      <c r="AD21" s="20"/>
      <c r="AE21" s="38"/>
      <c r="AF21" s="20"/>
      <c r="AG21" s="20"/>
      <c r="AH21" s="38"/>
      <c r="AI21" s="20"/>
      <c r="AJ21" s="20"/>
      <c r="AK21" s="38"/>
      <c r="AL21" s="20"/>
      <c r="AM21" s="20"/>
      <c r="AN21" s="38"/>
      <c r="AO21" s="20"/>
      <c r="AP21" s="20"/>
      <c r="AQ21" s="38"/>
    </row>
    <row r="22" spans="1:43">
      <c r="A22" s="2">
        <v>7</v>
      </c>
      <c r="B22" s="2" t="s">
        <v>182</v>
      </c>
      <c r="C22" s="37" t="s">
        <v>183</v>
      </c>
      <c r="D22" s="50" t="s">
        <v>184</v>
      </c>
      <c r="E22" s="20">
        <f>E7</f>
        <v>15100</v>
      </c>
      <c r="F22" s="42">
        <f>G19</f>
        <v>6489.08447413919</v>
      </c>
      <c r="G22" s="38">
        <f>E22/F22</f>
        <v>2.32698465556701</v>
      </c>
      <c r="H22" s="20">
        <f>H7</f>
        <v>840</v>
      </c>
      <c r="I22" s="42">
        <f>J19</f>
        <v>274.561277531534</v>
      </c>
      <c r="J22" s="38">
        <f>H22/I22</f>
        <v>3.05942632388692</v>
      </c>
      <c r="K22" s="20">
        <f>K7</f>
        <v>779.28</v>
      </c>
      <c r="L22" s="42">
        <f>M19</f>
        <v>177.057827299631</v>
      </c>
      <c r="M22" s="38">
        <f>K22/L22</f>
        <v>4.40127393340957</v>
      </c>
      <c r="N22" s="20">
        <f>N7</f>
        <v>773.53</v>
      </c>
      <c r="O22" s="42">
        <f>P19</f>
        <v>198.970117399376</v>
      </c>
      <c r="P22" s="38">
        <f>N22/O22</f>
        <v>3.88766921440447</v>
      </c>
      <c r="Q22" s="20">
        <f>Q7</f>
        <v>710.36</v>
      </c>
      <c r="R22" s="42">
        <f>S19</f>
        <v>245.551174586725</v>
      </c>
      <c r="S22" s="38">
        <f>Q22/R22</f>
        <v>2.89292039101654</v>
      </c>
      <c r="T22" s="20">
        <f>T7</f>
        <v>726</v>
      </c>
      <c r="U22" s="42">
        <f>V19</f>
        <v>239.119339449872</v>
      </c>
      <c r="V22" s="38">
        <f>T22/U22</f>
        <v>3.03614087288074</v>
      </c>
      <c r="W22" s="20">
        <f>W7</f>
        <v>556.99</v>
      </c>
      <c r="X22" s="42">
        <f>Y19</f>
        <v>189.44059236639</v>
      </c>
      <c r="Y22" s="38">
        <f>W22/X22</f>
        <v>2.94018295151204</v>
      </c>
      <c r="Z22" s="20">
        <f>Z7</f>
        <v>645.18</v>
      </c>
      <c r="AA22" s="42">
        <f>AB19</f>
        <v>198.881731620789</v>
      </c>
      <c r="AB22" s="38">
        <f>Z22/AA22</f>
        <v>3.24403852853703</v>
      </c>
      <c r="AC22" s="20">
        <f>AC7</f>
        <v>616.36</v>
      </c>
      <c r="AD22" s="42">
        <f>AE19</f>
        <v>210.34263198789</v>
      </c>
      <c r="AE22" s="38">
        <f>AC22/AD22</f>
        <v>2.93026665196186</v>
      </c>
      <c r="AF22" s="20">
        <f>AF7</f>
        <v>910</v>
      </c>
      <c r="AG22" s="42">
        <f>AH19</f>
        <v>235.219079381861</v>
      </c>
      <c r="AH22" s="38">
        <f>AF22/AG22</f>
        <v>3.86873378805586</v>
      </c>
      <c r="AI22" s="20">
        <f>AI7</f>
        <v>609.99</v>
      </c>
      <c r="AJ22" s="42">
        <f>AK19</f>
        <v>152.120307627907</v>
      </c>
      <c r="AK22" s="38">
        <f>AI22/AJ22</f>
        <v>4.00991826477279</v>
      </c>
      <c r="AL22" s="20">
        <f>AL7</f>
        <v>571.56</v>
      </c>
      <c r="AM22" s="42">
        <f>AN19</f>
        <v>176.755785454545</v>
      </c>
      <c r="AN22" s="38">
        <f>AL22/AM22</f>
        <v>3.23361409942071</v>
      </c>
      <c r="AO22" s="20">
        <f>AO7</f>
        <v>1559</v>
      </c>
      <c r="AP22" s="42">
        <f>AQ19</f>
        <v>544.4078192</v>
      </c>
      <c r="AQ22" s="38">
        <f>AO22/AP22</f>
        <v>2.86366202875434</v>
      </c>
    </row>
    <row r="23" spans="1:43">
      <c r="B23" s="2"/>
      <c r="C23" s="2" t="s">
        <v>185</v>
      </c>
      <c r="E23" s="20"/>
      <c r="F23" s="42"/>
      <c r="G23" s="38"/>
      <c r="H23" s="20"/>
      <c r="I23" s="42"/>
      <c r="J23" s="38"/>
      <c r="K23" s="20"/>
      <c r="L23" s="42"/>
      <c r="M23" s="38"/>
      <c r="N23" s="20"/>
      <c r="O23" s="42"/>
      <c r="P23" s="38"/>
      <c r="Q23" s="20"/>
      <c r="R23" s="42"/>
      <c r="S23" s="38"/>
      <c r="T23" s="20"/>
      <c r="U23" s="42"/>
      <c r="V23" s="38"/>
      <c r="W23" s="20"/>
      <c r="X23" s="42"/>
      <c r="Y23" s="38"/>
      <c r="Z23" s="20"/>
      <c r="AA23" s="42"/>
      <c r="AB23" s="38"/>
      <c r="AC23" s="20"/>
      <c r="AD23" s="42"/>
      <c r="AE23" s="38"/>
      <c r="AF23" s="20"/>
      <c r="AG23" s="42"/>
      <c r="AH23" s="38"/>
      <c r="AI23" s="20"/>
      <c r="AJ23" s="42"/>
      <c r="AK23" s="38"/>
      <c r="AL23" s="20"/>
      <c r="AM23" s="42"/>
      <c r="AN23" s="38"/>
      <c r="AO23" s="20"/>
      <c r="AP23" s="42"/>
      <c r="AQ23" s="38"/>
    </row>
    <row r="24" spans="1:43">
      <c r="B24" s="2"/>
      <c r="C24" s="2"/>
      <c r="E24" s="20"/>
      <c r="G24" s="85"/>
      <c r="H24" s="20"/>
      <c r="J24" s="85"/>
      <c r="K24" s="20"/>
      <c r="M24" s="85"/>
      <c r="N24" s="20"/>
      <c r="P24" s="85"/>
      <c r="Q24" s="20"/>
      <c r="S24" s="85"/>
      <c r="T24" s="20"/>
      <c r="V24" s="85"/>
      <c r="W24" s="20"/>
      <c r="Y24" s="85"/>
      <c r="Z24" s="20"/>
      <c r="AB24" s="85"/>
      <c r="AC24" s="20"/>
      <c r="AE24" s="85"/>
      <c r="AF24" s="20"/>
      <c r="AH24" s="85"/>
      <c r="AI24" s="20"/>
      <c r="AK24" s="85"/>
      <c r="AL24" s="20"/>
      <c r="AN24" s="85"/>
      <c r="AO24" s="20"/>
      <c r="AQ24" s="85"/>
    </row>
    <row r="25" spans="1:43">
      <c r="A25" s="2">
        <v>8</v>
      </c>
      <c r="B25" s="2" t="s">
        <v>186</v>
      </c>
      <c r="C25" s="37" t="s">
        <v>187</v>
      </c>
      <c r="D25" s="41" t="s">
        <v>295</v>
      </c>
      <c r="E25" s="42">
        <v>0</v>
      </c>
      <c r="F25" s="20">
        <f>E7</f>
        <v>15100</v>
      </c>
      <c r="G25" s="38">
        <f>(E25/F25)*100</f>
        <v>0</v>
      </c>
      <c r="H25" s="42">
        <v>30</v>
      </c>
      <c r="I25" s="20">
        <f>H7</f>
        <v>840</v>
      </c>
      <c r="J25" s="38">
        <f>(H25/I25)*100</f>
        <v>3.57142857142857</v>
      </c>
      <c r="K25" s="42">
        <v>2.63</v>
      </c>
      <c r="L25" s="20">
        <f>K7</f>
        <v>779.28</v>
      </c>
      <c r="M25" s="38">
        <f>(K25/L25)*100</f>
        <v>0.337491017349348</v>
      </c>
      <c r="N25" s="42">
        <v>10.52</v>
      </c>
      <c r="O25" s="20">
        <f>N7</f>
        <v>773.53</v>
      </c>
      <c r="P25" s="38">
        <f>(N25/O25)*100</f>
        <v>1.35999896578025</v>
      </c>
      <c r="Q25" s="42">
        <v>7.36</v>
      </c>
      <c r="R25" s="20">
        <f>Q7</f>
        <v>710.36</v>
      </c>
      <c r="S25" s="38">
        <f>(Q25/R25)*100</f>
        <v>1.03609437468326</v>
      </c>
      <c r="T25" s="42">
        <v>15</v>
      </c>
      <c r="U25" s="20">
        <f>T7</f>
        <v>726</v>
      </c>
      <c r="V25" s="38">
        <f>(T25/U25)*100</f>
        <v>2.06611570247934</v>
      </c>
      <c r="W25" s="42">
        <v>9.73</v>
      </c>
      <c r="X25" s="20">
        <f>W7</f>
        <v>556.99</v>
      </c>
      <c r="Y25" s="38">
        <f>(W25/X25)*100</f>
        <v>1.74688953123036</v>
      </c>
      <c r="Z25" s="42">
        <v>15.79</v>
      </c>
      <c r="AA25" s="20">
        <f>Z7</f>
        <v>645.18</v>
      </c>
      <c r="AB25" s="38">
        <f>(Z25/AA25)*100</f>
        <v>2.44737902600825</v>
      </c>
      <c r="AC25" s="42">
        <v>8.75</v>
      </c>
      <c r="AD25" s="20">
        <f>AC7</f>
        <v>616.36</v>
      </c>
      <c r="AE25" s="38">
        <f>(AC25/AD25)*100</f>
        <v>1.41962489454215</v>
      </c>
      <c r="AF25" s="42">
        <v>18.94</v>
      </c>
      <c r="AG25" s="20">
        <f>AF7</f>
        <v>910</v>
      </c>
      <c r="AH25" s="38">
        <f>(AF25/AG25)*100</f>
        <v>2.08131868131868</v>
      </c>
      <c r="AI25" s="42">
        <v>7.89</v>
      </c>
      <c r="AJ25" s="20">
        <f>AI7</f>
        <v>609.99</v>
      </c>
      <c r="AK25" s="38">
        <f>(AI25/AJ25)*100</f>
        <v>1.29346382727586</v>
      </c>
      <c r="AL25" s="42">
        <v>10.52</v>
      </c>
      <c r="AM25" s="20">
        <f>AL7</f>
        <v>571.56</v>
      </c>
      <c r="AN25" s="38">
        <f>(AL25/AM25)*100</f>
        <v>1.84057666736651</v>
      </c>
      <c r="AO25" s="42">
        <v>10.52</v>
      </c>
      <c r="AP25" s="20">
        <f>AO7</f>
        <v>1559</v>
      </c>
      <c r="AQ25" s="38">
        <f>(AO25/AP25)*100</f>
        <v>0.674791533033996</v>
      </c>
    </row>
    <row r="26" spans="1:43">
      <c r="B26" s="2"/>
      <c r="C26" s="2" t="s">
        <v>189</v>
      </c>
      <c r="D26" s="41"/>
      <c r="E26" s="42"/>
      <c r="F26" s="20"/>
      <c r="G26" s="38"/>
      <c r="H26" s="42"/>
      <c r="I26" s="20"/>
      <c r="J26" s="38"/>
      <c r="K26" s="42"/>
      <c r="L26" s="20"/>
      <c r="M26" s="38"/>
      <c r="N26" s="42"/>
      <c r="O26" s="20"/>
      <c r="P26" s="38"/>
      <c r="Q26" s="42"/>
      <c r="R26" s="20"/>
      <c r="S26" s="38"/>
      <c r="T26" s="42"/>
      <c r="U26" s="20"/>
      <c r="V26" s="38"/>
      <c r="W26" s="42"/>
      <c r="X26" s="20"/>
      <c r="Y26" s="38"/>
      <c r="Z26" s="42"/>
      <c r="AA26" s="20"/>
      <c r="AB26" s="38"/>
      <c r="AC26" s="42"/>
      <c r="AD26" s="20"/>
      <c r="AE26" s="38"/>
      <c r="AF26" s="42"/>
      <c r="AG26" s="20"/>
      <c r="AH26" s="38"/>
      <c r="AI26" s="42"/>
      <c r="AJ26" s="20"/>
      <c r="AK26" s="38"/>
      <c r="AL26" s="42"/>
      <c r="AM26" s="20"/>
      <c r="AN26" s="38"/>
      <c r="AO26" s="42"/>
      <c r="AP26" s="20"/>
      <c r="AQ26" s="38"/>
    </row>
    <row r="27" spans="1:43">
      <c r="A27"/>
      <c r="G27" s="80"/>
      <c r="J27" s="80"/>
      <c r="M27" s="80"/>
      <c r="P27" s="80"/>
      <c r="S27" s="80"/>
      <c r="V27" s="80"/>
      <c r="Y27" s="80"/>
      <c r="AB27" s="80"/>
      <c r="AE27" s="80"/>
      <c r="AH27" s="80"/>
      <c r="AK27" s="80"/>
      <c r="AN27" s="80"/>
      <c r="AQ27" s="80"/>
    </row>
    <row r="28" spans="1:43">
      <c r="A28" s="2">
        <v>9</v>
      </c>
      <c r="B28" s="2" t="s">
        <v>202</v>
      </c>
      <c r="C28" s="37" t="s">
        <v>203</v>
      </c>
      <c r="D28" s="2" t="s">
        <v>172</v>
      </c>
      <c r="E28" s="20">
        <v>24088642367</v>
      </c>
      <c r="F28" s="20">
        <f>F4</f>
        <v>2666390</v>
      </c>
      <c r="G28" s="85">
        <f>E28/F28</f>
        <v>9034.17818361155</v>
      </c>
      <c r="H28" s="20">
        <v>15497657032</v>
      </c>
      <c r="I28" s="20">
        <f>I4</f>
        <v>28065499</v>
      </c>
      <c r="J28" s="85">
        <f>H28/I28</f>
        <v>552.196026587662</v>
      </c>
      <c r="K28" s="20">
        <v>8775338752</v>
      </c>
      <c r="L28" s="20">
        <f>L4</f>
        <v>25652244</v>
      </c>
      <c r="M28" s="85">
        <f>K28/L28</f>
        <v>342.088542117407</v>
      </c>
      <c r="N28" s="20">
        <v>13804480528</v>
      </c>
      <c r="O28" s="20">
        <f>O4</f>
        <v>29230990</v>
      </c>
      <c r="P28" s="85">
        <f>N28/O28</f>
        <v>472.25497761109</v>
      </c>
      <c r="Q28" s="20">
        <v>10947518114</v>
      </c>
      <c r="R28" s="20">
        <f>R4</f>
        <v>25154507</v>
      </c>
      <c r="S28" s="85">
        <f>Q28/R28</f>
        <v>435.210998728777</v>
      </c>
      <c r="T28" s="20">
        <v>15151041840</v>
      </c>
      <c r="U28" s="20">
        <f>U4</f>
        <v>26226382</v>
      </c>
      <c r="V28" s="85">
        <f>T28/U28</f>
        <v>577.702324323652</v>
      </c>
      <c r="W28" s="20">
        <v>11067204478</v>
      </c>
      <c r="X28" s="20">
        <f>X4</f>
        <v>30293346</v>
      </c>
      <c r="Y28" s="85">
        <f>W28/X28</f>
        <v>365.334502104852</v>
      </c>
      <c r="Z28" s="20">
        <v>6528062751</v>
      </c>
      <c r="AA28" s="20">
        <f>AA4</f>
        <v>18908782</v>
      </c>
      <c r="AB28" s="85">
        <f>Z28/AA28</f>
        <v>345.239727815361</v>
      </c>
      <c r="AC28" s="20">
        <v>10519278268</v>
      </c>
      <c r="AD28" s="20">
        <f>AD4</f>
        <v>25001574</v>
      </c>
      <c r="AE28" s="85">
        <f>AC28/AD28</f>
        <v>420.744640637425</v>
      </c>
      <c r="AF28" s="20">
        <v>6978312192</v>
      </c>
      <c r="AG28" s="20">
        <f>AG4</f>
        <v>14414880</v>
      </c>
      <c r="AH28" s="85">
        <f>AF28/AG28</f>
        <v>484.104771735873</v>
      </c>
      <c r="AI28" s="20">
        <v>8247196656</v>
      </c>
      <c r="AJ28" s="20">
        <f>AJ4</f>
        <v>21500000</v>
      </c>
      <c r="AK28" s="85">
        <f>AI28/AJ28</f>
        <v>383.590542139535</v>
      </c>
      <c r="AL28" s="20">
        <v>7341919378</v>
      </c>
      <c r="AM28" s="20">
        <f>AM4</f>
        <v>23100000</v>
      </c>
      <c r="AN28" s="85">
        <f>AL28/AM28</f>
        <v>317.832007705628</v>
      </c>
      <c r="AO28" s="20">
        <v>7341919378</v>
      </c>
      <c r="AP28" s="20">
        <f>AP4</f>
        <v>7500000</v>
      </c>
      <c r="AQ28" s="85">
        <f>AO28/AP28</f>
        <v>978.922583733333</v>
      </c>
    </row>
    <row r="29" spans="1:43">
      <c r="B29" s="2"/>
      <c r="C29" s="6" t="s">
        <v>163</v>
      </c>
      <c r="E29" s="20"/>
      <c r="G29" s="85"/>
      <c r="H29" s="20"/>
      <c r="J29" s="85"/>
      <c r="K29" s="20"/>
      <c r="M29" s="85"/>
      <c r="N29" s="20"/>
      <c r="P29" s="85"/>
      <c r="Q29" s="20"/>
      <c r="S29" s="85"/>
      <c r="T29" s="20"/>
      <c r="V29" s="85"/>
      <c r="W29" s="20"/>
      <c r="Y29" s="85"/>
      <c r="Z29" s="20"/>
      <c r="AB29" s="85"/>
      <c r="AC29" s="20"/>
      <c r="AE29" s="85"/>
      <c r="AF29" s="20"/>
      <c r="AH29" s="85"/>
      <c r="AI29" s="20"/>
      <c r="AK29" s="85"/>
      <c r="AL29" s="20"/>
      <c r="AM29" s="20"/>
      <c r="AN29" s="85"/>
      <c r="AO29" s="20"/>
      <c r="AP29" s="20"/>
      <c r="AQ29" s="85"/>
    </row>
    <row r="30" spans="1:43">
      <c r="A30"/>
      <c r="D30"/>
      <c r="E30"/>
      <c r="F30"/>
      <c r="G30" s="48"/>
      <c r="H30"/>
      <c r="I30"/>
      <c r="J30" s="48"/>
      <c r="K30"/>
      <c r="L30"/>
      <c r="M30" s="48"/>
      <c r="N30"/>
      <c r="O30"/>
      <c r="P30" s="48"/>
      <c r="Q30"/>
      <c r="R30"/>
      <c r="S30" s="48"/>
      <c r="T30"/>
      <c r="U30"/>
      <c r="V30" s="48"/>
      <c r="W30"/>
      <c r="X30"/>
      <c r="Y30" s="48"/>
      <c r="Z30"/>
      <c r="AA30"/>
      <c r="AB30" s="48"/>
      <c r="AC30"/>
      <c r="AD30"/>
      <c r="AE30" s="48"/>
      <c r="AF30"/>
      <c r="AG30"/>
      <c r="AH30" s="48"/>
      <c r="AI30"/>
      <c r="AJ30"/>
      <c r="AK30" s="48"/>
      <c r="AL30"/>
      <c r="AM30"/>
      <c r="AN30" s="48"/>
      <c r="AO30"/>
      <c r="AP30"/>
      <c r="AQ30" s="48"/>
    </row>
    <row r="31" spans="1:43">
      <c r="A31" s="2">
        <v>10</v>
      </c>
      <c r="B31" s="2" t="s">
        <v>125</v>
      </c>
      <c r="C31" s="37" t="s">
        <v>122</v>
      </c>
      <c r="D31" s="2" t="s">
        <v>649</v>
      </c>
      <c r="E31" s="20">
        <f>G13</f>
        <v>0.0712971365516482</v>
      </c>
      <c r="F31" s="20">
        <f>E31/G31</f>
        <v>0.026116167235036</v>
      </c>
      <c r="G31" s="38">
        <v>2.73</v>
      </c>
      <c r="H31" s="20">
        <f>J13</f>
        <v>-0.00748894032359669</v>
      </c>
      <c r="I31" s="20">
        <f>H31/J31</f>
        <v>-2.34910298732644e-5</v>
      </c>
      <c r="J31" s="38">
        <v>318.8</v>
      </c>
      <c r="K31" s="20">
        <f>M13</f>
        <v>0.437145670207971</v>
      </c>
      <c r="L31" s="20">
        <f>K31/M31</f>
        <v>0.180638706697509</v>
      </c>
      <c r="M31" s="38">
        <v>2.42</v>
      </c>
      <c r="N31" s="20">
        <f>P13</f>
        <v>0.085008194308686</v>
      </c>
      <c r="O31" s="20">
        <f>N31/P31</f>
        <v>0.0231629957244376</v>
      </c>
      <c r="P31" s="38">
        <v>3.67</v>
      </c>
      <c r="Q31" s="20">
        <f>S13</f>
        <v>0.199719383094429</v>
      </c>
      <c r="R31" s="20">
        <f>Q31/S31</f>
        <v>0.0520102560141743</v>
      </c>
      <c r="S31" s="38">
        <v>3.84</v>
      </c>
      <c r="T31" s="20">
        <f>V13</f>
        <v>0.0101433140350829</v>
      </c>
      <c r="U31" s="20">
        <f>T31/V31</f>
        <v>0.00368847783093923</v>
      </c>
      <c r="V31" s="38">
        <v>2.75</v>
      </c>
      <c r="W31" s="20">
        <f>Y13</f>
        <v>0.019358582768035</v>
      </c>
      <c r="X31" s="20">
        <f>W31/Y31</f>
        <v>5.64884236009191e-5</v>
      </c>
      <c r="Y31" s="38">
        <v>342.7</v>
      </c>
      <c r="Z31" s="20">
        <f>AB13</f>
        <v>0.0874484547953193</v>
      </c>
      <c r="AA31" s="20">
        <f>Z31/AB31</f>
        <v>0.000201680015671862</v>
      </c>
      <c r="AB31" s="38">
        <v>433.6</v>
      </c>
      <c r="AC31" s="20">
        <f>AE13</f>
        <v>0.0675120468112761</v>
      </c>
      <c r="AD31" s="20">
        <f>AC31/AE31</f>
        <v>0.000203104833968941</v>
      </c>
      <c r="AE31" s="38">
        <v>332.4</v>
      </c>
      <c r="AF31" s="20">
        <f>AH13</f>
        <v>0.0793658774928764</v>
      </c>
      <c r="AG31" s="20">
        <f>AF31/AH31</f>
        <v>0.0170313041830207</v>
      </c>
      <c r="AH31" s="38">
        <v>4.66</v>
      </c>
      <c r="AI31" s="20">
        <f>AK13</f>
        <v>0.101551839077018</v>
      </c>
      <c r="AJ31" s="20">
        <f>AI31/AK31</f>
        <v>0.038760243922526</v>
      </c>
      <c r="AK31" s="38">
        <v>2.62</v>
      </c>
      <c r="AL31" s="20">
        <f>AN13</f>
        <v>0.0592408863014858</v>
      </c>
      <c r="AM31" s="20">
        <f>AL31/AN31</f>
        <v>0.0216999583521926</v>
      </c>
      <c r="AN31" s="38">
        <v>2.73</v>
      </c>
      <c r="AO31" s="20">
        <f>AQ13</f>
        <v>0.0592408863014858</v>
      </c>
      <c r="AP31" s="20">
        <f>AO31/AQ31</f>
        <v>0.0216999583521926</v>
      </c>
      <c r="AQ31" s="38">
        <v>2.73</v>
      </c>
    </row>
    <row r="32" spans="1:43">
      <c r="B32" s="2"/>
      <c r="C32" s="2" t="s">
        <v>650</v>
      </c>
      <c r="E32" s="20"/>
      <c r="F32" s="20"/>
      <c r="G32" s="38"/>
      <c r="H32" s="20"/>
      <c r="I32" s="20"/>
      <c r="J32" s="38"/>
      <c r="K32" s="20"/>
      <c r="L32" s="20"/>
      <c r="M32" s="38"/>
      <c r="N32" s="20"/>
      <c r="O32" s="20"/>
      <c r="P32" s="38"/>
      <c r="Q32" s="20"/>
      <c r="R32" s="20"/>
      <c r="S32" s="38"/>
      <c r="T32" s="20"/>
      <c r="U32" s="20"/>
      <c r="V32" s="38"/>
      <c r="W32" s="20"/>
      <c r="X32" s="20"/>
      <c r="Y32" s="38"/>
      <c r="Z32" s="20"/>
      <c r="AA32" s="20"/>
      <c r="AB32" s="38"/>
      <c r="AC32" s="20"/>
      <c r="AD32" s="20"/>
      <c r="AE32" s="38"/>
      <c r="AF32" s="20"/>
      <c r="AG32" s="20"/>
      <c r="AH32" s="38"/>
      <c r="AI32" s="20"/>
      <c r="AJ32" s="20"/>
      <c r="AK32" s="38"/>
      <c r="AL32" s="20"/>
      <c r="AM32" s="20"/>
      <c r="AN32" s="38"/>
      <c r="AO32" s="20"/>
      <c r="AP32" s="20"/>
      <c r="AQ32" s="38"/>
    </row>
    <row r="33" ht="14.5" customHeight="1" spans="1:43">
      <c r="A33"/>
      <c r="D33"/>
      <c r="E33" s="99"/>
      <c r="F33" s="99"/>
      <c r="G33" s="100"/>
      <c r="H33" s="99"/>
      <c r="I33" s="99"/>
      <c r="J33" s="100"/>
      <c r="K33" s="99"/>
      <c r="L33" s="99"/>
      <c r="M33" s="100"/>
      <c r="N33" s="99"/>
      <c r="O33" s="99"/>
      <c r="P33" s="100"/>
      <c r="Q33" s="99"/>
      <c r="R33" s="99"/>
      <c r="S33" s="100"/>
      <c r="T33" s="99"/>
      <c r="U33" s="99"/>
      <c r="V33" s="100"/>
      <c r="W33" s="99"/>
      <c r="X33" s="99"/>
      <c r="Y33" s="100"/>
      <c r="Z33" s="99"/>
      <c r="AA33" s="99"/>
      <c r="AB33" s="100"/>
      <c r="AC33" s="99"/>
      <c r="AD33" s="99"/>
      <c r="AE33" s="100"/>
      <c r="AF33" s="99"/>
      <c r="AG33" s="99"/>
      <c r="AH33" s="100"/>
      <c r="AI33" s="99"/>
      <c r="AJ33" s="99"/>
      <c r="AK33" s="100"/>
      <c r="AL33" s="99"/>
      <c r="AM33" s="99"/>
      <c r="AN33" s="100"/>
      <c r="AO33" s="99"/>
      <c r="AP33" s="99"/>
      <c r="AQ33" s="100"/>
    </row>
    <row r="34" ht="14.5" customHeight="1" spans="1:43">
      <c r="A34" s="2">
        <v>11</v>
      </c>
      <c r="B34" s="41" t="s">
        <v>716</v>
      </c>
      <c r="C34" s="101" t="s">
        <v>717</v>
      </c>
      <c r="D34" s="41" t="s">
        <v>718</v>
      </c>
      <c r="E34" s="20">
        <v>70189481</v>
      </c>
      <c r="F34" s="20">
        <v>247468779</v>
      </c>
      <c r="G34" s="38">
        <f>(E34/F34)*100</f>
        <v>28.3629641216276</v>
      </c>
      <c r="H34" s="20">
        <v>1134969813</v>
      </c>
      <c r="I34" s="20">
        <v>2057631838</v>
      </c>
      <c r="J34" s="38">
        <f>(H34/I34)*100</f>
        <v>55.1590324391161</v>
      </c>
      <c r="K34" s="20">
        <v>653592326</v>
      </c>
      <c r="L34" s="20">
        <v>939238318</v>
      </c>
      <c r="M34" s="38">
        <f>(K34/L34)*100</f>
        <v>69.5874852499363</v>
      </c>
      <c r="N34" s="20">
        <v>1053174097</v>
      </c>
      <c r="O34" s="20">
        <v>1712012900</v>
      </c>
      <c r="P34" s="38">
        <f>(N34/O34)*100</f>
        <v>61.5167150317617</v>
      </c>
      <c r="Q34" s="20">
        <v>855945592</v>
      </c>
      <c r="R34" s="20">
        <v>1719613008</v>
      </c>
      <c r="S34" s="38">
        <f>(Q34/R34)*100</f>
        <v>49.7754778556548</v>
      </c>
      <c r="T34" s="20">
        <v>1694018343</v>
      </c>
      <c r="U34" s="20">
        <v>2113504491</v>
      </c>
      <c r="V34" s="38">
        <f>(T34/U34)*100</f>
        <v>80.1521051984365</v>
      </c>
      <c r="W34" s="20">
        <v>868019917</v>
      </c>
      <c r="X34" s="20">
        <v>1362104687</v>
      </c>
      <c r="Y34" s="38">
        <f>(W34/X34)*100</f>
        <v>63.7263732578287</v>
      </c>
      <c r="Z34" s="20">
        <v>498385509</v>
      </c>
      <c r="AA34" s="20">
        <v>950520240</v>
      </c>
      <c r="AB34" s="38">
        <f>(Z34/AA34)*100</f>
        <v>52.4329191559351</v>
      </c>
      <c r="AC34" s="20">
        <v>1113523955</v>
      </c>
      <c r="AD34" s="20">
        <v>2021065326</v>
      </c>
      <c r="AE34" s="38">
        <f>(AC34/AD34)*100</f>
        <v>55.0958912943124</v>
      </c>
      <c r="AF34" s="20">
        <v>250899317</v>
      </c>
      <c r="AG34" s="20">
        <v>634902915</v>
      </c>
      <c r="AH34" s="38">
        <f>(AF34/AG34)*100</f>
        <v>39.5177453233145</v>
      </c>
      <c r="AI34" s="20">
        <v>387008535</v>
      </c>
      <c r="AJ34" s="20">
        <v>787499290</v>
      </c>
      <c r="AK34" s="38">
        <f>(AI34/AJ34)*100</f>
        <v>49.143985259974</v>
      </c>
      <c r="AL34" s="20">
        <v>676284458</v>
      </c>
      <c r="AM34" s="20">
        <v>1175037822</v>
      </c>
      <c r="AN34" s="38">
        <f>(AL34/AM34)*100</f>
        <v>57.5542714743356</v>
      </c>
      <c r="AO34" s="20">
        <v>676284458</v>
      </c>
      <c r="AP34" s="20">
        <v>1175037822</v>
      </c>
      <c r="AQ34" s="38">
        <f>(AO34/AP34)*100</f>
        <v>57.5542714743356</v>
      </c>
    </row>
    <row r="35" spans="1:43">
      <c r="B35" s="41"/>
      <c r="C35" s="23" t="s">
        <v>719</v>
      </c>
      <c r="D35" s="41"/>
      <c r="E35" s="20"/>
      <c r="F35" s="20"/>
      <c r="G35" s="38"/>
      <c r="H35" s="20"/>
      <c r="J35" s="38"/>
      <c r="K35" s="20"/>
      <c r="L35" s="20"/>
      <c r="M35" s="38"/>
      <c r="N35" s="20"/>
      <c r="O35" s="20"/>
      <c r="P35" s="38"/>
      <c r="Q35" s="20"/>
      <c r="R35" s="20"/>
      <c r="S35" s="38"/>
      <c r="T35" s="20"/>
      <c r="U35" s="20"/>
      <c r="V35" s="38"/>
      <c r="W35" s="20"/>
      <c r="X35" s="20"/>
      <c r="Y35" s="38"/>
      <c r="Z35" s="20"/>
      <c r="AA35" s="20"/>
      <c r="AB35" s="38"/>
      <c r="AC35" s="20"/>
      <c r="AD35" s="20"/>
      <c r="AE35" s="38"/>
      <c r="AF35" s="20"/>
      <c r="AG35" s="20"/>
      <c r="AH35" s="38"/>
      <c r="AI35" s="20"/>
      <c r="AJ35" s="20"/>
      <c r="AK35" s="38"/>
      <c r="AL35" s="20"/>
      <c r="AM35" s="20"/>
      <c r="AN35" s="38"/>
      <c r="AO35" s="20"/>
      <c r="AP35" s="20"/>
      <c r="AQ35" s="38"/>
    </row>
    <row r="36" ht="14.5" customHeight="1" spans="1:43">
      <c r="B36" s="102"/>
      <c r="C36" s="102"/>
      <c r="D36" s="102"/>
      <c r="E36" s="102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  <c r="AB36" s="41"/>
      <c r="AC36" s="41"/>
      <c r="AD36" s="41"/>
      <c r="AE36" s="41"/>
      <c r="AF36" s="41"/>
      <c r="AG36" s="41"/>
      <c r="AH36" s="41"/>
      <c r="AI36" s="41"/>
      <c r="AJ36" s="41"/>
      <c r="AK36" s="41"/>
      <c r="AL36" s="41"/>
      <c r="AM36" s="41"/>
      <c r="AN36" s="41"/>
      <c r="AO36" s="41"/>
      <c r="AP36" s="41"/>
      <c r="AQ36" s="41"/>
    </row>
    <row r="37" spans="1:43">
      <c r="B37" s="103"/>
      <c r="D37" s="103"/>
      <c r="E37" s="20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  <c r="AC37" s="41"/>
      <c r="AD37" s="41"/>
      <c r="AE37" s="41"/>
      <c r="AF37" s="41"/>
      <c r="AG37" s="41"/>
      <c r="AH37" s="41"/>
      <c r="AI37" s="41"/>
      <c r="AJ37" s="41"/>
      <c r="AK37" s="41"/>
      <c r="AL37" s="41"/>
      <c r="AM37" s="41"/>
      <c r="AN37" s="41"/>
      <c r="AO37" s="41"/>
      <c r="AP37" s="41"/>
      <c r="AQ37" s="41"/>
    </row>
    <row r="38" spans="1:43">
      <c r="B38" s="103"/>
      <c r="D38" s="103"/>
      <c r="E38" s="20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  <c r="AC38" s="41"/>
      <c r="AD38" s="41"/>
      <c r="AE38" s="41"/>
      <c r="AF38" s="41"/>
      <c r="AG38" s="41"/>
      <c r="AH38" s="41"/>
      <c r="AI38" s="41"/>
      <c r="AJ38" s="41"/>
      <c r="AK38" s="41"/>
      <c r="AL38" s="41"/>
      <c r="AM38" s="41"/>
      <c r="AN38" s="41"/>
      <c r="AO38" s="41"/>
      <c r="AP38" s="41"/>
      <c r="AQ38" s="41"/>
    </row>
    <row r="39" spans="1:43"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  <c r="AM39" s="41"/>
      <c r="AN39" s="41"/>
      <c r="AO39" s="41"/>
      <c r="AP39" s="41"/>
      <c r="AQ39" s="41"/>
    </row>
    <row r="40" ht="15.75" spans="1:43">
      <c r="B40" s="105" t="s">
        <v>654</v>
      </c>
      <c r="C40" s="105"/>
    </row>
    <row r="41" spans="1:43">
      <c r="A41" s="106">
        <v>1</v>
      </c>
      <c r="B41" s="107" t="s">
        <v>655</v>
      </c>
      <c r="C41" s="107"/>
      <c r="D41" s="108" t="s">
        <v>656</v>
      </c>
      <c r="E41" s="66"/>
      <c r="F41" s="66"/>
      <c r="G41" s="66"/>
      <c r="H41" s="66"/>
      <c r="I41" s="66"/>
      <c r="J41" s="66"/>
      <c r="K41" s="45"/>
      <c r="L41" s="45"/>
      <c r="M41" s="45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</row>
    <row r="42" spans="1:43">
      <c r="A42" s="106">
        <v>2</v>
      </c>
      <c r="B42" s="107" t="s">
        <v>657</v>
      </c>
      <c r="C42" s="107"/>
      <c r="D42" s="108" t="s">
        <v>658</v>
      </c>
      <c r="E42" s="66"/>
      <c r="F42" s="66"/>
      <c r="G42" s="66"/>
      <c r="H42" s="66"/>
      <c r="I42" s="66"/>
      <c r="J42" s="66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</row>
    <row r="43" spans="1:43">
      <c r="A43" s="106">
        <v>3</v>
      </c>
      <c r="B43" s="107" t="s">
        <v>659</v>
      </c>
      <c r="C43" s="107"/>
      <c r="D43" s="108" t="s">
        <v>660</v>
      </c>
      <c r="E43" s="66"/>
      <c r="F43" s="66"/>
      <c r="G43" s="66"/>
      <c r="H43" s="66"/>
      <c r="I43" s="66"/>
      <c r="J43" s="66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</row>
    <row r="44" spans="1:43">
      <c r="A44" s="106">
        <v>4</v>
      </c>
      <c r="B44" s="107" t="s">
        <v>661</v>
      </c>
      <c r="C44" s="107"/>
      <c r="D44" s="108" t="s">
        <v>662</v>
      </c>
      <c r="E44" s="66"/>
      <c r="F44" s="66"/>
      <c r="G44" s="66"/>
      <c r="H44" s="66"/>
      <c r="I44" s="66"/>
      <c r="J44" s="66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</row>
    <row r="45" spans="1:43">
      <c r="A45" s="106">
        <v>5</v>
      </c>
      <c r="B45" s="107" t="s">
        <v>663</v>
      </c>
      <c r="C45" s="107"/>
      <c r="D45" s="108" t="s">
        <v>664</v>
      </c>
      <c r="E45" s="66"/>
      <c r="F45" s="66"/>
      <c r="G45" s="66"/>
      <c r="H45" s="66"/>
      <c r="I45" s="66"/>
      <c r="J45" s="66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</row>
    <row r="46" spans="1:43">
      <c r="A46" s="106">
        <v>6</v>
      </c>
      <c r="B46" s="107" t="s">
        <v>657</v>
      </c>
      <c r="C46" s="107"/>
      <c r="D46" s="108" t="s">
        <v>665</v>
      </c>
      <c r="E46" s="66"/>
      <c r="F46" s="66"/>
      <c r="G46" s="66"/>
      <c r="H46" s="66"/>
      <c r="I46" s="66"/>
      <c r="J46" s="6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</row>
    <row r="47" spans="1:43">
      <c r="A47" s="106">
        <v>7</v>
      </c>
      <c r="B47" s="107" t="s">
        <v>666</v>
      </c>
      <c r="C47" s="107"/>
      <c r="D47" s="108" t="s">
        <v>667</v>
      </c>
      <c r="E47" s="66"/>
      <c r="F47" s="66"/>
      <c r="G47" s="66"/>
      <c r="H47" s="66"/>
      <c r="I47" s="66"/>
      <c r="J47" s="66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</row>
    <row r="48" spans="1:43">
      <c r="A48" s="106">
        <v>8</v>
      </c>
      <c r="B48" s="107" t="s">
        <v>668</v>
      </c>
      <c r="C48" s="107"/>
      <c r="D48" s="108" t="s">
        <v>669</v>
      </c>
      <c r="E48" s="66"/>
      <c r="F48" s="66"/>
      <c r="G48" s="66"/>
      <c r="H48" s="66"/>
      <c r="I48" s="66"/>
      <c r="J48" s="66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</row>
    <row r="49" spans="1:43">
      <c r="A49" s="106">
        <v>9</v>
      </c>
      <c r="B49" s="107" t="s">
        <v>670</v>
      </c>
      <c r="C49" s="107"/>
      <c r="D49" s="108" t="s">
        <v>671</v>
      </c>
      <c r="E49" s="66"/>
      <c r="F49" s="66"/>
      <c r="G49" s="66"/>
      <c r="H49" s="66"/>
      <c r="I49" s="66"/>
      <c r="J49" s="66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</row>
    <row r="50" spans="1:43">
      <c r="A50" s="106">
        <v>10</v>
      </c>
      <c r="B50" s="107" t="s">
        <v>672</v>
      </c>
      <c r="C50" s="107"/>
      <c r="D50" s="108" t="s">
        <v>673</v>
      </c>
      <c r="E50" s="66"/>
      <c r="F50" s="66"/>
      <c r="G50" s="66"/>
      <c r="H50" s="66"/>
      <c r="I50" s="66"/>
      <c r="J50" s="66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</row>
    <row r="51" spans="1:43">
      <c r="A51" s="106">
        <v>11</v>
      </c>
      <c r="B51" s="107" t="s">
        <v>674</v>
      </c>
      <c r="C51" s="107"/>
      <c r="D51" s="108" t="s">
        <v>675</v>
      </c>
      <c r="E51" s="66"/>
      <c r="F51" s="66"/>
      <c r="G51" s="66"/>
      <c r="H51" s="66"/>
      <c r="I51" s="66"/>
      <c r="J51" s="66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</row>
    <row r="52" spans="1:43">
      <c r="A52" s="106">
        <v>12</v>
      </c>
      <c r="B52" s="107" t="s">
        <v>676</v>
      </c>
      <c r="C52" s="107"/>
      <c r="D52" s="108" t="s">
        <v>677</v>
      </c>
      <c r="E52" s="66"/>
      <c r="F52" s="66"/>
      <c r="G52" s="66"/>
      <c r="H52" s="66"/>
      <c r="I52" s="66"/>
      <c r="J52" s="66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</row>
    <row r="53" spans="1:43">
      <c r="A53" s="106">
        <v>13</v>
      </c>
      <c r="B53" s="107" t="s">
        <v>678</v>
      </c>
      <c r="C53" s="107"/>
      <c r="D53" s="108" t="s">
        <v>679</v>
      </c>
      <c r="E53" s="66"/>
      <c r="F53" s="66"/>
      <c r="G53" s="66"/>
      <c r="H53" s="66"/>
      <c r="I53" s="66"/>
      <c r="J53" s="66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</row>
    <row r="54" spans="1:43">
      <c r="A54" s="106">
        <v>14</v>
      </c>
      <c r="B54" s="107" t="s">
        <v>680</v>
      </c>
      <c r="C54" s="107"/>
      <c r="D54" s="108" t="s">
        <v>681</v>
      </c>
      <c r="E54" s="66"/>
      <c r="F54" s="66"/>
      <c r="G54" s="66"/>
      <c r="H54" s="66"/>
      <c r="I54" s="66"/>
      <c r="J54" s="66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</row>
    <row r="55" spans="1:43">
      <c r="A55" s="106">
        <v>15</v>
      </c>
      <c r="B55" s="107" t="s">
        <v>682</v>
      </c>
      <c r="C55" s="107"/>
      <c r="D55" s="108" t="s">
        <v>683</v>
      </c>
      <c r="E55" s="66"/>
      <c r="F55" s="66"/>
      <c r="G55" s="66"/>
      <c r="H55" s="66"/>
      <c r="I55" s="66"/>
      <c r="J55" s="66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</row>
    <row r="56" spans="1:43">
      <c r="A56" s="106">
        <v>16</v>
      </c>
      <c r="B56" s="107" t="s">
        <v>684</v>
      </c>
      <c r="C56" s="107"/>
      <c r="D56" s="108" t="s">
        <v>685</v>
      </c>
      <c r="E56" s="66"/>
      <c r="F56" s="66"/>
      <c r="G56" s="66"/>
      <c r="H56" s="66"/>
      <c r="I56" s="66"/>
      <c r="J56" s="6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</row>
    <row r="57" spans="1:43">
      <c r="A57" s="106">
        <v>17</v>
      </c>
      <c r="B57" s="107" t="s">
        <v>686</v>
      </c>
      <c r="C57" s="107"/>
      <c r="D57" s="108" t="s">
        <v>687</v>
      </c>
      <c r="E57" s="66"/>
      <c r="F57" s="66"/>
      <c r="G57" s="66"/>
      <c r="H57" s="66"/>
      <c r="I57" s="66"/>
      <c r="J57" s="66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</row>
    <row r="58" spans="1:43">
      <c r="A58" s="109">
        <v>18</v>
      </c>
      <c r="B58" s="110" t="s">
        <v>716</v>
      </c>
      <c r="C58" s="110"/>
      <c r="D58" s="111" t="s">
        <v>720</v>
      </c>
      <c r="E58" s="112"/>
      <c r="F58" s="112"/>
      <c r="G58" s="112"/>
      <c r="H58" s="112"/>
      <c r="I58" s="112"/>
      <c r="J58" s="112"/>
    </row>
  </sheetData>
  <mergeCells count="515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B36:E36"/>
    <mergeCell ref="B40:C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C47"/>
    <mergeCell ref="D47:J47"/>
    <mergeCell ref="B48:C48"/>
    <mergeCell ref="D48:J48"/>
    <mergeCell ref="B49:C49"/>
    <mergeCell ref="D49:J49"/>
    <mergeCell ref="B50:C50"/>
    <mergeCell ref="D50:J50"/>
    <mergeCell ref="B51:C51"/>
    <mergeCell ref="D51:J51"/>
    <mergeCell ref="B52:C52"/>
    <mergeCell ref="D52:J52"/>
    <mergeCell ref="B53:C53"/>
    <mergeCell ref="D53:J53"/>
    <mergeCell ref="B54:C54"/>
    <mergeCell ref="D54:J54"/>
    <mergeCell ref="B55:C55"/>
    <mergeCell ref="D55:J55"/>
    <mergeCell ref="B56:C56"/>
    <mergeCell ref="D56:J56"/>
    <mergeCell ref="B57:C57"/>
    <mergeCell ref="D57:J57"/>
    <mergeCell ref="B58:C58"/>
    <mergeCell ref="D58:J58"/>
    <mergeCell ref="A4:A5"/>
    <mergeCell ref="A7:A8"/>
    <mergeCell ref="A10:A11"/>
    <mergeCell ref="A13:A14"/>
    <mergeCell ref="A16:A17"/>
    <mergeCell ref="A19:A20"/>
    <mergeCell ref="A22:A23"/>
    <mergeCell ref="A25:A26"/>
    <mergeCell ref="A28:A29"/>
    <mergeCell ref="A31:A32"/>
    <mergeCell ref="A34:A35"/>
    <mergeCell ref="B4:B5"/>
    <mergeCell ref="B7:B8"/>
    <mergeCell ref="B10:B11"/>
    <mergeCell ref="B13:B14"/>
    <mergeCell ref="B16:B17"/>
    <mergeCell ref="B19:B20"/>
    <mergeCell ref="B22:B23"/>
    <mergeCell ref="B25:B26"/>
    <mergeCell ref="B28:B29"/>
    <mergeCell ref="B31:B32"/>
    <mergeCell ref="B34:B35"/>
    <mergeCell ref="C13:C14"/>
    <mergeCell ref="D4:D5"/>
    <mergeCell ref="D7:D8"/>
    <mergeCell ref="D10:D11"/>
    <mergeCell ref="D13:D14"/>
    <mergeCell ref="D16:D17"/>
    <mergeCell ref="D19:D20"/>
    <mergeCell ref="D22:D23"/>
    <mergeCell ref="D25:D26"/>
    <mergeCell ref="D28:D29"/>
    <mergeCell ref="D31:D32"/>
    <mergeCell ref="D34:D35"/>
    <mergeCell ref="E4:E5"/>
    <mergeCell ref="E7:E8"/>
    <mergeCell ref="E10:E11"/>
    <mergeCell ref="E13:E14"/>
    <mergeCell ref="E16:E17"/>
    <mergeCell ref="E19:E20"/>
    <mergeCell ref="E22:E23"/>
    <mergeCell ref="E25:E26"/>
    <mergeCell ref="E28:E29"/>
    <mergeCell ref="E31:E32"/>
    <mergeCell ref="E34:E35"/>
    <mergeCell ref="F4:F5"/>
    <mergeCell ref="F7:F8"/>
    <mergeCell ref="F10:F11"/>
    <mergeCell ref="F13:F14"/>
    <mergeCell ref="F16:F17"/>
    <mergeCell ref="F19:F20"/>
    <mergeCell ref="F22:F23"/>
    <mergeCell ref="F25:F26"/>
    <mergeCell ref="F28:F29"/>
    <mergeCell ref="F31:F32"/>
    <mergeCell ref="F34:F35"/>
    <mergeCell ref="G4:G5"/>
    <mergeCell ref="G7:G8"/>
    <mergeCell ref="G10:G11"/>
    <mergeCell ref="G13:G14"/>
    <mergeCell ref="G16:G17"/>
    <mergeCell ref="G19:G20"/>
    <mergeCell ref="G22:G23"/>
    <mergeCell ref="G25:G26"/>
    <mergeCell ref="G28:G29"/>
    <mergeCell ref="G31:G32"/>
    <mergeCell ref="G34:G35"/>
    <mergeCell ref="H4:H5"/>
    <mergeCell ref="H7:H8"/>
    <mergeCell ref="H10:H11"/>
    <mergeCell ref="H13:H14"/>
    <mergeCell ref="H16:H17"/>
    <mergeCell ref="H19:H20"/>
    <mergeCell ref="H22:H23"/>
    <mergeCell ref="H25:H26"/>
    <mergeCell ref="H28:H29"/>
    <mergeCell ref="H31:H32"/>
    <mergeCell ref="H34:H35"/>
    <mergeCell ref="I4:I5"/>
    <mergeCell ref="I7:I8"/>
    <mergeCell ref="I10:I11"/>
    <mergeCell ref="I13:I14"/>
    <mergeCell ref="I16:I17"/>
    <mergeCell ref="I19:I20"/>
    <mergeCell ref="I22:I23"/>
    <mergeCell ref="I25:I26"/>
    <mergeCell ref="I28:I29"/>
    <mergeCell ref="I31:I32"/>
    <mergeCell ref="I34:I35"/>
    <mergeCell ref="J4:J5"/>
    <mergeCell ref="J7:J8"/>
    <mergeCell ref="J10:J11"/>
    <mergeCell ref="J13:J14"/>
    <mergeCell ref="J16:J17"/>
    <mergeCell ref="J19:J20"/>
    <mergeCell ref="J22:J23"/>
    <mergeCell ref="J25:J26"/>
    <mergeCell ref="J28:J29"/>
    <mergeCell ref="J31:J32"/>
    <mergeCell ref="J34:J35"/>
    <mergeCell ref="K4:K5"/>
    <mergeCell ref="K7:K8"/>
    <mergeCell ref="K10:K11"/>
    <mergeCell ref="K13:K14"/>
    <mergeCell ref="K16:K17"/>
    <mergeCell ref="K19:K20"/>
    <mergeCell ref="K22:K23"/>
    <mergeCell ref="K25:K26"/>
    <mergeCell ref="K28:K29"/>
    <mergeCell ref="K31:K32"/>
    <mergeCell ref="K34:K35"/>
    <mergeCell ref="L4:L5"/>
    <mergeCell ref="L7:L8"/>
    <mergeCell ref="L10:L11"/>
    <mergeCell ref="L13:L14"/>
    <mergeCell ref="L16:L17"/>
    <mergeCell ref="L19:L20"/>
    <mergeCell ref="L22:L23"/>
    <mergeCell ref="L25:L26"/>
    <mergeCell ref="L28:L29"/>
    <mergeCell ref="L31:L32"/>
    <mergeCell ref="L34:L35"/>
    <mergeCell ref="M4:M5"/>
    <mergeCell ref="M7:M8"/>
    <mergeCell ref="M10:M11"/>
    <mergeCell ref="M13:M14"/>
    <mergeCell ref="M16:M17"/>
    <mergeCell ref="M19:M20"/>
    <mergeCell ref="M22:M23"/>
    <mergeCell ref="M25:M26"/>
    <mergeCell ref="M28:M29"/>
    <mergeCell ref="M31:M32"/>
    <mergeCell ref="M34:M35"/>
    <mergeCell ref="N4:N5"/>
    <mergeCell ref="N7:N8"/>
    <mergeCell ref="N10:N11"/>
    <mergeCell ref="N13:N14"/>
    <mergeCell ref="N16:N17"/>
    <mergeCell ref="N19:N20"/>
    <mergeCell ref="N22:N23"/>
    <mergeCell ref="N25:N26"/>
    <mergeCell ref="N28:N29"/>
    <mergeCell ref="N31:N32"/>
    <mergeCell ref="N34:N35"/>
    <mergeCell ref="O4:O5"/>
    <mergeCell ref="O7:O8"/>
    <mergeCell ref="O10:O11"/>
    <mergeCell ref="O13:O14"/>
    <mergeCell ref="O16:O17"/>
    <mergeCell ref="O19:O20"/>
    <mergeCell ref="O22:O23"/>
    <mergeCell ref="O25:O26"/>
    <mergeCell ref="O28:O29"/>
    <mergeCell ref="O31:O32"/>
    <mergeCell ref="O34:O35"/>
    <mergeCell ref="P4:P5"/>
    <mergeCell ref="P7:P8"/>
    <mergeCell ref="P10:P11"/>
    <mergeCell ref="P13:P14"/>
    <mergeCell ref="P16:P17"/>
    <mergeCell ref="P19:P20"/>
    <mergeCell ref="P22:P23"/>
    <mergeCell ref="P25:P26"/>
    <mergeCell ref="P28:P29"/>
    <mergeCell ref="P31:P32"/>
    <mergeCell ref="P34:P35"/>
    <mergeCell ref="Q4:Q5"/>
    <mergeCell ref="Q7:Q8"/>
    <mergeCell ref="Q10:Q11"/>
    <mergeCell ref="Q13:Q14"/>
    <mergeCell ref="Q16:Q17"/>
    <mergeCell ref="Q19:Q20"/>
    <mergeCell ref="Q22:Q23"/>
    <mergeCell ref="Q25:Q26"/>
    <mergeCell ref="Q28:Q29"/>
    <mergeCell ref="Q31:Q32"/>
    <mergeCell ref="Q34:Q35"/>
    <mergeCell ref="R4:R5"/>
    <mergeCell ref="R7:R8"/>
    <mergeCell ref="R10:R11"/>
    <mergeCell ref="R13:R14"/>
    <mergeCell ref="R16:R17"/>
    <mergeCell ref="R19:R20"/>
    <mergeCell ref="R22:R23"/>
    <mergeCell ref="R25:R26"/>
    <mergeCell ref="R28:R29"/>
    <mergeCell ref="R31:R32"/>
    <mergeCell ref="R34:R35"/>
    <mergeCell ref="S4:S5"/>
    <mergeCell ref="S7:S8"/>
    <mergeCell ref="S10:S11"/>
    <mergeCell ref="S13:S14"/>
    <mergeCell ref="S16:S17"/>
    <mergeCell ref="S19:S20"/>
    <mergeCell ref="S22:S23"/>
    <mergeCell ref="S25:S26"/>
    <mergeCell ref="S28:S29"/>
    <mergeCell ref="S31:S32"/>
    <mergeCell ref="S34:S35"/>
    <mergeCell ref="T4:T5"/>
    <mergeCell ref="T7:T8"/>
    <mergeCell ref="T10:T11"/>
    <mergeCell ref="T13:T14"/>
    <mergeCell ref="T16:T17"/>
    <mergeCell ref="T19:T20"/>
    <mergeCell ref="T22:T23"/>
    <mergeCell ref="T25:T26"/>
    <mergeCell ref="T28:T29"/>
    <mergeCell ref="T31:T32"/>
    <mergeCell ref="T34:T35"/>
    <mergeCell ref="U4:U5"/>
    <mergeCell ref="U7:U8"/>
    <mergeCell ref="U10:U11"/>
    <mergeCell ref="U13:U14"/>
    <mergeCell ref="U16:U17"/>
    <mergeCell ref="U19:U20"/>
    <mergeCell ref="U22:U23"/>
    <mergeCell ref="U25:U26"/>
    <mergeCell ref="U28:U29"/>
    <mergeCell ref="U31:U32"/>
    <mergeCell ref="U34:U35"/>
    <mergeCell ref="V4:V5"/>
    <mergeCell ref="V7:V8"/>
    <mergeCell ref="V10:V11"/>
    <mergeCell ref="V13:V14"/>
    <mergeCell ref="V16:V17"/>
    <mergeCell ref="V19:V20"/>
    <mergeCell ref="V22:V23"/>
    <mergeCell ref="V25:V26"/>
    <mergeCell ref="V28:V29"/>
    <mergeCell ref="V31:V32"/>
    <mergeCell ref="V34:V35"/>
    <mergeCell ref="W4:W5"/>
    <mergeCell ref="W7:W8"/>
    <mergeCell ref="W10:W11"/>
    <mergeCell ref="W13:W14"/>
    <mergeCell ref="W16:W17"/>
    <mergeCell ref="W19:W20"/>
    <mergeCell ref="W22:W23"/>
    <mergeCell ref="W25:W26"/>
    <mergeCell ref="W28:W29"/>
    <mergeCell ref="W31:W32"/>
    <mergeCell ref="W34:W35"/>
    <mergeCell ref="X4:X5"/>
    <mergeCell ref="X7:X8"/>
    <mergeCell ref="X10:X11"/>
    <mergeCell ref="X13:X14"/>
    <mergeCell ref="X16:X17"/>
    <mergeCell ref="X19:X20"/>
    <mergeCell ref="X22:X23"/>
    <mergeCell ref="X25:X26"/>
    <mergeCell ref="X28:X29"/>
    <mergeCell ref="X31:X32"/>
    <mergeCell ref="X34:X35"/>
    <mergeCell ref="Y4:Y5"/>
    <mergeCell ref="Y7:Y8"/>
    <mergeCell ref="Y10:Y11"/>
    <mergeCell ref="Y13:Y14"/>
    <mergeCell ref="Y16:Y17"/>
    <mergeCell ref="Y19:Y20"/>
    <mergeCell ref="Y22:Y23"/>
    <mergeCell ref="Y25:Y26"/>
    <mergeCell ref="Y28:Y29"/>
    <mergeCell ref="Y31:Y32"/>
    <mergeCell ref="Y34:Y35"/>
    <mergeCell ref="Z4:Z5"/>
    <mergeCell ref="Z7:Z8"/>
    <mergeCell ref="Z10:Z11"/>
    <mergeCell ref="Z13:Z14"/>
    <mergeCell ref="Z16:Z17"/>
    <mergeCell ref="Z19:Z20"/>
    <mergeCell ref="Z22:Z23"/>
    <mergeCell ref="Z25:Z26"/>
    <mergeCell ref="Z28:Z29"/>
    <mergeCell ref="Z31:Z32"/>
    <mergeCell ref="Z34:Z35"/>
    <mergeCell ref="AA4:AA5"/>
    <mergeCell ref="AA7:AA8"/>
    <mergeCell ref="AA10:AA11"/>
    <mergeCell ref="AA13:AA14"/>
    <mergeCell ref="AA16:AA17"/>
    <mergeCell ref="AA19:AA20"/>
    <mergeCell ref="AA22:AA23"/>
    <mergeCell ref="AA25:AA26"/>
    <mergeCell ref="AA28:AA29"/>
    <mergeCell ref="AA31:AA32"/>
    <mergeCell ref="AA34:AA35"/>
    <mergeCell ref="AB4:AB5"/>
    <mergeCell ref="AB7:AB8"/>
    <mergeCell ref="AB10:AB11"/>
    <mergeCell ref="AB13:AB14"/>
    <mergeCell ref="AB16:AB17"/>
    <mergeCell ref="AB19:AB20"/>
    <mergeCell ref="AB22:AB23"/>
    <mergeCell ref="AB25:AB26"/>
    <mergeCell ref="AB28:AB29"/>
    <mergeCell ref="AB31:AB32"/>
    <mergeCell ref="AB34:AB35"/>
    <mergeCell ref="AC4:AC5"/>
    <mergeCell ref="AC7:AC8"/>
    <mergeCell ref="AC10:AC11"/>
    <mergeCell ref="AC13:AC14"/>
    <mergeCell ref="AC16:AC17"/>
    <mergeCell ref="AC19:AC20"/>
    <mergeCell ref="AC22:AC23"/>
    <mergeCell ref="AC25:AC26"/>
    <mergeCell ref="AC28:AC29"/>
    <mergeCell ref="AC31:AC32"/>
    <mergeCell ref="AC34:AC35"/>
    <mergeCell ref="AD4:AD5"/>
    <mergeCell ref="AD7:AD8"/>
    <mergeCell ref="AD10:AD11"/>
    <mergeCell ref="AD13:AD14"/>
    <mergeCell ref="AD16:AD17"/>
    <mergeCell ref="AD19:AD20"/>
    <mergeCell ref="AD22:AD23"/>
    <mergeCell ref="AD25:AD26"/>
    <mergeCell ref="AD28:AD29"/>
    <mergeCell ref="AD31:AD32"/>
    <mergeCell ref="AD34:AD35"/>
    <mergeCell ref="AE4:AE5"/>
    <mergeCell ref="AE7:AE8"/>
    <mergeCell ref="AE10:AE11"/>
    <mergeCell ref="AE13:AE14"/>
    <mergeCell ref="AE16:AE17"/>
    <mergeCell ref="AE19:AE20"/>
    <mergeCell ref="AE22:AE23"/>
    <mergeCell ref="AE25:AE26"/>
    <mergeCell ref="AE28:AE29"/>
    <mergeCell ref="AE31:AE32"/>
    <mergeCell ref="AE34:AE35"/>
    <mergeCell ref="AF4:AF5"/>
    <mergeCell ref="AF7:AF8"/>
    <mergeCell ref="AF10:AF11"/>
    <mergeCell ref="AF13:AF14"/>
    <mergeCell ref="AF16:AF17"/>
    <mergeCell ref="AF19:AF20"/>
    <mergeCell ref="AF22:AF23"/>
    <mergeCell ref="AF25:AF26"/>
    <mergeCell ref="AF28:AF29"/>
    <mergeCell ref="AF31:AF32"/>
    <mergeCell ref="AF34:AF35"/>
    <mergeCell ref="AG4:AG5"/>
    <mergeCell ref="AG7:AG8"/>
    <mergeCell ref="AG10:AG11"/>
    <mergeCell ref="AG13:AG14"/>
    <mergeCell ref="AG16:AG17"/>
    <mergeCell ref="AG19:AG20"/>
    <mergeCell ref="AG22:AG23"/>
    <mergeCell ref="AG25:AG26"/>
    <mergeCell ref="AG28:AG29"/>
    <mergeCell ref="AG31:AG32"/>
    <mergeCell ref="AG34:AG35"/>
    <mergeCell ref="AH4:AH5"/>
    <mergeCell ref="AH7:AH8"/>
    <mergeCell ref="AH10:AH11"/>
    <mergeCell ref="AH13:AH14"/>
    <mergeCell ref="AH16:AH17"/>
    <mergeCell ref="AH19:AH20"/>
    <mergeCell ref="AH22:AH23"/>
    <mergeCell ref="AH25:AH26"/>
    <mergeCell ref="AH28:AH29"/>
    <mergeCell ref="AH31:AH32"/>
    <mergeCell ref="AH34:AH35"/>
    <mergeCell ref="AI4:AI5"/>
    <mergeCell ref="AI7:AI8"/>
    <mergeCell ref="AI10:AI11"/>
    <mergeCell ref="AI13:AI14"/>
    <mergeCell ref="AI16:AI17"/>
    <mergeCell ref="AI19:AI20"/>
    <mergeCell ref="AI22:AI23"/>
    <mergeCell ref="AI25:AI26"/>
    <mergeCell ref="AI28:AI29"/>
    <mergeCell ref="AI31:AI32"/>
    <mergeCell ref="AI34:AI35"/>
    <mergeCell ref="AJ4:AJ5"/>
    <mergeCell ref="AJ7:AJ8"/>
    <mergeCell ref="AJ10:AJ11"/>
    <mergeCell ref="AJ13:AJ14"/>
    <mergeCell ref="AJ16:AJ17"/>
    <mergeCell ref="AJ19:AJ20"/>
    <mergeCell ref="AJ22:AJ23"/>
    <mergeCell ref="AJ25:AJ26"/>
    <mergeCell ref="AJ28:AJ29"/>
    <mergeCell ref="AJ31:AJ32"/>
    <mergeCell ref="AJ34:AJ35"/>
    <mergeCell ref="AK4:AK5"/>
    <mergeCell ref="AK7:AK8"/>
    <mergeCell ref="AK10:AK11"/>
    <mergeCell ref="AK13:AK14"/>
    <mergeCell ref="AK16:AK17"/>
    <mergeCell ref="AK19:AK20"/>
    <mergeCell ref="AK22:AK23"/>
    <mergeCell ref="AK25:AK26"/>
    <mergeCell ref="AK28:AK29"/>
    <mergeCell ref="AK31:AK32"/>
    <mergeCell ref="AK34:AK35"/>
    <mergeCell ref="AL4:AL5"/>
    <mergeCell ref="AL7:AL8"/>
    <mergeCell ref="AL10:AL11"/>
    <mergeCell ref="AL13:AL14"/>
    <mergeCell ref="AL16:AL17"/>
    <mergeCell ref="AL19:AL20"/>
    <mergeCell ref="AL22:AL23"/>
    <mergeCell ref="AL25:AL26"/>
    <mergeCell ref="AL28:AL29"/>
    <mergeCell ref="AL31:AL32"/>
    <mergeCell ref="AL34:AL35"/>
    <mergeCell ref="AM4:AM5"/>
    <mergeCell ref="AM7:AM8"/>
    <mergeCell ref="AM10:AM11"/>
    <mergeCell ref="AM13:AM14"/>
    <mergeCell ref="AM16:AM17"/>
    <mergeCell ref="AM19:AM20"/>
    <mergeCell ref="AM22:AM23"/>
    <mergeCell ref="AM25:AM26"/>
    <mergeCell ref="AM28:AM29"/>
    <mergeCell ref="AM31:AM32"/>
    <mergeCell ref="AM34:AM35"/>
    <mergeCell ref="AN4:AN5"/>
    <mergeCell ref="AN7:AN8"/>
    <mergeCell ref="AN10:AN11"/>
    <mergeCell ref="AN13:AN14"/>
    <mergeCell ref="AN16:AN17"/>
    <mergeCell ref="AN19:AN20"/>
    <mergeCell ref="AN22:AN23"/>
    <mergeCell ref="AN25:AN26"/>
    <mergeCell ref="AN28:AN29"/>
    <mergeCell ref="AN31:AN32"/>
    <mergeCell ref="AN34:AN35"/>
    <mergeCell ref="AO4:AO5"/>
    <mergeCell ref="AO7:AO8"/>
    <mergeCell ref="AO10:AO11"/>
    <mergeCell ref="AO13:AO14"/>
    <mergeCell ref="AO16:AO17"/>
    <mergeCell ref="AO19:AO20"/>
    <mergeCell ref="AO22:AO23"/>
    <mergeCell ref="AO25:AO26"/>
    <mergeCell ref="AO28:AO29"/>
    <mergeCell ref="AO31:AO32"/>
    <mergeCell ref="AO34:AO35"/>
    <mergeCell ref="AP4:AP5"/>
    <mergeCell ref="AP7:AP8"/>
    <mergeCell ref="AP10:AP11"/>
    <mergeCell ref="AP13:AP14"/>
    <mergeCell ref="AP16:AP17"/>
    <mergeCell ref="AP19:AP20"/>
    <mergeCell ref="AP22:AP23"/>
    <mergeCell ref="AP25:AP26"/>
    <mergeCell ref="AP28:AP29"/>
    <mergeCell ref="AP31:AP32"/>
    <mergeCell ref="AP34:AP35"/>
    <mergeCell ref="AQ4:AQ5"/>
    <mergeCell ref="AQ7:AQ8"/>
    <mergeCell ref="AQ10:AQ11"/>
    <mergeCell ref="AQ13:AQ14"/>
    <mergeCell ref="AQ16:AQ17"/>
    <mergeCell ref="AQ19:AQ20"/>
    <mergeCell ref="AQ22:AQ23"/>
    <mergeCell ref="AQ25:AQ26"/>
    <mergeCell ref="AQ28:AQ29"/>
    <mergeCell ref="AQ31:AQ32"/>
    <mergeCell ref="AQ34:AQ35"/>
  </mergeCells>
  <pageMargins left="0.7" right="0.7" top="0.75" bottom="0.75" header="0.3" footer="0.3"/>
  <pageSetup paperSize="1" orientation="portrait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35"/>
  <sheetViews>
    <sheetView topLeftCell="B1" workbookViewId="0">
      <selection activeCell="AH45" sqref="AH45"/>
    </sheetView>
  </sheetViews>
  <sheetFormatPr defaultColWidth="9" defaultRowHeight="15"/>
  <cols>
    <col min="1" max="1" width="5.36190476190476" style="2" hidden="1" customWidth="1"/>
    <col min="2" max="2" width="21.6285714285714" customWidth="1"/>
    <col min="3" max="3" width="22.3619047619048" hidden="1" customWidth="1"/>
    <col min="4" max="4" width="10.2666666666667" style="2" customWidth="1"/>
    <col min="5" max="5" width="14.7238095238095" style="2" hidden="1" customWidth="1"/>
    <col min="6" max="6" width="15.1809523809524" style="2" hidden="1" customWidth="1"/>
    <col min="7" max="7" width="11.9047619047619" style="2" customWidth="1"/>
    <col min="8" max="8" width="14.7238095238095" style="2" hidden="1" customWidth="1"/>
    <col min="9" max="9" width="16.4571428571429" style="2" hidden="1" customWidth="1"/>
    <col min="10" max="10" width="11.3619047619048" style="2" customWidth="1"/>
    <col min="11" max="11" width="14.7238095238095" style="2" hidden="1" customWidth="1"/>
    <col min="12" max="12" width="15.1809523809524" style="2" hidden="1" customWidth="1"/>
    <col min="13" max="13" width="11.1809523809524" style="2" customWidth="1"/>
    <col min="14" max="14" width="14.7238095238095" style="2" hidden="1" customWidth="1"/>
    <col min="15" max="15" width="15.1809523809524" style="2" hidden="1" customWidth="1"/>
    <col min="16" max="16" width="10.5428571428571" style="2" customWidth="1"/>
    <col min="17" max="17" width="14.7238095238095" style="2" hidden="1" customWidth="1"/>
    <col min="18" max="18" width="15.1809523809524" style="2" hidden="1" customWidth="1"/>
    <col min="19" max="19" width="9.54285714285714" style="2" customWidth="1"/>
    <col min="20" max="20" width="14.7238095238095" style="2" hidden="1" customWidth="1"/>
    <col min="21" max="21" width="15.1809523809524" style="2" hidden="1" customWidth="1"/>
    <col min="22" max="22" width="10.6285714285714" style="2" customWidth="1"/>
    <col min="23" max="23" width="14.7238095238095" style="2" hidden="1" customWidth="1"/>
    <col min="24" max="24" width="15.1809523809524" style="2" hidden="1" customWidth="1"/>
    <col min="25" max="25" width="11.3619047619048" style="2" customWidth="1"/>
    <col min="26" max="26" width="14.7238095238095" style="2" hidden="1" customWidth="1"/>
    <col min="27" max="27" width="15.1809523809524" style="2" hidden="1" customWidth="1"/>
    <col min="28" max="28" width="10.1809523809524" style="2" customWidth="1"/>
    <col min="29" max="29" width="14.7238095238095" style="2" hidden="1" customWidth="1"/>
    <col min="30" max="30" width="15.1809523809524" style="2" hidden="1" customWidth="1"/>
    <col min="31" max="31" width="11.2666666666667" style="2" customWidth="1"/>
    <col min="32" max="32" width="14.7238095238095" style="2" hidden="1" customWidth="1"/>
    <col min="33" max="33" width="15.1809523809524" style="2" hidden="1" customWidth="1"/>
    <col min="34" max="34" width="11" style="2" customWidth="1"/>
    <col min="35" max="35" width="14.7238095238095" style="2" hidden="1" customWidth="1"/>
    <col min="36" max="36" width="15.1809523809524" style="2" hidden="1" customWidth="1"/>
    <col min="37" max="37" width="10.3619047619048" style="2" customWidth="1"/>
    <col min="38" max="38" width="14.7238095238095" style="2" hidden="1" customWidth="1"/>
    <col min="39" max="39" width="15.1809523809524" style="2" hidden="1" customWidth="1"/>
    <col min="40" max="40" width="11" style="2" customWidth="1"/>
    <col min="41" max="41" width="14.7238095238095" style="2" hidden="1" customWidth="1"/>
    <col min="42" max="42" width="15.1809523809524" style="2" hidden="1" customWidth="1"/>
    <col min="43" max="43" width="10.4571428571429" style="2" customWidth="1"/>
  </cols>
  <sheetData>
    <row r="1" s="27" customFormat="1" ht="97" customHeight="1" spans="1:43">
      <c r="A1" s="94" t="s">
        <v>702</v>
      </c>
      <c r="B1" s="94"/>
      <c r="C1" s="94"/>
      <c r="D1" s="94"/>
      <c r="E1" s="95" t="s">
        <v>703</v>
      </c>
      <c r="F1" s="95"/>
      <c r="G1" s="95"/>
      <c r="H1" s="95" t="s">
        <v>704</v>
      </c>
      <c r="I1" s="95"/>
      <c r="J1" s="95"/>
      <c r="K1" s="95" t="s">
        <v>705</v>
      </c>
      <c r="L1" s="95"/>
      <c r="M1" s="95"/>
      <c r="N1" s="95" t="s">
        <v>706</v>
      </c>
      <c r="O1" s="95"/>
      <c r="P1" s="95"/>
      <c r="Q1" s="95" t="s">
        <v>707</v>
      </c>
      <c r="R1" s="95"/>
      <c r="S1" s="95"/>
      <c r="T1" s="95" t="s">
        <v>708</v>
      </c>
      <c r="U1" s="95"/>
      <c r="V1" s="95"/>
      <c r="W1" s="95" t="s">
        <v>709</v>
      </c>
      <c r="X1" s="95"/>
      <c r="Y1" s="95"/>
      <c r="Z1" s="95" t="s">
        <v>710</v>
      </c>
      <c r="AA1" s="95"/>
      <c r="AB1" s="95"/>
      <c r="AC1" s="95" t="s">
        <v>711</v>
      </c>
      <c r="AD1" s="95"/>
      <c r="AE1" s="95"/>
      <c r="AF1" s="95" t="s">
        <v>712</v>
      </c>
      <c r="AG1" s="95"/>
      <c r="AH1" s="95"/>
      <c r="AI1" s="95" t="s">
        <v>713</v>
      </c>
      <c r="AJ1" s="95"/>
      <c r="AK1" s="95"/>
      <c r="AL1" s="95" t="s">
        <v>714</v>
      </c>
      <c r="AM1" s="95"/>
      <c r="AN1" s="95"/>
      <c r="AO1" s="31" t="s">
        <v>715</v>
      </c>
      <c r="AP1" s="32"/>
      <c r="AQ1" s="33"/>
    </row>
    <row r="2" s="45" customFormat="1" ht="17" customHeight="1" spans="1:43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6"/>
      <c r="H2" s="36"/>
      <c r="I2" s="36"/>
      <c r="J2" s="36">
        <v>1</v>
      </c>
      <c r="K2" s="36"/>
      <c r="L2" s="36"/>
      <c r="M2" s="36"/>
      <c r="N2" s="36"/>
      <c r="O2" s="36"/>
      <c r="P2" s="36"/>
      <c r="Q2" s="36"/>
      <c r="R2" s="36"/>
      <c r="S2" s="36">
        <v>3</v>
      </c>
      <c r="T2" s="36"/>
      <c r="U2" s="36"/>
      <c r="V2" s="36"/>
      <c r="W2" s="36"/>
      <c r="X2" s="36"/>
      <c r="Y2" s="36"/>
      <c r="Z2" s="36"/>
      <c r="AA2" s="36"/>
      <c r="AB2" s="36">
        <v>4</v>
      </c>
      <c r="AC2" s="36"/>
      <c r="AD2" s="36"/>
      <c r="AE2" s="36">
        <v>2</v>
      </c>
      <c r="AF2" s="36"/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</row>
    <row r="3" spans="1:43">
      <c r="A3" s="2">
        <v>1</v>
      </c>
      <c r="B3" s="2" t="s">
        <v>65</v>
      </c>
      <c r="C3" s="37" t="s">
        <v>161</v>
      </c>
      <c r="D3" s="2" t="s">
        <v>302</v>
      </c>
      <c r="E3" s="20">
        <v>427642633</v>
      </c>
      <c r="F3" s="20">
        <v>2666390</v>
      </c>
      <c r="G3" s="96">
        <f>E3/F3</f>
        <v>160.382627072559</v>
      </c>
      <c r="H3" s="20">
        <v>713180707</v>
      </c>
      <c r="I3" s="20">
        <v>28065499</v>
      </c>
      <c r="J3" s="96">
        <f>H3/I3</f>
        <v>25.4112961611693</v>
      </c>
      <c r="K3" s="20">
        <v>161181590</v>
      </c>
      <c r="L3" s="20">
        <v>25652244</v>
      </c>
      <c r="M3" s="38">
        <f>K3/L3</f>
        <v>6.28333295130048</v>
      </c>
      <c r="N3" s="20">
        <v>452919182</v>
      </c>
      <c r="O3" s="20">
        <v>29230990</v>
      </c>
      <c r="P3" s="96">
        <f>N3/O3</f>
        <v>15.4944865705883</v>
      </c>
      <c r="Q3" s="20">
        <v>550826282</v>
      </c>
      <c r="R3" s="20">
        <v>25154507</v>
      </c>
      <c r="S3" s="96">
        <f>Q3/R3</f>
        <v>21.8977172559971</v>
      </c>
      <c r="T3" s="20">
        <v>403206146</v>
      </c>
      <c r="U3" s="20">
        <v>26226382</v>
      </c>
      <c r="V3" s="96">
        <f>T3/U3</f>
        <v>15.3740666936065</v>
      </c>
      <c r="W3" s="20">
        <v>364974069</v>
      </c>
      <c r="X3" s="20">
        <v>30293346</v>
      </c>
      <c r="Y3" s="38">
        <f>W3/X3</f>
        <v>12.04799459921</v>
      </c>
      <c r="Z3" s="20">
        <v>316459284</v>
      </c>
      <c r="AA3" s="20">
        <v>18908782</v>
      </c>
      <c r="AB3" s="96">
        <f>Z3/AA3</f>
        <v>16.7361009291873</v>
      </c>
      <c r="AC3" s="20">
        <v>532335531</v>
      </c>
      <c r="AD3" s="20">
        <v>25001574</v>
      </c>
      <c r="AE3" s="96">
        <f>AC3/AD3</f>
        <v>21.2920806905997</v>
      </c>
      <c r="AF3" s="20">
        <v>211958944</v>
      </c>
      <c r="AG3" s="20">
        <v>14414880</v>
      </c>
      <c r="AH3" s="96">
        <f>AF3/AG3</f>
        <v>14.7041767950895</v>
      </c>
      <c r="AI3" s="20">
        <v>350388699</v>
      </c>
      <c r="AJ3" s="20">
        <v>21500000</v>
      </c>
      <c r="AK3" s="96">
        <f>AI3/AJ3</f>
        <v>16.2971487906977</v>
      </c>
      <c r="AL3" s="20">
        <v>216432841</v>
      </c>
      <c r="AM3" s="20">
        <v>23100000</v>
      </c>
      <c r="AN3" s="38">
        <f>AL3/AM3</f>
        <v>9.36938705627706</v>
      </c>
      <c r="AO3" s="20">
        <v>1657100</v>
      </c>
      <c r="AP3" s="20">
        <v>7500000</v>
      </c>
      <c r="AQ3" s="49">
        <f>AO3/AP3</f>
        <v>0.220946666666667</v>
      </c>
    </row>
    <row r="4" ht="8" customHeight="1" spans="1:43">
      <c r="B4" s="2"/>
      <c r="C4" s="2" t="s">
        <v>163</v>
      </c>
      <c r="E4" s="20"/>
      <c r="F4" s="20"/>
      <c r="G4" s="96"/>
      <c r="H4" s="20"/>
      <c r="I4" s="20"/>
      <c r="J4" s="96"/>
      <c r="K4" s="20"/>
      <c r="L4" s="20"/>
      <c r="M4" s="38"/>
      <c r="N4" s="20"/>
      <c r="O4" s="20"/>
      <c r="P4" s="96"/>
      <c r="Q4" s="20"/>
      <c r="R4" s="20"/>
      <c r="S4" s="96"/>
      <c r="T4" s="20"/>
      <c r="U4" s="20"/>
      <c r="V4" s="96"/>
      <c r="W4" s="20"/>
      <c r="X4" s="20"/>
      <c r="Y4" s="38"/>
      <c r="Z4" s="20"/>
      <c r="AA4" s="20"/>
      <c r="AB4" s="96"/>
      <c r="AC4" s="20"/>
      <c r="AD4" s="20"/>
      <c r="AE4" s="96"/>
      <c r="AF4" s="20"/>
      <c r="AG4" s="20"/>
      <c r="AH4" s="96"/>
      <c r="AI4" s="20"/>
      <c r="AJ4" s="20"/>
      <c r="AK4" s="96"/>
      <c r="AL4" s="20"/>
      <c r="AM4" s="20"/>
      <c r="AN4" s="38"/>
      <c r="AO4" s="20"/>
      <c r="AP4" s="20"/>
      <c r="AQ4" s="49"/>
    </row>
    <row r="5" hidden="1" spans="1:43">
      <c r="A5"/>
      <c r="D5"/>
      <c r="E5" s="51"/>
      <c r="F5" s="6"/>
      <c r="G5" s="40"/>
      <c r="H5" s="51"/>
      <c r="I5" s="6"/>
      <c r="J5" s="40"/>
      <c r="K5" s="51"/>
      <c r="L5" s="6"/>
      <c r="M5" s="40"/>
      <c r="N5" s="51"/>
      <c r="O5" s="6"/>
      <c r="P5" s="40"/>
      <c r="Q5" s="51"/>
      <c r="R5" s="6"/>
      <c r="S5" s="40"/>
      <c r="T5" s="51"/>
      <c r="U5" s="6"/>
      <c r="V5" s="40"/>
      <c r="W5" s="51"/>
      <c r="X5" s="6"/>
      <c r="Y5" s="40"/>
      <c r="Z5" s="51"/>
      <c r="AA5" s="6"/>
      <c r="AB5" s="40"/>
      <c r="AC5" s="51"/>
      <c r="AD5" s="6"/>
      <c r="AE5" s="40"/>
      <c r="AF5" s="51"/>
      <c r="AG5" s="6"/>
      <c r="AH5" s="40"/>
      <c r="AI5" s="51"/>
      <c r="AJ5" s="6"/>
      <c r="AK5" s="40"/>
      <c r="AL5" s="51"/>
      <c r="AM5" s="6"/>
      <c r="AN5" s="40"/>
      <c r="AO5" s="51"/>
      <c r="AP5" s="6"/>
      <c r="AQ5" s="40"/>
    </row>
    <row r="6" spans="1:43">
      <c r="A6" s="2">
        <v>2</v>
      </c>
      <c r="B6" s="41" t="s">
        <v>166</v>
      </c>
      <c r="C6" s="37" t="s">
        <v>167</v>
      </c>
      <c r="D6" s="2" t="s">
        <v>627</v>
      </c>
      <c r="E6" s="20">
        <v>15100</v>
      </c>
      <c r="F6" s="42">
        <f>G3</f>
        <v>160.382627072559</v>
      </c>
      <c r="G6" s="38">
        <f>E6/F6</f>
        <v>94.1498482449012</v>
      </c>
      <c r="H6" s="20">
        <v>840</v>
      </c>
      <c r="I6" s="42">
        <f>J3</f>
        <v>25.4112961611693</v>
      </c>
      <c r="J6" s="96">
        <f>H6/I6</f>
        <v>33.0561650485029</v>
      </c>
      <c r="K6" s="20">
        <v>779.28</v>
      </c>
      <c r="L6" s="42">
        <f>M3</f>
        <v>6.28333295130048</v>
      </c>
      <c r="M6" s="38">
        <f>K6/L6</f>
        <v>124.023349715808</v>
      </c>
      <c r="N6" s="20">
        <v>773.53</v>
      </c>
      <c r="O6" s="42">
        <f>P3</f>
        <v>15.4944865705883</v>
      </c>
      <c r="P6" s="38">
        <f>N6/O6</f>
        <v>49.9229191284285</v>
      </c>
      <c r="Q6" s="20">
        <v>710.36</v>
      </c>
      <c r="R6" s="42">
        <f>S3</f>
        <v>21.8977172559971</v>
      </c>
      <c r="S6" s="96">
        <f>Q6/R6</f>
        <v>32.4399110507948</v>
      </c>
      <c r="T6" s="20">
        <v>726</v>
      </c>
      <c r="U6" s="42">
        <f>V3</f>
        <v>15.3740666936065</v>
      </c>
      <c r="V6" s="38">
        <f>T6/U6</f>
        <v>47.2223787283242</v>
      </c>
      <c r="W6" s="20">
        <v>556.99</v>
      </c>
      <c r="X6" s="42">
        <f>Y3</f>
        <v>12.04799459921</v>
      </c>
      <c r="Y6" s="38">
        <f>W6/X6</f>
        <v>46.2309304186211</v>
      </c>
      <c r="Z6" s="20">
        <v>645.18</v>
      </c>
      <c r="AA6" s="42">
        <f>AB3</f>
        <v>16.7361009291873</v>
      </c>
      <c r="AB6" s="96">
        <f>Z6/AA6</f>
        <v>38.5501977270479</v>
      </c>
      <c r="AC6" s="20">
        <v>616.36</v>
      </c>
      <c r="AD6" s="42">
        <f>AE3</f>
        <v>21.2920806905997</v>
      </c>
      <c r="AE6" s="96">
        <f>AC6/AD6</f>
        <v>28.9478519716543</v>
      </c>
      <c r="AF6" s="20">
        <v>910</v>
      </c>
      <c r="AG6" s="42">
        <f>AH3</f>
        <v>14.7041767950895</v>
      </c>
      <c r="AH6" s="38">
        <f>AF6/AG6</f>
        <v>61.8871775469876</v>
      </c>
      <c r="AI6" s="20">
        <v>609.99</v>
      </c>
      <c r="AJ6" s="42">
        <f>AK3</f>
        <v>16.2971487906977</v>
      </c>
      <c r="AK6" s="38">
        <f>AI6/AJ6</f>
        <v>37.4292465408538</v>
      </c>
      <c r="AL6" s="20">
        <v>571.56</v>
      </c>
      <c r="AM6" s="42">
        <f>AN3</f>
        <v>9.36938705627706</v>
      </c>
      <c r="AN6" s="38">
        <f>AL6/AM6</f>
        <v>61.002923304047</v>
      </c>
      <c r="AO6" s="20">
        <v>1559</v>
      </c>
      <c r="AP6" s="42">
        <f>AQ3</f>
        <v>0.220946666666667</v>
      </c>
      <c r="AQ6" s="39">
        <f>AO6/AP6</f>
        <v>7056.00144831332</v>
      </c>
    </row>
    <row r="7" ht="10.5" customHeight="1" spans="1:43">
      <c r="B7" s="41"/>
      <c r="C7" s="2" t="s">
        <v>169</v>
      </c>
      <c r="E7" s="20"/>
      <c r="F7" s="42"/>
      <c r="G7" s="38"/>
      <c r="H7" s="20"/>
      <c r="I7" s="42"/>
      <c r="J7" s="96"/>
      <c r="K7" s="20"/>
      <c r="L7" s="42"/>
      <c r="M7" s="38"/>
      <c r="N7" s="20"/>
      <c r="O7" s="42"/>
      <c r="P7" s="38"/>
      <c r="Q7" s="20"/>
      <c r="R7" s="42"/>
      <c r="S7" s="96"/>
      <c r="T7" s="20"/>
      <c r="U7" s="42"/>
      <c r="V7" s="38"/>
      <c r="W7" s="20"/>
      <c r="X7" s="42"/>
      <c r="Y7" s="38"/>
      <c r="Z7" s="20"/>
      <c r="AA7" s="42"/>
      <c r="AB7" s="96"/>
      <c r="AC7" s="20"/>
      <c r="AD7" s="42"/>
      <c r="AE7" s="96"/>
      <c r="AF7" s="20"/>
      <c r="AG7" s="42"/>
      <c r="AH7" s="38"/>
      <c r="AI7" s="20"/>
      <c r="AJ7" s="42"/>
      <c r="AK7" s="38"/>
      <c r="AL7" s="20"/>
      <c r="AM7" s="42"/>
      <c r="AN7" s="38"/>
      <c r="AO7" s="20"/>
      <c r="AP7" s="42"/>
      <c r="AQ7" s="39"/>
    </row>
    <row r="8" hidden="1" spans="1:43">
      <c r="B8" s="2"/>
      <c r="C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  <c r="AF8" s="20"/>
      <c r="AG8" s="42"/>
      <c r="AH8" s="38"/>
      <c r="AI8" s="20"/>
      <c r="AJ8" s="42"/>
      <c r="AK8" s="38"/>
      <c r="AL8" s="20"/>
      <c r="AM8" s="42"/>
      <c r="AN8" s="38"/>
      <c r="AO8" s="20"/>
      <c r="AP8" s="42"/>
      <c r="AQ8" s="38"/>
    </row>
    <row r="9" spans="1:43">
      <c r="A9" s="2">
        <v>3</v>
      </c>
      <c r="B9" s="2" t="s">
        <v>437</v>
      </c>
      <c r="C9" s="97" t="s">
        <v>438</v>
      </c>
      <c r="D9" s="2" t="s">
        <v>302</v>
      </c>
      <c r="E9" s="20">
        <f>E3</f>
        <v>427642633</v>
      </c>
      <c r="F9" s="20">
        <v>1045556415</v>
      </c>
      <c r="G9" s="96">
        <f>(E9/F9)*100</f>
        <v>40.9009620968181</v>
      </c>
      <c r="H9" s="20">
        <f>H3</f>
        <v>713180707</v>
      </c>
      <c r="I9" s="20">
        <v>3099359179</v>
      </c>
      <c r="J9" s="96">
        <f>(H9/I9)*100</f>
        <v>23.0105859247364</v>
      </c>
      <c r="K9" s="20">
        <f>K3</f>
        <v>161181590</v>
      </c>
      <c r="L9" s="20">
        <v>1527349247</v>
      </c>
      <c r="M9" s="38">
        <f>(K9/L9)*100</f>
        <v>10.5530277581628</v>
      </c>
      <c r="N9" s="20">
        <f>N3</f>
        <v>452919182</v>
      </c>
      <c r="O9" s="20">
        <v>2730245598</v>
      </c>
      <c r="P9" s="96">
        <f>(N9/O9)*100</f>
        <v>16.5889538410676</v>
      </c>
      <c r="Q9" s="20">
        <f>Q3</f>
        <v>550826282</v>
      </c>
      <c r="R9" s="20">
        <v>2478593156</v>
      </c>
      <c r="S9" s="96">
        <f>(Q9/R9)*100</f>
        <v>22.2233439427765</v>
      </c>
      <c r="T9" s="20">
        <f>T3</f>
        <v>403206146</v>
      </c>
      <c r="U9" s="20">
        <v>3118859435</v>
      </c>
      <c r="V9" s="38">
        <f>(T9/U9)*100</f>
        <v>12.9279999436717</v>
      </c>
      <c r="W9" s="20">
        <f>W3</f>
        <v>364974069</v>
      </c>
      <c r="X9" s="20">
        <v>2171917840</v>
      </c>
      <c r="Y9" s="96">
        <f>(W9/X9)*100</f>
        <v>16.8042299887366</v>
      </c>
      <c r="Z9" s="20">
        <f>Z3</f>
        <v>316459284</v>
      </c>
      <c r="AA9" s="20">
        <v>1467745266</v>
      </c>
      <c r="AB9" s="96">
        <f>(Z9/AA9)*100</f>
        <v>21.560913281801</v>
      </c>
      <c r="AC9" s="20">
        <f>AC3</f>
        <v>532335531</v>
      </c>
      <c r="AD9" s="20">
        <v>2687503246</v>
      </c>
      <c r="AE9" s="96">
        <f>(AC9/AD9)*100</f>
        <v>19.8078097874789</v>
      </c>
      <c r="AF9" s="20">
        <f>AF3</f>
        <v>211958944</v>
      </c>
      <c r="AG9" s="20">
        <v>962100959</v>
      </c>
      <c r="AH9" s="96">
        <f>(AF9/AG9)*100</f>
        <v>22.0308421914794</v>
      </c>
      <c r="AI9" s="20">
        <f>AI3</f>
        <v>350388699</v>
      </c>
      <c r="AJ9" s="20">
        <v>1476873281</v>
      </c>
      <c r="AK9" s="96">
        <f>(AI9/AJ9)*100</f>
        <v>23.7250347411492</v>
      </c>
      <c r="AL9" s="20">
        <f>AL3</f>
        <v>216432841</v>
      </c>
      <c r="AM9" s="20">
        <v>1744856225</v>
      </c>
      <c r="AN9" s="38">
        <f>(AL9/AM9)*100</f>
        <v>12.4040501388589</v>
      </c>
      <c r="AO9" s="20">
        <f>AO3</f>
        <v>1657100</v>
      </c>
      <c r="AP9" s="20">
        <v>145584820</v>
      </c>
      <c r="AQ9" s="39">
        <f>(AO9/AP9)*100</f>
        <v>1.13823680243586</v>
      </c>
    </row>
    <row r="10" ht="9" customHeight="1" spans="1:43">
      <c r="B10" s="2"/>
      <c r="C10" s="6" t="s">
        <v>303</v>
      </c>
      <c r="E10" s="20"/>
      <c r="F10" s="20"/>
      <c r="G10" s="96"/>
      <c r="H10" s="20"/>
      <c r="I10" s="20"/>
      <c r="J10" s="96"/>
      <c r="K10" s="20"/>
      <c r="L10" s="20"/>
      <c r="M10" s="38"/>
      <c r="N10" s="20"/>
      <c r="O10" s="20"/>
      <c r="P10" s="96"/>
      <c r="Q10" s="20"/>
      <c r="R10" s="20"/>
      <c r="S10" s="96"/>
      <c r="T10" s="20"/>
      <c r="U10" s="20"/>
      <c r="V10" s="38"/>
      <c r="W10" s="20"/>
      <c r="X10" s="20"/>
      <c r="Y10" s="96"/>
      <c r="Z10" s="20"/>
      <c r="AA10" s="20"/>
      <c r="AB10" s="96"/>
      <c r="AC10" s="20"/>
      <c r="AD10" s="20"/>
      <c r="AE10" s="96"/>
      <c r="AF10" s="20"/>
      <c r="AG10" s="20"/>
      <c r="AH10" s="96"/>
      <c r="AI10" s="20"/>
      <c r="AJ10" s="20"/>
      <c r="AK10" s="96"/>
      <c r="AL10" s="20"/>
      <c r="AM10" s="20"/>
      <c r="AN10" s="38"/>
      <c r="AO10" s="20"/>
      <c r="AP10" s="20"/>
      <c r="AQ10" s="39"/>
    </row>
    <row r="11" hidden="1" spans="1:43">
      <c r="D11"/>
      <c r="E11" s="45"/>
      <c r="F11"/>
      <c r="G11" s="48"/>
      <c r="H11" s="45"/>
      <c r="I11"/>
      <c r="J11" s="48"/>
      <c r="K11" s="45"/>
      <c r="L11"/>
      <c r="M11" s="48"/>
      <c r="N11" s="45"/>
      <c r="O11"/>
      <c r="P11" s="48"/>
      <c r="Q11" s="45"/>
      <c r="R11"/>
      <c r="S11" s="48"/>
      <c r="T11" s="45"/>
      <c r="U11"/>
      <c r="V11" s="48"/>
      <c r="W11" s="45"/>
      <c r="X11"/>
      <c r="Y11" s="48"/>
      <c r="Z11" s="45"/>
      <c r="AA11"/>
      <c r="AB11" s="48"/>
      <c r="AC11" s="45"/>
      <c r="AD11"/>
      <c r="AE11" s="48"/>
      <c r="AF11" s="45"/>
      <c r="AG11"/>
      <c r="AH11" s="48"/>
      <c r="AI11" s="45"/>
      <c r="AJ11"/>
      <c r="AK11" s="48"/>
      <c r="AL11" s="45"/>
      <c r="AM11"/>
      <c r="AN11" s="48"/>
      <c r="AO11" s="98" t="s">
        <v>432</v>
      </c>
      <c r="AP11"/>
      <c r="AQ11" s="48"/>
    </row>
    <row r="12" hidden="1" spans="1:43">
      <c r="A12" s="2">
        <v>4</v>
      </c>
      <c r="B12" s="2" t="s">
        <v>173</v>
      </c>
      <c r="C12" s="41" t="s">
        <v>174</v>
      </c>
      <c r="D12" s="41" t="s">
        <v>234</v>
      </c>
      <c r="E12" s="20">
        <v>17302429951</v>
      </c>
      <c r="F12" s="20">
        <v>16150915895</v>
      </c>
      <c r="G12" s="44">
        <f>(E12-F12)/F12</f>
        <v>0.0712971365516482</v>
      </c>
      <c r="H12" s="20">
        <v>7705699260</v>
      </c>
      <c r="I12" s="20">
        <v>7763842211</v>
      </c>
      <c r="J12" s="44">
        <f>(H12-I12)/I12</f>
        <v>-0.00748894032359669</v>
      </c>
      <c r="K12" s="20">
        <v>4541930588</v>
      </c>
      <c r="L12" s="20">
        <v>3160382891</v>
      </c>
      <c r="M12" s="44">
        <f>(K12-L12)/L12</f>
        <v>0.437145670207971</v>
      </c>
      <c r="N12" s="20">
        <v>5816093512</v>
      </c>
      <c r="O12" s="20">
        <v>5360414366</v>
      </c>
      <c r="P12" s="44">
        <f>(N12-O12)/O12</f>
        <v>0.085008194308686</v>
      </c>
      <c r="Q12" s="20">
        <v>6176718740</v>
      </c>
      <c r="R12" s="20">
        <v>5148469573</v>
      </c>
      <c r="S12" s="44">
        <f>(Q12-R12)/R12</f>
        <v>0.199719383094429</v>
      </c>
      <c r="T12" s="20">
        <v>6271235140</v>
      </c>
      <c r="U12" s="20">
        <v>6208262781</v>
      </c>
      <c r="V12" s="44">
        <f>(T12-U12)/U12</f>
        <v>0.0101433140350829</v>
      </c>
      <c r="W12" s="20">
        <v>5738789411</v>
      </c>
      <c r="X12" s="20">
        <v>5629804377</v>
      </c>
      <c r="Y12" s="44">
        <f>(W12-X12)/X12</f>
        <v>0.019358582768035</v>
      </c>
      <c r="Z12" s="20">
        <v>3760611307</v>
      </c>
      <c r="AA12" s="20">
        <v>3458197297</v>
      </c>
      <c r="AB12" s="44">
        <f>(Z12-AA12)/AA12</f>
        <v>0.0874484547953193</v>
      </c>
      <c r="AC12" s="20">
        <v>5258896879</v>
      </c>
      <c r="AD12" s="20">
        <v>4926311506</v>
      </c>
      <c r="AE12" s="44">
        <f>(AC12-AD12)/AD12</f>
        <v>0.0675120468112761</v>
      </c>
      <c r="AF12" s="20">
        <v>3390654803</v>
      </c>
      <c r="AG12" s="20">
        <v>3141339627</v>
      </c>
      <c r="AH12" s="44">
        <f>(AF12-AG12)/AG12</f>
        <v>0.0793658774928764</v>
      </c>
      <c r="AI12" s="20">
        <v>3270586614</v>
      </c>
      <c r="AJ12" s="20">
        <v>2969071902</v>
      </c>
      <c r="AK12" s="44">
        <f>(AI12-AJ12)/AJ12</f>
        <v>0.101551839077018</v>
      </c>
      <c r="AL12" s="20">
        <v>4083058644</v>
      </c>
      <c r="AM12" s="20">
        <v>3854702643</v>
      </c>
      <c r="AN12" s="44">
        <f>(AL12-AM12)/AM12</f>
        <v>0.0592408863014858</v>
      </c>
      <c r="AO12" s="20">
        <v>4083058644</v>
      </c>
      <c r="AP12" s="20">
        <v>3854702643</v>
      </c>
      <c r="AQ12" s="44">
        <f>(AO12-AP12)/AP12</f>
        <v>0.0592408863014858</v>
      </c>
    </row>
    <row r="13" ht="7" hidden="1" customHeight="1" spans="1:43">
      <c r="B13" s="2"/>
      <c r="C13" s="41"/>
      <c r="D13" s="41"/>
      <c r="E13" s="20"/>
      <c r="F13" s="20"/>
      <c r="G13" s="44"/>
      <c r="H13" s="20"/>
      <c r="I13" s="20"/>
      <c r="J13" s="44"/>
      <c r="K13" s="20"/>
      <c r="L13" s="20"/>
      <c r="M13" s="44"/>
      <c r="N13" s="20"/>
      <c r="O13" s="20"/>
      <c r="P13" s="44"/>
      <c r="Q13" s="20"/>
      <c r="R13" s="20"/>
      <c r="S13" s="44"/>
      <c r="T13" s="20"/>
      <c r="U13" s="20"/>
      <c r="V13" s="44"/>
      <c r="W13" s="20"/>
      <c r="X13" s="20"/>
      <c r="Y13" s="44"/>
      <c r="Z13" s="20"/>
      <c r="AA13" s="20"/>
      <c r="AB13" s="44"/>
      <c r="AC13" s="20"/>
      <c r="AD13" s="20"/>
      <c r="AE13" s="44"/>
      <c r="AF13" s="20"/>
      <c r="AG13" s="20"/>
      <c r="AH13" s="44"/>
      <c r="AI13" s="20"/>
      <c r="AJ13" s="20"/>
      <c r="AK13" s="44"/>
      <c r="AL13" s="20"/>
      <c r="AM13" s="20"/>
      <c r="AN13" s="44"/>
      <c r="AO13" s="20"/>
      <c r="AP13" s="20"/>
      <c r="AQ13" s="44"/>
    </row>
    <row r="14" spans="1:43">
      <c r="A14" s="2">
        <v>5</v>
      </c>
      <c r="B14" s="2" t="s">
        <v>94</v>
      </c>
      <c r="C14" s="37" t="s">
        <v>161</v>
      </c>
      <c r="D14" s="2" t="s">
        <v>235</v>
      </c>
      <c r="E14" s="20">
        <f>E3</f>
        <v>427642633</v>
      </c>
      <c r="F14" s="20">
        <f>E12</f>
        <v>17302429951</v>
      </c>
      <c r="G14" s="38">
        <f>(E14/F14)*100</f>
        <v>2.47157557759848</v>
      </c>
      <c r="H14" s="20">
        <f>H3</f>
        <v>713180707</v>
      </c>
      <c r="I14" s="20">
        <f>H12</f>
        <v>7705699260</v>
      </c>
      <c r="J14" s="96">
        <f>(H14/I14)*100</f>
        <v>9.25523671423429</v>
      </c>
      <c r="K14" s="20">
        <f>K3</f>
        <v>161181590</v>
      </c>
      <c r="L14" s="20">
        <f>K12</f>
        <v>4541930588</v>
      </c>
      <c r="M14" s="38">
        <f>(K14/L14)*100</f>
        <v>3.54874621875221</v>
      </c>
      <c r="N14" s="20">
        <f>N3</f>
        <v>452919182</v>
      </c>
      <c r="O14" s="20">
        <f>N12</f>
        <v>5816093512</v>
      </c>
      <c r="P14" s="96">
        <f>(N14/O14)*100</f>
        <v>7.78734353334448</v>
      </c>
      <c r="Q14" s="20">
        <f>Q3</f>
        <v>550826282</v>
      </c>
      <c r="R14" s="20">
        <f>Q12</f>
        <v>6176718740</v>
      </c>
      <c r="S14" s="96">
        <f>(Q14/R14)*100</f>
        <v>8.91778151452627</v>
      </c>
      <c r="T14" s="20">
        <f>T3</f>
        <v>403206146</v>
      </c>
      <c r="U14" s="20">
        <f>T12</f>
        <v>6271235140</v>
      </c>
      <c r="V14" s="96">
        <f>(T14/U14)*100</f>
        <v>6.42945348083376</v>
      </c>
      <c r="W14" s="20">
        <f>W3</f>
        <v>364974069</v>
      </c>
      <c r="X14" s="20">
        <f>W12</f>
        <v>5738789411</v>
      </c>
      <c r="Y14" s="96">
        <f>(W14/X14)*100</f>
        <v>6.35977455977779</v>
      </c>
      <c r="Z14" s="20">
        <f>Z3</f>
        <v>316459284</v>
      </c>
      <c r="AA14" s="20">
        <f>Z12</f>
        <v>3760611307</v>
      </c>
      <c r="AB14" s="96">
        <f>(Z14/AA14)*100</f>
        <v>8.41510217796088</v>
      </c>
      <c r="AC14" s="20">
        <f>AC3</f>
        <v>532335531</v>
      </c>
      <c r="AD14" s="20">
        <f>AC12</f>
        <v>5258896879</v>
      </c>
      <c r="AE14" s="96">
        <f>(AC14/AD14)*100</f>
        <v>10.1225702509159</v>
      </c>
      <c r="AF14" s="20">
        <f>AF3</f>
        <v>211958944</v>
      </c>
      <c r="AG14" s="20">
        <f>AF12</f>
        <v>3390654803</v>
      </c>
      <c r="AH14" s="96">
        <f>(AF14/AG14)*100</f>
        <v>6.25126874645163</v>
      </c>
      <c r="AI14" s="20">
        <f>AI3</f>
        <v>350388699</v>
      </c>
      <c r="AJ14" s="20">
        <f>AI12</f>
        <v>3270586614</v>
      </c>
      <c r="AK14" s="96">
        <f>(AI14/AJ14)*100</f>
        <v>10.7133288413807</v>
      </c>
      <c r="AL14" s="20">
        <f>AL3</f>
        <v>216432841</v>
      </c>
      <c r="AM14" s="20">
        <f>AL12</f>
        <v>4083058644</v>
      </c>
      <c r="AN14" s="96">
        <f>(AL14/AM14)*100</f>
        <v>5.30075269229956</v>
      </c>
      <c r="AO14" s="20">
        <f>AO3</f>
        <v>1657100</v>
      </c>
      <c r="AP14" s="20">
        <f>AO12</f>
        <v>4083058644</v>
      </c>
      <c r="AQ14" s="38">
        <f>(AO14/AP14)*100</f>
        <v>0.0405847709886579</v>
      </c>
    </row>
    <row r="15" ht="9" customHeight="1" spans="1:43">
      <c r="B15" s="2"/>
      <c r="C15" s="2" t="s">
        <v>176</v>
      </c>
      <c r="E15" s="20"/>
      <c r="G15" s="38"/>
      <c r="H15" s="20"/>
      <c r="J15" s="96"/>
      <c r="K15" s="20"/>
      <c r="M15" s="38"/>
      <c r="N15" s="20"/>
      <c r="P15" s="96"/>
      <c r="Q15" s="20"/>
      <c r="S15" s="96"/>
      <c r="T15" s="20"/>
      <c r="V15" s="96"/>
      <c r="W15" s="20"/>
      <c r="Y15" s="96"/>
      <c r="Z15" s="20"/>
      <c r="AB15" s="96"/>
      <c r="AC15" s="20"/>
      <c r="AE15" s="96"/>
      <c r="AF15" s="20"/>
      <c r="AH15" s="96"/>
      <c r="AI15" s="20"/>
      <c r="AK15" s="96"/>
      <c r="AL15" s="20"/>
      <c r="AM15" s="20"/>
      <c r="AN15" s="96"/>
      <c r="AO15" s="20"/>
      <c r="AP15" s="20"/>
      <c r="AQ15" s="38"/>
    </row>
    <row r="16" hidden="1" spans="1:43">
      <c r="E16" s="20"/>
      <c r="F16" s="20"/>
      <c r="G16" s="80"/>
      <c r="H16" s="20"/>
      <c r="I16" s="20"/>
      <c r="J16" s="80"/>
      <c r="K16" s="20"/>
      <c r="L16" s="20"/>
      <c r="M16" s="80"/>
      <c r="N16" s="20"/>
      <c r="O16" s="20"/>
      <c r="P16" s="80"/>
      <c r="Q16" s="20"/>
      <c r="R16" s="20"/>
      <c r="S16" s="80"/>
      <c r="T16" s="20"/>
      <c r="U16" s="20"/>
      <c r="V16" s="80"/>
      <c r="W16" s="20"/>
      <c r="X16" s="20"/>
      <c r="Y16" s="80"/>
      <c r="Z16" s="20"/>
      <c r="AA16" s="20"/>
      <c r="AB16" s="80"/>
      <c r="AC16" s="20"/>
      <c r="AD16" s="20"/>
      <c r="AE16" s="80"/>
      <c r="AF16" s="20"/>
      <c r="AG16" s="20"/>
      <c r="AH16" s="80"/>
      <c r="AI16" s="20"/>
      <c r="AJ16" s="20"/>
      <c r="AK16" s="80"/>
      <c r="AL16" s="20"/>
      <c r="AM16" s="20"/>
      <c r="AN16" s="80"/>
      <c r="AO16" s="20"/>
      <c r="AP16" s="20"/>
      <c r="AQ16" s="80"/>
    </row>
    <row r="17" spans="1:43">
      <c r="A17" s="2">
        <v>6</v>
      </c>
      <c r="B17" s="2" t="s">
        <v>180</v>
      </c>
      <c r="C17" s="37" t="s">
        <v>176</v>
      </c>
      <c r="D17" s="2" t="s">
        <v>721</v>
      </c>
      <c r="E17" s="20">
        <f>E12</f>
        <v>17302429951</v>
      </c>
      <c r="F17" s="20">
        <f>F3</f>
        <v>2666390</v>
      </c>
      <c r="G17" s="96">
        <f>E17/F17</f>
        <v>6489.08447413919</v>
      </c>
      <c r="H17" s="20">
        <f>H12</f>
        <v>7705699260</v>
      </c>
      <c r="I17" s="20">
        <f>I3</f>
        <v>28065499</v>
      </c>
      <c r="J17" s="96">
        <f>H17/I17</f>
        <v>274.561277531534</v>
      </c>
      <c r="K17" s="20">
        <f>K12</f>
        <v>4541930588</v>
      </c>
      <c r="L17" s="20">
        <f>L3</f>
        <v>25652244</v>
      </c>
      <c r="M17" s="38">
        <f>K17/L17</f>
        <v>177.057827299631</v>
      </c>
      <c r="N17" s="20">
        <f>N12</f>
        <v>5816093512</v>
      </c>
      <c r="O17" s="20">
        <f>O3</f>
        <v>29230990</v>
      </c>
      <c r="P17" s="96">
        <f>N17/O17</f>
        <v>198.970117399376</v>
      </c>
      <c r="Q17" s="20">
        <f>Q12</f>
        <v>6176718740</v>
      </c>
      <c r="R17" s="20">
        <f>R3</f>
        <v>25154507</v>
      </c>
      <c r="S17" s="96">
        <f>Q17/R17</f>
        <v>245.551174586725</v>
      </c>
      <c r="T17" s="20">
        <f>T12</f>
        <v>6271235140</v>
      </c>
      <c r="U17" s="20">
        <f>U3</f>
        <v>26226382</v>
      </c>
      <c r="V17" s="96">
        <f>T17/U17</f>
        <v>239.119339449872</v>
      </c>
      <c r="W17" s="20">
        <f>W12</f>
        <v>5738789411</v>
      </c>
      <c r="X17" s="20">
        <f>X3</f>
        <v>30293346</v>
      </c>
      <c r="Y17" s="38">
        <f>W17/X17</f>
        <v>189.44059236639</v>
      </c>
      <c r="Z17" s="20">
        <f>Z12</f>
        <v>3760611307</v>
      </c>
      <c r="AA17" s="20">
        <f>AA3</f>
        <v>18908782</v>
      </c>
      <c r="AB17" s="96">
        <f>Z17/AA17</f>
        <v>198.881731620789</v>
      </c>
      <c r="AC17" s="20">
        <f>AC12</f>
        <v>5258896879</v>
      </c>
      <c r="AD17" s="20">
        <f>AD3</f>
        <v>25001574</v>
      </c>
      <c r="AE17" s="96">
        <f>AC17/AD17</f>
        <v>210.34263198789</v>
      </c>
      <c r="AF17" s="20">
        <f>AF12</f>
        <v>3390654803</v>
      </c>
      <c r="AG17" s="20">
        <f>AG3</f>
        <v>14414880</v>
      </c>
      <c r="AH17" s="96">
        <f>AF17/AG17</f>
        <v>235.219079381861</v>
      </c>
      <c r="AI17" s="20">
        <f>AI12</f>
        <v>3270586614</v>
      </c>
      <c r="AJ17" s="20">
        <f>AJ3</f>
        <v>21500000</v>
      </c>
      <c r="AK17" s="38">
        <f>AI17/AJ17</f>
        <v>152.120307627907</v>
      </c>
      <c r="AL17" s="20">
        <f>AL12</f>
        <v>4083058644</v>
      </c>
      <c r="AM17" s="20">
        <f>AM3</f>
        <v>23100000</v>
      </c>
      <c r="AN17" s="38">
        <f>AL17/AM17</f>
        <v>176.755785454545</v>
      </c>
      <c r="AO17" s="20">
        <f>AO12</f>
        <v>4083058644</v>
      </c>
      <c r="AP17" s="20">
        <f>AP3</f>
        <v>7500000</v>
      </c>
      <c r="AQ17" s="96">
        <f>AO17/AP17</f>
        <v>544.4078192</v>
      </c>
    </row>
    <row r="18" ht="7.5" customHeight="1" spans="1:43">
      <c r="B18" s="2"/>
      <c r="C18" s="6" t="s">
        <v>163</v>
      </c>
      <c r="E18" s="20"/>
      <c r="F18" s="20"/>
      <c r="G18" s="96"/>
      <c r="H18" s="20"/>
      <c r="I18" s="20"/>
      <c r="J18" s="96"/>
      <c r="K18" s="20"/>
      <c r="L18" s="20"/>
      <c r="M18" s="38"/>
      <c r="N18" s="20"/>
      <c r="O18" s="20"/>
      <c r="P18" s="96"/>
      <c r="Q18" s="20"/>
      <c r="R18" s="20"/>
      <c r="S18" s="96"/>
      <c r="T18" s="20"/>
      <c r="U18" s="20"/>
      <c r="V18" s="96"/>
      <c r="W18" s="20"/>
      <c r="X18" s="20"/>
      <c r="Y18" s="38"/>
      <c r="Z18" s="20"/>
      <c r="AA18" s="20"/>
      <c r="AB18" s="96"/>
      <c r="AC18" s="20"/>
      <c r="AD18" s="20"/>
      <c r="AE18" s="96"/>
      <c r="AF18" s="20"/>
      <c r="AG18" s="20"/>
      <c r="AH18" s="96"/>
      <c r="AI18" s="20"/>
      <c r="AJ18" s="20"/>
      <c r="AK18" s="38"/>
      <c r="AL18" s="20"/>
      <c r="AM18" s="20"/>
      <c r="AN18" s="38"/>
      <c r="AO18" s="20"/>
      <c r="AP18" s="20"/>
      <c r="AQ18" s="96"/>
    </row>
    <row r="19" hidden="1" spans="1:43">
      <c r="B19" s="2"/>
      <c r="C19" s="6"/>
      <c r="E19" s="20"/>
      <c r="F19" s="20"/>
      <c r="G19" s="38"/>
      <c r="H19" s="20"/>
      <c r="I19" s="20"/>
      <c r="J19" s="38"/>
      <c r="K19" s="20"/>
      <c r="L19" s="20"/>
      <c r="M19" s="38"/>
      <c r="N19" s="20"/>
      <c r="O19" s="20"/>
      <c r="P19" s="38"/>
      <c r="Q19" s="20"/>
      <c r="R19" s="20"/>
      <c r="S19" s="38"/>
      <c r="T19" s="20"/>
      <c r="U19" s="20"/>
      <c r="V19" s="38"/>
      <c r="W19" s="20"/>
      <c r="X19" s="20"/>
      <c r="Y19" s="38"/>
      <c r="Z19" s="20"/>
      <c r="AA19" s="20"/>
      <c r="AB19" s="38"/>
      <c r="AC19" s="20"/>
      <c r="AD19" s="20"/>
      <c r="AE19" s="38"/>
      <c r="AF19" s="20"/>
      <c r="AG19" s="20"/>
      <c r="AH19" s="38"/>
      <c r="AI19" s="20"/>
      <c r="AJ19" s="20"/>
      <c r="AK19" s="38"/>
      <c r="AL19" s="20"/>
      <c r="AM19" s="20"/>
      <c r="AN19" s="38"/>
      <c r="AO19" s="20"/>
      <c r="AP19" s="20"/>
      <c r="AQ19" s="38"/>
    </row>
    <row r="20" spans="1:43">
      <c r="A20" s="2">
        <v>7</v>
      </c>
      <c r="B20" s="2" t="s">
        <v>182</v>
      </c>
      <c r="C20" s="37" t="s">
        <v>183</v>
      </c>
      <c r="D20" s="50" t="s">
        <v>184</v>
      </c>
      <c r="E20" s="20">
        <f>E6</f>
        <v>15100</v>
      </c>
      <c r="F20" s="42">
        <f>G17</f>
        <v>6489.08447413919</v>
      </c>
      <c r="G20" s="96">
        <f>E20/F20</f>
        <v>2.32698465556701</v>
      </c>
      <c r="H20" s="20">
        <f>H6</f>
        <v>840</v>
      </c>
      <c r="I20" s="42">
        <f>J17</f>
        <v>274.561277531534</v>
      </c>
      <c r="J20" s="96">
        <f>H20/I20</f>
        <v>3.05942632388692</v>
      </c>
      <c r="K20" s="20">
        <f>K6</f>
        <v>779.28</v>
      </c>
      <c r="L20" s="42">
        <f>M17</f>
        <v>177.057827299631</v>
      </c>
      <c r="M20" s="38">
        <f>K20/L20</f>
        <v>4.40127393340957</v>
      </c>
      <c r="N20" s="20">
        <f>N6</f>
        <v>773.53</v>
      </c>
      <c r="O20" s="42">
        <f>P17</f>
        <v>198.970117399376</v>
      </c>
      <c r="P20" s="38">
        <f>N20/O20</f>
        <v>3.88766921440447</v>
      </c>
      <c r="Q20" s="20">
        <f>Q6</f>
        <v>710.36</v>
      </c>
      <c r="R20" s="42">
        <f>S17</f>
        <v>245.551174586725</v>
      </c>
      <c r="S20" s="96">
        <f>Q20/R20</f>
        <v>2.89292039101654</v>
      </c>
      <c r="T20" s="20">
        <f>T6</f>
        <v>726</v>
      </c>
      <c r="U20" s="42">
        <f>V17</f>
        <v>239.119339449872</v>
      </c>
      <c r="V20" s="96">
        <f>T20/U20</f>
        <v>3.03614087288074</v>
      </c>
      <c r="W20" s="20">
        <f>W6</f>
        <v>556.99</v>
      </c>
      <c r="X20" s="42">
        <f>Y17</f>
        <v>189.44059236639</v>
      </c>
      <c r="Y20" s="96">
        <f>W20/X20</f>
        <v>2.94018295151204</v>
      </c>
      <c r="Z20" s="20">
        <f>Z6</f>
        <v>645.18</v>
      </c>
      <c r="AA20" s="42">
        <f>AB17</f>
        <v>198.881731620789</v>
      </c>
      <c r="AB20" s="96">
        <f>Z20/AA20</f>
        <v>3.24403852853703</v>
      </c>
      <c r="AC20" s="20">
        <f>AC6</f>
        <v>616.36</v>
      </c>
      <c r="AD20" s="42">
        <f>AE17</f>
        <v>210.34263198789</v>
      </c>
      <c r="AE20" s="96">
        <f>AC20/AD20</f>
        <v>2.93026665196186</v>
      </c>
      <c r="AF20" s="20">
        <f>AF6</f>
        <v>910</v>
      </c>
      <c r="AG20" s="42">
        <f>AH17</f>
        <v>235.219079381861</v>
      </c>
      <c r="AH20" s="38">
        <f>AF20/AG20</f>
        <v>3.86873378805586</v>
      </c>
      <c r="AI20" s="20">
        <f>AI6</f>
        <v>609.99</v>
      </c>
      <c r="AJ20" s="42">
        <f>AK17</f>
        <v>152.120307627907</v>
      </c>
      <c r="AK20" s="38">
        <f>AI20/AJ20</f>
        <v>4.00991826477279</v>
      </c>
      <c r="AL20" s="20">
        <f>AL6</f>
        <v>571.56</v>
      </c>
      <c r="AM20" s="42">
        <f>AN17</f>
        <v>176.755785454545</v>
      </c>
      <c r="AN20" s="96">
        <f>AL20/AM20</f>
        <v>3.23361409942071</v>
      </c>
      <c r="AO20" s="20">
        <f>AO6</f>
        <v>1559</v>
      </c>
      <c r="AP20" s="42">
        <f>AQ17</f>
        <v>544.4078192</v>
      </c>
      <c r="AQ20" s="38">
        <f>AO20/AP20</f>
        <v>2.86366202875434</v>
      </c>
    </row>
    <row r="21" ht="8" customHeight="1" spans="1:43">
      <c r="B21" s="2"/>
      <c r="C21" s="2" t="s">
        <v>185</v>
      </c>
      <c r="E21" s="20"/>
      <c r="F21" s="42"/>
      <c r="G21" s="96"/>
      <c r="H21" s="20"/>
      <c r="I21" s="42"/>
      <c r="J21" s="96"/>
      <c r="K21" s="20"/>
      <c r="L21" s="42"/>
      <c r="M21" s="38"/>
      <c r="N21" s="20"/>
      <c r="O21" s="42"/>
      <c r="P21" s="38"/>
      <c r="Q21" s="20"/>
      <c r="R21" s="42"/>
      <c r="S21" s="96"/>
      <c r="T21" s="20"/>
      <c r="U21" s="42"/>
      <c r="V21" s="96"/>
      <c r="W21" s="20"/>
      <c r="X21" s="42"/>
      <c r="Y21" s="96"/>
      <c r="Z21" s="20"/>
      <c r="AA21" s="42"/>
      <c r="AB21" s="96"/>
      <c r="AC21" s="20"/>
      <c r="AD21" s="42"/>
      <c r="AE21" s="96"/>
      <c r="AF21" s="20"/>
      <c r="AG21" s="42"/>
      <c r="AH21" s="38"/>
      <c r="AI21" s="20"/>
      <c r="AJ21" s="42"/>
      <c r="AK21" s="38"/>
      <c r="AL21" s="20"/>
      <c r="AM21" s="42"/>
      <c r="AN21" s="96"/>
      <c r="AO21" s="20"/>
      <c r="AP21" s="42"/>
      <c r="AQ21" s="38"/>
    </row>
    <row r="22" hidden="1" spans="1:43">
      <c r="B22" s="2"/>
      <c r="C22" s="2"/>
      <c r="E22" s="20"/>
      <c r="G22" s="85"/>
      <c r="H22" s="20"/>
      <c r="J22" s="85"/>
      <c r="K22" s="20"/>
      <c r="M22" s="85"/>
      <c r="N22" s="20"/>
      <c r="P22" s="85"/>
      <c r="Q22" s="20"/>
      <c r="S22" s="85"/>
      <c r="T22" s="20"/>
      <c r="V22" s="85"/>
      <c r="W22" s="20"/>
      <c r="Y22" s="85"/>
      <c r="Z22" s="20"/>
      <c r="AB22" s="85"/>
      <c r="AC22" s="20"/>
      <c r="AE22" s="85"/>
      <c r="AF22" s="20"/>
      <c r="AH22" s="85"/>
      <c r="AI22" s="20"/>
      <c r="AK22" s="85"/>
      <c r="AL22" s="20"/>
      <c r="AN22" s="85"/>
      <c r="AO22" s="20"/>
      <c r="AQ22" s="85"/>
    </row>
    <row r="23" spans="1:43">
      <c r="A23" s="2">
        <v>8</v>
      </c>
      <c r="B23" s="2" t="s">
        <v>186</v>
      </c>
      <c r="C23" s="37" t="s">
        <v>187</v>
      </c>
      <c r="D23" s="41" t="s">
        <v>237</v>
      </c>
      <c r="E23" s="42">
        <v>0</v>
      </c>
      <c r="F23" s="20">
        <f>E6</f>
        <v>15100</v>
      </c>
      <c r="G23" s="38">
        <f>(E23/F23)*100</f>
        <v>0</v>
      </c>
      <c r="H23" s="42">
        <v>30</v>
      </c>
      <c r="I23" s="20">
        <f>H6</f>
        <v>840</v>
      </c>
      <c r="J23" s="96">
        <f>(H23/I23)*100</f>
        <v>3.57142857142857</v>
      </c>
      <c r="K23" s="42">
        <v>2.63</v>
      </c>
      <c r="L23" s="20">
        <f>K6</f>
        <v>779.28</v>
      </c>
      <c r="M23" s="38">
        <f>(K23/L23)*100</f>
        <v>0.337491017349348</v>
      </c>
      <c r="N23" s="42">
        <v>10.52</v>
      </c>
      <c r="O23" s="20">
        <f>N6</f>
        <v>773.53</v>
      </c>
      <c r="P23" s="96">
        <f>(N23/O23)*100</f>
        <v>1.35999896578025</v>
      </c>
      <c r="Q23" s="42">
        <v>7.36</v>
      </c>
      <c r="R23" s="20">
        <f>Q6</f>
        <v>710.36</v>
      </c>
      <c r="S23" s="96">
        <f>(Q23/R23)*100</f>
        <v>1.03609437468326</v>
      </c>
      <c r="T23" s="42">
        <v>15</v>
      </c>
      <c r="U23" s="20">
        <f>T6</f>
        <v>726</v>
      </c>
      <c r="V23" s="96">
        <f>(T23/U23)*100</f>
        <v>2.06611570247934</v>
      </c>
      <c r="W23" s="42">
        <v>9.73</v>
      </c>
      <c r="X23" s="20">
        <f>W6</f>
        <v>556.99</v>
      </c>
      <c r="Y23" s="96">
        <f>(W23/X23)*100</f>
        <v>1.74688953123036</v>
      </c>
      <c r="Z23" s="42">
        <v>15.79</v>
      </c>
      <c r="AA23" s="20">
        <f>Z6</f>
        <v>645.18</v>
      </c>
      <c r="AB23" s="96">
        <f>(Z23/AA23)*100</f>
        <v>2.44737902600825</v>
      </c>
      <c r="AC23" s="42">
        <v>8.75</v>
      </c>
      <c r="AD23" s="20">
        <f>AC6</f>
        <v>616.36</v>
      </c>
      <c r="AE23" s="96">
        <f>(AC23/AD23)*100</f>
        <v>1.41962489454215</v>
      </c>
      <c r="AF23" s="42">
        <v>18.94</v>
      </c>
      <c r="AG23" s="20">
        <f>AF6</f>
        <v>910</v>
      </c>
      <c r="AH23" s="96">
        <f>(AF23/AG23)*100</f>
        <v>2.08131868131868</v>
      </c>
      <c r="AI23" s="42">
        <v>7.89</v>
      </c>
      <c r="AJ23" s="20">
        <f>AI6</f>
        <v>609.99</v>
      </c>
      <c r="AK23" s="96">
        <f>(AI23/AJ23)*100</f>
        <v>1.29346382727586</v>
      </c>
      <c r="AL23" s="42">
        <v>10.52</v>
      </c>
      <c r="AM23" s="20">
        <f>AL6</f>
        <v>571.56</v>
      </c>
      <c r="AN23" s="96">
        <f>(AL23/AM23)*100</f>
        <v>1.84057666736651</v>
      </c>
      <c r="AO23" s="42">
        <v>10.52</v>
      </c>
      <c r="AP23" s="20">
        <f>AO6</f>
        <v>1559</v>
      </c>
      <c r="AQ23" s="38">
        <f>(AO23/AP23)*100</f>
        <v>0.674791533033996</v>
      </c>
    </row>
    <row r="24" ht="3" customHeight="1" spans="1:43">
      <c r="B24" s="2"/>
      <c r="C24" s="2" t="s">
        <v>189</v>
      </c>
      <c r="D24" s="41"/>
      <c r="E24" s="42"/>
      <c r="F24" s="20"/>
      <c r="G24" s="38"/>
      <c r="H24" s="42"/>
      <c r="I24" s="20"/>
      <c r="J24" s="96"/>
      <c r="K24" s="42"/>
      <c r="L24" s="20"/>
      <c r="M24" s="38"/>
      <c r="N24" s="42"/>
      <c r="O24" s="20"/>
      <c r="P24" s="96"/>
      <c r="Q24" s="42"/>
      <c r="R24" s="20"/>
      <c r="S24" s="96"/>
      <c r="T24" s="42"/>
      <c r="U24" s="20"/>
      <c r="V24" s="96"/>
      <c r="W24" s="42"/>
      <c r="X24" s="20"/>
      <c r="Y24" s="96"/>
      <c r="Z24" s="42"/>
      <c r="AA24" s="20"/>
      <c r="AB24" s="96"/>
      <c r="AC24" s="42"/>
      <c r="AD24" s="20"/>
      <c r="AE24" s="96"/>
      <c r="AF24" s="42"/>
      <c r="AG24" s="20"/>
      <c r="AH24" s="96"/>
      <c r="AI24" s="42"/>
      <c r="AJ24" s="20"/>
      <c r="AK24" s="96"/>
      <c r="AL24" s="42"/>
      <c r="AM24" s="20"/>
      <c r="AN24" s="96"/>
      <c r="AO24" s="42"/>
      <c r="AP24" s="20"/>
      <c r="AQ24" s="38"/>
    </row>
    <row r="25" hidden="1" spans="1:43">
      <c r="A25"/>
      <c r="G25" s="80"/>
      <c r="J25" s="80"/>
      <c r="M25" s="80"/>
      <c r="P25" s="80"/>
      <c r="S25" s="80"/>
      <c r="V25" s="80"/>
      <c r="Y25" s="80"/>
      <c r="AB25" s="80"/>
      <c r="AE25" s="80"/>
      <c r="AH25" s="80"/>
      <c r="AK25" s="80"/>
      <c r="AN25" s="80"/>
      <c r="AQ25" s="80"/>
    </row>
    <row r="26" hidden="1" spans="1:43">
      <c r="A26" s="2">
        <v>9</v>
      </c>
      <c r="B26" s="2" t="s">
        <v>202</v>
      </c>
      <c r="C26" s="37" t="s">
        <v>203</v>
      </c>
      <c r="D26" s="2" t="s">
        <v>172</v>
      </c>
      <c r="E26" s="20">
        <v>24088642367</v>
      </c>
      <c r="F26" s="20">
        <f>F3</f>
        <v>2666390</v>
      </c>
      <c r="G26" s="85">
        <f>E26/F26</f>
        <v>9034.17818361155</v>
      </c>
      <c r="H26" s="20">
        <v>15497657032</v>
      </c>
      <c r="I26" s="20">
        <f>I3</f>
        <v>28065499</v>
      </c>
      <c r="J26" s="85">
        <f>H26/I26</f>
        <v>552.196026587662</v>
      </c>
      <c r="K26" s="20">
        <v>8775338752</v>
      </c>
      <c r="L26" s="20">
        <f>L3</f>
        <v>25652244</v>
      </c>
      <c r="M26" s="85">
        <f>K26/L26</f>
        <v>342.088542117407</v>
      </c>
      <c r="N26" s="20">
        <v>13804480528</v>
      </c>
      <c r="O26" s="20">
        <f>O3</f>
        <v>29230990</v>
      </c>
      <c r="P26" s="85">
        <f>N26/O26</f>
        <v>472.25497761109</v>
      </c>
      <c r="Q26" s="20">
        <v>10947518114</v>
      </c>
      <c r="R26" s="20">
        <f>R3</f>
        <v>25154507</v>
      </c>
      <c r="S26" s="85">
        <f>Q26/R26</f>
        <v>435.210998728777</v>
      </c>
      <c r="T26" s="20">
        <v>15151041840</v>
      </c>
      <c r="U26" s="20">
        <f>U3</f>
        <v>26226382</v>
      </c>
      <c r="V26" s="85">
        <f>T26/U26</f>
        <v>577.702324323652</v>
      </c>
      <c r="W26" s="20">
        <v>11067204478</v>
      </c>
      <c r="X26" s="20">
        <f>X3</f>
        <v>30293346</v>
      </c>
      <c r="Y26" s="85">
        <f>W26/X26</f>
        <v>365.334502104852</v>
      </c>
      <c r="Z26" s="20">
        <v>6528062751</v>
      </c>
      <c r="AA26" s="20">
        <f>AA3</f>
        <v>18908782</v>
      </c>
      <c r="AB26" s="85">
        <f>Z26/AA26</f>
        <v>345.239727815361</v>
      </c>
      <c r="AC26" s="20">
        <v>10519278268</v>
      </c>
      <c r="AD26" s="20">
        <f>AD3</f>
        <v>25001574</v>
      </c>
      <c r="AE26" s="85">
        <f>AC26/AD26</f>
        <v>420.744640637425</v>
      </c>
      <c r="AF26" s="20">
        <v>6978312192</v>
      </c>
      <c r="AG26" s="20">
        <f>AG3</f>
        <v>14414880</v>
      </c>
      <c r="AH26" s="85">
        <f>AF26/AG26</f>
        <v>484.104771735873</v>
      </c>
      <c r="AI26" s="20">
        <v>8247196656</v>
      </c>
      <c r="AJ26" s="20">
        <f>AJ3</f>
        <v>21500000</v>
      </c>
      <c r="AK26" s="85">
        <f>AI26/AJ26</f>
        <v>383.590542139535</v>
      </c>
      <c r="AL26" s="20">
        <v>7341919378</v>
      </c>
      <c r="AM26" s="20">
        <f>AM3</f>
        <v>23100000</v>
      </c>
      <c r="AN26" s="85">
        <f>AL26/AM26</f>
        <v>317.832007705628</v>
      </c>
      <c r="AO26" s="20">
        <v>7341919378</v>
      </c>
      <c r="AP26" s="20">
        <f>AP3</f>
        <v>7500000</v>
      </c>
      <c r="AQ26" s="85">
        <f>AO26/AP26</f>
        <v>978.922583733333</v>
      </c>
    </row>
    <row r="27" ht="7" hidden="1" customHeight="1" spans="1:43">
      <c r="B27" s="2"/>
      <c r="C27" s="6" t="s">
        <v>163</v>
      </c>
      <c r="E27" s="20"/>
      <c r="G27" s="85"/>
      <c r="H27" s="20"/>
      <c r="J27" s="85"/>
      <c r="K27" s="20"/>
      <c r="M27" s="85"/>
      <c r="N27" s="20"/>
      <c r="P27" s="85"/>
      <c r="Q27" s="20"/>
      <c r="S27" s="85"/>
      <c r="T27" s="20"/>
      <c r="V27" s="85"/>
      <c r="W27" s="20"/>
      <c r="Y27" s="85"/>
      <c r="Z27" s="20"/>
      <c r="AB27" s="85"/>
      <c r="AC27" s="20"/>
      <c r="AE27" s="85"/>
      <c r="AF27" s="20"/>
      <c r="AH27" s="85"/>
      <c r="AI27" s="20"/>
      <c r="AK27" s="85"/>
      <c r="AL27" s="20"/>
      <c r="AM27" s="20"/>
      <c r="AN27" s="85"/>
      <c r="AO27" s="20"/>
      <c r="AP27" s="20"/>
      <c r="AQ27" s="85"/>
    </row>
    <row r="28" hidden="1" spans="1:43">
      <c r="A28"/>
      <c r="D28"/>
      <c r="E28"/>
      <c r="F28"/>
      <c r="G28" s="48"/>
      <c r="H28"/>
      <c r="I28"/>
      <c r="J28" s="48"/>
      <c r="K28"/>
      <c r="L28"/>
      <c r="M28" s="48"/>
      <c r="N28"/>
      <c r="O28"/>
      <c r="P28" s="48"/>
      <c r="Q28"/>
      <c r="R28"/>
      <c r="S28" s="48"/>
      <c r="T28"/>
      <c r="U28"/>
      <c r="V28" s="48"/>
      <c r="W28"/>
      <c r="X28"/>
      <c r="Y28" s="48"/>
      <c r="Z28"/>
      <c r="AA28"/>
      <c r="AB28" s="48"/>
      <c r="AC28"/>
      <c r="AD28"/>
      <c r="AE28" s="48"/>
      <c r="AF28"/>
      <c r="AG28"/>
      <c r="AH28" s="48"/>
      <c r="AI28"/>
      <c r="AJ28"/>
      <c r="AK28" s="48"/>
      <c r="AL28"/>
      <c r="AM28"/>
      <c r="AN28" s="48"/>
      <c r="AO28"/>
      <c r="AP28"/>
      <c r="AQ28" s="48"/>
    </row>
    <row r="29" hidden="1" spans="1:43">
      <c r="A29" s="2">
        <v>10</v>
      </c>
      <c r="B29" s="2" t="s">
        <v>125</v>
      </c>
      <c r="C29" s="37" t="s">
        <v>122</v>
      </c>
      <c r="D29" s="2" t="s">
        <v>722</v>
      </c>
      <c r="E29" s="20">
        <f>G12</f>
        <v>0.0712971365516482</v>
      </c>
      <c r="F29" s="20">
        <f>E29/G29</f>
        <v>0.026116167235036</v>
      </c>
      <c r="G29" s="38">
        <v>2.73</v>
      </c>
      <c r="H29" s="20">
        <f>J12</f>
        <v>-0.00748894032359669</v>
      </c>
      <c r="I29" s="20">
        <f>H29/J29</f>
        <v>-2.34910298732644e-5</v>
      </c>
      <c r="J29" s="38">
        <v>318.8</v>
      </c>
      <c r="K29" s="20">
        <f>M12</f>
        <v>0.437145670207971</v>
      </c>
      <c r="L29" s="20">
        <f>K29/M29</f>
        <v>0.180638706697509</v>
      </c>
      <c r="M29" s="38">
        <v>2.42</v>
      </c>
      <c r="N29" s="20">
        <f>P12</f>
        <v>0.085008194308686</v>
      </c>
      <c r="O29" s="20">
        <f>N29/P29</f>
        <v>0.0231629957244376</v>
      </c>
      <c r="P29" s="38">
        <v>3.67</v>
      </c>
      <c r="Q29" s="20">
        <f>S12</f>
        <v>0.199719383094429</v>
      </c>
      <c r="R29" s="20">
        <f>Q29/S29</f>
        <v>0.0520102560141743</v>
      </c>
      <c r="S29" s="38">
        <v>3.84</v>
      </c>
      <c r="T29" s="20">
        <f>V12</f>
        <v>0.0101433140350829</v>
      </c>
      <c r="U29" s="20">
        <f>T29/V29</f>
        <v>0.00368847783093923</v>
      </c>
      <c r="V29" s="38">
        <v>2.75</v>
      </c>
      <c r="W29" s="20">
        <f>Y12</f>
        <v>0.019358582768035</v>
      </c>
      <c r="X29" s="20">
        <f>W29/Y29</f>
        <v>5.64884236009191e-5</v>
      </c>
      <c r="Y29" s="38">
        <v>342.7</v>
      </c>
      <c r="Z29" s="20">
        <f>AB12</f>
        <v>0.0874484547953193</v>
      </c>
      <c r="AA29" s="20">
        <f>Z29/AB29</f>
        <v>0.000201680015671862</v>
      </c>
      <c r="AB29" s="38">
        <v>433.6</v>
      </c>
      <c r="AC29" s="20">
        <f>AE12</f>
        <v>0.0675120468112761</v>
      </c>
      <c r="AD29" s="20">
        <f>AC29/AE29</f>
        <v>0.000203104833968941</v>
      </c>
      <c r="AE29" s="38">
        <v>332.4</v>
      </c>
      <c r="AF29" s="20">
        <f>AH12</f>
        <v>0.0793658774928764</v>
      </c>
      <c r="AG29" s="20">
        <f>AF29/AH29</f>
        <v>0.0170313041830207</v>
      </c>
      <c r="AH29" s="38">
        <v>4.66</v>
      </c>
      <c r="AI29" s="20">
        <f>AK12</f>
        <v>0.101551839077018</v>
      </c>
      <c r="AJ29" s="20">
        <f>AI29/AK29</f>
        <v>0.038760243922526</v>
      </c>
      <c r="AK29" s="38">
        <v>2.62</v>
      </c>
      <c r="AL29" s="20">
        <f>AN12</f>
        <v>0.0592408863014858</v>
      </c>
      <c r="AM29" s="20">
        <f>AL29/AN29</f>
        <v>0.0216999583521926</v>
      </c>
      <c r="AN29" s="38">
        <v>2.73</v>
      </c>
      <c r="AO29" s="20">
        <f>AQ12</f>
        <v>0.0592408863014858</v>
      </c>
      <c r="AP29" s="20">
        <f>AO29/AQ29</f>
        <v>0.0216999583521926</v>
      </c>
      <c r="AQ29" s="38">
        <v>2.73</v>
      </c>
    </row>
    <row r="30" ht="6.5" hidden="1" customHeight="1" spans="1:43">
      <c r="B30" s="2"/>
      <c r="C30" s="2" t="s">
        <v>650</v>
      </c>
      <c r="E30" s="20"/>
      <c r="F30" s="20"/>
      <c r="G30" s="38"/>
      <c r="H30" s="20"/>
      <c r="I30" s="20"/>
      <c r="J30" s="38"/>
      <c r="K30" s="20"/>
      <c r="L30" s="20"/>
      <c r="M30" s="38"/>
      <c r="N30" s="20"/>
      <c r="O30" s="20"/>
      <c r="P30" s="38"/>
      <c r="Q30" s="20"/>
      <c r="R30" s="20"/>
      <c r="S30" s="38"/>
      <c r="T30" s="20"/>
      <c r="U30" s="20"/>
      <c r="V30" s="38"/>
      <c r="W30" s="20"/>
      <c r="X30" s="20"/>
      <c r="Y30" s="38"/>
      <c r="Z30" s="20"/>
      <c r="AA30" s="20"/>
      <c r="AB30" s="38"/>
      <c r="AC30" s="20"/>
      <c r="AD30" s="20"/>
      <c r="AE30" s="38"/>
      <c r="AF30" s="20"/>
      <c r="AG30" s="20"/>
      <c r="AH30" s="38"/>
      <c r="AI30" s="20"/>
      <c r="AJ30" s="20"/>
      <c r="AK30" s="38"/>
      <c r="AL30" s="20"/>
      <c r="AM30" s="20"/>
      <c r="AN30" s="38"/>
      <c r="AO30" s="20"/>
      <c r="AP30" s="20"/>
      <c r="AQ30" s="38"/>
    </row>
    <row r="31" ht="14.5" hidden="1" customHeight="1" spans="1:43">
      <c r="A31"/>
      <c r="D31"/>
      <c r="E31" s="99"/>
      <c r="F31" s="99"/>
      <c r="G31" s="100"/>
      <c r="H31" s="99"/>
      <c r="I31" s="99"/>
      <c r="J31" s="100"/>
      <c r="K31" s="99"/>
      <c r="L31" s="99"/>
      <c r="M31" s="100"/>
      <c r="N31" s="99"/>
      <c r="O31" s="99"/>
      <c r="P31" s="100"/>
      <c r="Q31" s="99"/>
      <c r="R31" s="99"/>
      <c r="S31" s="100"/>
      <c r="T31" s="99"/>
      <c r="U31" s="99"/>
      <c r="V31" s="100"/>
      <c r="W31" s="99"/>
      <c r="X31" s="99"/>
      <c r="Y31" s="100"/>
      <c r="Z31" s="99"/>
      <c r="AA31" s="99"/>
      <c r="AB31" s="100"/>
      <c r="AC31" s="99"/>
      <c r="AD31" s="99"/>
      <c r="AE31" s="100"/>
      <c r="AF31" s="99"/>
      <c r="AG31" s="99"/>
      <c r="AH31" s="100"/>
      <c r="AI31" s="99"/>
      <c r="AJ31" s="99"/>
      <c r="AK31" s="100"/>
      <c r="AL31" s="99"/>
      <c r="AM31" s="99"/>
      <c r="AN31" s="100"/>
      <c r="AO31" s="99"/>
      <c r="AP31" s="99"/>
      <c r="AQ31" s="100"/>
    </row>
    <row r="32" ht="14.5" customHeight="1" spans="1:43">
      <c r="A32" s="45">
        <v>11</v>
      </c>
      <c r="B32" s="41" t="s">
        <v>723</v>
      </c>
      <c r="C32" s="101" t="s">
        <v>717</v>
      </c>
      <c r="D32" s="41" t="s">
        <v>724</v>
      </c>
      <c r="E32" s="20">
        <v>70189481</v>
      </c>
      <c r="F32" s="20">
        <v>247468779</v>
      </c>
      <c r="G32" s="96">
        <f>(E32/F32)*100</f>
        <v>28.3629641216276</v>
      </c>
      <c r="H32" s="20">
        <v>1134969813</v>
      </c>
      <c r="I32" s="20">
        <v>2057631838</v>
      </c>
      <c r="J32" s="96">
        <f>(H32/I32)*100</f>
        <v>55.1590324391161</v>
      </c>
      <c r="K32" s="20">
        <v>653592326</v>
      </c>
      <c r="L32" s="20">
        <v>939238318</v>
      </c>
      <c r="M32" s="38">
        <f>(K32/L32)*100</f>
        <v>69.5874852499363</v>
      </c>
      <c r="N32" s="20">
        <v>1053174097</v>
      </c>
      <c r="O32" s="20">
        <v>1712012900</v>
      </c>
      <c r="P32" s="38">
        <f>(N32/O32)*100</f>
        <v>61.5167150317617</v>
      </c>
      <c r="Q32" s="20">
        <v>855945592</v>
      </c>
      <c r="R32" s="20">
        <v>1719613008</v>
      </c>
      <c r="S32" s="96">
        <f>(Q32/R32)*100</f>
        <v>49.7754778556548</v>
      </c>
      <c r="T32" s="20">
        <v>1694018343</v>
      </c>
      <c r="U32" s="20">
        <v>2113504491</v>
      </c>
      <c r="V32" s="38">
        <f>(T32/U32)*100</f>
        <v>80.1521051984365</v>
      </c>
      <c r="W32" s="20">
        <v>868019917</v>
      </c>
      <c r="X32" s="20">
        <v>1362104687</v>
      </c>
      <c r="Y32" s="38">
        <f>(W32/X32)*100</f>
        <v>63.7263732578287</v>
      </c>
      <c r="Z32" s="20">
        <v>498385509</v>
      </c>
      <c r="AA32" s="20">
        <v>950520240</v>
      </c>
      <c r="AB32" s="96">
        <f>(Z32/AA32)*100</f>
        <v>52.4329191559351</v>
      </c>
      <c r="AC32" s="20">
        <v>1113523955</v>
      </c>
      <c r="AD32" s="20">
        <v>2021065326</v>
      </c>
      <c r="AE32" s="96">
        <f>(AC32/AD32)*100</f>
        <v>55.0958912943124</v>
      </c>
      <c r="AF32" s="20">
        <v>250899317</v>
      </c>
      <c r="AG32" s="20">
        <v>634902915</v>
      </c>
      <c r="AH32" s="96">
        <f>(AF32/AG32)*100</f>
        <v>39.5177453233145</v>
      </c>
      <c r="AI32" s="20">
        <v>387008535</v>
      </c>
      <c r="AJ32" s="20">
        <v>787499290</v>
      </c>
      <c r="AK32" s="96">
        <f>(AI32/AJ32)*100</f>
        <v>49.143985259974</v>
      </c>
      <c r="AL32" s="20">
        <v>676284458</v>
      </c>
      <c r="AM32" s="20">
        <v>1175037822</v>
      </c>
      <c r="AN32" s="96">
        <f>(AL32/AM32)*100</f>
        <v>57.5542714743356</v>
      </c>
      <c r="AO32" s="20">
        <v>676284458</v>
      </c>
      <c r="AP32" s="20">
        <v>1175037822</v>
      </c>
      <c r="AQ32" s="96">
        <f>(AO32/AP32)*100</f>
        <v>57.5542714743356</v>
      </c>
    </row>
    <row r="33" ht="7" customHeight="1" spans="1:43">
      <c r="A33" s="45"/>
      <c r="B33" s="41"/>
      <c r="C33" s="23" t="s">
        <v>719</v>
      </c>
      <c r="D33" s="41"/>
      <c r="E33" s="20"/>
      <c r="F33" s="20"/>
      <c r="G33" s="96"/>
      <c r="H33" s="20"/>
      <c r="J33" s="96"/>
      <c r="K33" s="20"/>
      <c r="L33" s="20"/>
      <c r="M33" s="38"/>
      <c r="N33" s="20"/>
      <c r="O33" s="20"/>
      <c r="P33" s="38"/>
      <c r="Q33" s="20"/>
      <c r="R33" s="20"/>
      <c r="S33" s="96"/>
      <c r="T33" s="20"/>
      <c r="U33" s="20"/>
      <c r="V33" s="38"/>
      <c r="W33" s="20"/>
      <c r="X33" s="20"/>
      <c r="Y33" s="38"/>
      <c r="Z33" s="20"/>
      <c r="AA33" s="20"/>
      <c r="AB33" s="96"/>
      <c r="AC33" s="20"/>
      <c r="AD33" s="20"/>
      <c r="AE33" s="96"/>
      <c r="AF33" s="20"/>
      <c r="AG33" s="20"/>
      <c r="AH33" s="96"/>
      <c r="AI33" s="20"/>
      <c r="AJ33" s="20"/>
      <c r="AK33" s="96"/>
      <c r="AL33" s="20"/>
      <c r="AM33" s="20"/>
      <c r="AN33" s="96"/>
      <c r="AO33" s="20"/>
      <c r="AP33" s="20"/>
      <c r="AQ33" s="96"/>
    </row>
    <row r="34" ht="14.5" customHeight="1" spans="1:43">
      <c r="B34" s="102"/>
      <c r="C34" s="102"/>
      <c r="D34" s="102"/>
      <c r="E34" s="102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</row>
    <row r="35" spans="1:43">
      <c r="B35" s="103"/>
      <c r="D35" s="103"/>
      <c r="E35" s="20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</row>
  </sheetData>
  <mergeCells count="477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  <mergeCell ref="AO1:AQ1"/>
    <mergeCell ref="B34:E34"/>
    <mergeCell ref="A3:A4"/>
    <mergeCell ref="A6:A7"/>
    <mergeCell ref="A9:A10"/>
    <mergeCell ref="A12:A13"/>
    <mergeCell ref="A14:A15"/>
    <mergeCell ref="A17:A18"/>
    <mergeCell ref="A20:A21"/>
    <mergeCell ref="A23:A24"/>
    <mergeCell ref="A26:A27"/>
    <mergeCell ref="A29:A30"/>
    <mergeCell ref="B3:B4"/>
    <mergeCell ref="B6:B7"/>
    <mergeCell ref="B9:B10"/>
    <mergeCell ref="B12:B13"/>
    <mergeCell ref="B14:B15"/>
    <mergeCell ref="B17:B18"/>
    <mergeCell ref="B20:B21"/>
    <mergeCell ref="B23:B24"/>
    <mergeCell ref="B26:B27"/>
    <mergeCell ref="B29:B30"/>
    <mergeCell ref="B32:B33"/>
    <mergeCell ref="C12:C13"/>
    <mergeCell ref="D3:D4"/>
    <mergeCell ref="D6:D7"/>
    <mergeCell ref="D9:D10"/>
    <mergeCell ref="D12:D13"/>
    <mergeCell ref="D14:D15"/>
    <mergeCell ref="D17:D18"/>
    <mergeCell ref="D20:D21"/>
    <mergeCell ref="D23:D24"/>
    <mergeCell ref="D26:D27"/>
    <mergeCell ref="D29:D30"/>
    <mergeCell ref="D32:D33"/>
    <mergeCell ref="E3:E4"/>
    <mergeCell ref="E6:E7"/>
    <mergeCell ref="E9:E10"/>
    <mergeCell ref="E12:E13"/>
    <mergeCell ref="E14:E15"/>
    <mergeCell ref="E17:E18"/>
    <mergeCell ref="E20:E21"/>
    <mergeCell ref="E23:E24"/>
    <mergeCell ref="E26:E27"/>
    <mergeCell ref="E29:E30"/>
    <mergeCell ref="E32:E33"/>
    <mergeCell ref="F3:F4"/>
    <mergeCell ref="F6:F7"/>
    <mergeCell ref="F9:F10"/>
    <mergeCell ref="F12:F13"/>
    <mergeCell ref="F14:F15"/>
    <mergeCell ref="F17:F18"/>
    <mergeCell ref="F20:F21"/>
    <mergeCell ref="F23:F24"/>
    <mergeCell ref="F26:F27"/>
    <mergeCell ref="F29:F30"/>
    <mergeCell ref="F32:F33"/>
    <mergeCell ref="G3:G4"/>
    <mergeCell ref="G6:G7"/>
    <mergeCell ref="G9:G10"/>
    <mergeCell ref="G12:G13"/>
    <mergeCell ref="G14:G15"/>
    <mergeCell ref="G17:G18"/>
    <mergeCell ref="G20:G21"/>
    <mergeCell ref="G23:G24"/>
    <mergeCell ref="G26:G27"/>
    <mergeCell ref="G29:G30"/>
    <mergeCell ref="G32:G33"/>
    <mergeCell ref="H3:H4"/>
    <mergeCell ref="H6:H7"/>
    <mergeCell ref="H9:H10"/>
    <mergeCell ref="H12:H13"/>
    <mergeCell ref="H14:H15"/>
    <mergeCell ref="H17:H18"/>
    <mergeCell ref="H20:H21"/>
    <mergeCell ref="H23:H24"/>
    <mergeCell ref="H26:H27"/>
    <mergeCell ref="H29:H30"/>
    <mergeCell ref="H32:H33"/>
    <mergeCell ref="I3:I4"/>
    <mergeCell ref="I6:I7"/>
    <mergeCell ref="I9:I10"/>
    <mergeCell ref="I12:I13"/>
    <mergeCell ref="I14:I15"/>
    <mergeCell ref="I17:I18"/>
    <mergeCell ref="I20:I21"/>
    <mergeCell ref="I23:I24"/>
    <mergeCell ref="I26:I27"/>
    <mergeCell ref="I29:I30"/>
    <mergeCell ref="I32:I33"/>
    <mergeCell ref="J3:J4"/>
    <mergeCell ref="J6:J7"/>
    <mergeCell ref="J9:J10"/>
    <mergeCell ref="J12:J13"/>
    <mergeCell ref="J14:J15"/>
    <mergeCell ref="J17:J18"/>
    <mergeCell ref="J20:J21"/>
    <mergeCell ref="J23:J24"/>
    <mergeCell ref="J26:J27"/>
    <mergeCell ref="J29:J30"/>
    <mergeCell ref="J32:J33"/>
    <mergeCell ref="K3:K4"/>
    <mergeCell ref="K6:K7"/>
    <mergeCell ref="K9:K10"/>
    <mergeCell ref="K12:K13"/>
    <mergeCell ref="K14:K15"/>
    <mergeCell ref="K17:K18"/>
    <mergeCell ref="K20:K21"/>
    <mergeCell ref="K23:K24"/>
    <mergeCell ref="K26:K27"/>
    <mergeCell ref="K29:K30"/>
    <mergeCell ref="K32:K33"/>
    <mergeCell ref="L3:L4"/>
    <mergeCell ref="L6:L7"/>
    <mergeCell ref="L9:L10"/>
    <mergeCell ref="L12:L13"/>
    <mergeCell ref="L14:L15"/>
    <mergeCell ref="L17:L18"/>
    <mergeCell ref="L20:L21"/>
    <mergeCell ref="L23:L24"/>
    <mergeCell ref="L26:L27"/>
    <mergeCell ref="L29:L30"/>
    <mergeCell ref="L32:L33"/>
    <mergeCell ref="M3:M4"/>
    <mergeCell ref="M6:M7"/>
    <mergeCell ref="M9:M10"/>
    <mergeCell ref="M12:M13"/>
    <mergeCell ref="M14:M15"/>
    <mergeCell ref="M17:M18"/>
    <mergeCell ref="M20:M21"/>
    <mergeCell ref="M23:M24"/>
    <mergeCell ref="M26:M27"/>
    <mergeCell ref="M29:M30"/>
    <mergeCell ref="M32:M33"/>
    <mergeCell ref="N3:N4"/>
    <mergeCell ref="N6:N7"/>
    <mergeCell ref="N9:N10"/>
    <mergeCell ref="N12:N13"/>
    <mergeCell ref="N14:N15"/>
    <mergeCell ref="N17:N18"/>
    <mergeCell ref="N20:N21"/>
    <mergeCell ref="N23:N24"/>
    <mergeCell ref="N26:N27"/>
    <mergeCell ref="N29:N30"/>
    <mergeCell ref="N32:N33"/>
    <mergeCell ref="O3:O4"/>
    <mergeCell ref="O6:O7"/>
    <mergeCell ref="O9:O10"/>
    <mergeCell ref="O12:O13"/>
    <mergeCell ref="O14:O15"/>
    <mergeCell ref="O17:O18"/>
    <mergeCell ref="O20:O21"/>
    <mergeCell ref="O23:O24"/>
    <mergeCell ref="O26:O27"/>
    <mergeCell ref="O29:O30"/>
    <mergeCell ref="O32:O33"/>
    <mergeCell ref="P3:P4"/>
    <mergeCell ref="P6:P7"/>
    <mergeCell ref="P9:P10"/>
    <mergeCell ref="P12:P13"/>
    <mergeCell ref="P14:P15"/>
    <mergeCell ref="P17:P18"/>
    <mergeCell ref="P20:P21"/>
    <mergeCell ref="P23:P24"/>
    <mergeCell ref="P26:P27"/>
    <mergeCell ref="P29:P30"/>
    <mergeCell ref="P32:P33"/>
    <mergeCell ref="Q3:Q4"/>
    <mergeCell ref="Q6:Q7"/>
    <mergeCell ref="Q9:Q10"/>
    <mergeCell ref="Q12:Q13"/>
    <mergeCell ref="Q14:Q15"/>
    <mergeCell ref="Q17:Q18"/>
    <mergeCell ref="Q20:Q21"/>
    <mergeCell ref="Q23:Q24"/>
    <mergeCell ref="Q26:Q27"/>
    <mergeCell ref="Q29:Q30"/>
    <mergeCell ref="Q32:Q33"/>
    <mergeCell ref="R3:R4"/>
    <mergeCell ref="R6:R7"/>
    <mergeCell ref="R9:R10"/>
    <mergeCell ref="R12:R13"/>
    <mergeCell ref="R14:R15"/>
    <mergeCell ref="R17:R18"/>
    <mergeCell ref="R20:R21"/>
    <mergeCell ref="R23:R24"/>
    <mergeCell ref="R26:R27"/>
    <mergeCell ref="R29:R30"/>
    <mergeCell ref="R32:R33"/>
    <mergeCell ref="S3:S4"/>
    <mergeCell ref="S6:S7"/>
    <mergeCell ref="S9:S10"/>
    <mergeCell ref="S12:S13"/>
    <mergeCell ref="S14:S15"/>
    <mergeCell ref="S17:S18"/>
    <mergeCell ref="S20:S21"/>
    <mergeCell ref="S23:S24"/>
    <mergeCell ref="S26:S27"/>
    <mergeCell ref="S29:S30"/>
    <mergeCell ref="S32:S33"/>
    <mergeCell ref="T3:T4"/>
    <mergeCell ref="T6:T7"/>
    <mergeCell ref="T9:T10"/>
    <mergeCell ref="T12:T13"/>
    <mergeCell ref="T14:T15"/>
    <mergeCell ref="T17:T18"/>
    <mergeCell ref="T20:T21"/>
    <mergeCell ref="T23:T24"/>
    <mergeCell ref="T26:T27"/>
    <mergeCell ref="T29:T30"/>
    <mergeCell ref="T32:T33"/>
    <mergeCell ref="U3:U4"/>
    <mergeCell ref="U6:U7"/>
    <mergeCell ref="U9:U10"/>
    <mergeCell ref="U12:U13"/>
    <mergeCell ref="U14:U15"/>
    <mergeCell ref="U17:U18"/>
    <mergeCell ref="U20:U21"/>
    <mergeCell ref="U23:U24"/>
    <mergeCell ref="U26:U27"/>
    <mergeCell ref="U29:U30"/>
    <mergeCell ref="U32:U33"/>
    <mergeCell ref="V3:V4"/>
    <mergeCell ref="V6:V7"/>
    <mergeCell ref="V9:V10"/>
    <mergeCell ref="V12:V13"/>
    <mergeCell ref="V14:V15"/>
    <mergeCell ref="V17:V18"/>
    <mergeCell ref="V20:V21"/>
    <mergeCell ref="V23:V24"/>
    <mergeCell ref="V26:V27"/>
    <mergeCell ref="V29:V30"/>
    <mergeCell ref="V32:V33"/>
    <mergeCell ref="W3:W4"/>
    <mergeCell ref="W6:W7"/>
    <mergeCell ref="W9:W10"/>
    <mergeCell ref="W12:W13"/>
    <mergeCell ref="W14:W15"/>
    <mergeCell ref="W17:W18"/>
    <mergeCell ref="W20:W21"/>
    <mergeCell ref="W23:W24"/>
    <mergeCell ref="W26:W27"/>
    <mergeCell ref="W29:W30"/>
    <mergeCell ref="W32:W33"/>
    <mergeCell ref="X3:X4"/>
    <mergeCell ref="X6:X7"/>
    <mergeCell ref="X9:X10"/>
    <mergeCell ref="X12:X13"/>
    <mergeCell ref="X14:X15"/>
    <mergeCell ref="X17:X18"/>
    <mergeCell ref="X20:X21"/>
    <mergeCell ref="X23:X24"/>
    <mergeCell ref="X26:X27"/>
    <mergeCell ref="X29:X30"/>
    <mergeCell ref="X32:X33"/>
    <mergeCell ref="Y3:Y4"/>
    <mergeCell ref="Y6:Y7"/>
    <mergeCell ref="Y9:Y10"/>
    <mergeCell ref="Y12:Y13"/>
    <mergeCell ref="Y14:Y15"/>
    <mergeCell ref="Y17:Y18"/>
    <mergeCell ref="Y20:Y21"/>
    <mergeCell ref="Y23:Y24"/>
    <mergeCell ref="Y26:Y27"/>
    <mergeCell ref="Y29:Y30"/>
    <mergeCell ref="Y32:Y33"/>
    <mergeCell ref="Z3:Z4"/>
    <mergeCell ref="Z6:Z7"/>
    <mergeCell ref="Z9:Z10"/>
    <mergeCell ref="Z12:Z13"/>
    <mergeCell ref="Z14:Z15"/>
    <mergeCell ref="Z17:Z18"/>
    <mergeCell ref="Z20:Z21"/>
    <mergeCell ref="Z23:Z24"/>
    <mergeCell ref="Z26:Z27"/>
    <mergeCell ref="Z29:Z30"/>
    <mergeCell ref="Z32:Z33"/>
    <mergeCell ref="AA3:AA4"/>
    <mergeCell ref="AA6:AA7"/>
    <mergeCell ref="AA9:AA10"/>
    <mergeCell ref="AA12:AA13"/>
    <mergeCell ref="AA14:AA15"/>
    <mergeCell ref="AA17:AA18"/>
    <mergeCell ref="AA20:AA21"/>
    <mergeCell ref="AA23:AA24"/>
    <mergeCell ref="AA26:AA27"/>
    <mergeCell ref="AA29:AA30"/>
    <mergeCell ref="AA32:AA33"/>
    <mergeCell ref="AB3:AB4"/>
    <mergeCell ref="AB6:AB7"/>
    <mergeCell ref="AB9:AB10"/>
    <mergeCell ref="AB12:AB13"/>
    <mergeCell ref="AB14:AB15"/>
    <mergeCell ref="AB17:AB18"/>
    <mergeCell ref="AB20:AB21"/>
    <mergeCell ref="AB23:AB24"/>
    <mergeCell ref="AB26:AB27"/>
    <mergeCell ref="AB29:AB30"/>
    <mergeCell ref="AB32:AB33"/>
    <mergeCell ref="AC3:AC4"/>
    <mergeCell ref="AC6:AC7"/>
    <mergeCell ref="AC9:AC10"/>
    <mergeCell ref="AC12:AC13"/>
    <mergeCell ref="AC14:AC15"/>
    <mergeCell ref="AC17:AC18"/>
    <mergeCell ref="AC20:AC21"/>
    <mergeCell ref="AC23:AC24"/>
    <mergeCell ref="AC26:AC27"/>
    <mergeCell ref="AC29:AC30"/>
    <mergeCell ref="AC32:AC33"/>
    <mergeCell ref="AD3:AD4"/>
    <mergeCell ref="AD6:AD7"/>
    <mergeCell ref="AD9:AD10"/>
    <mergeCell ref="AD12:AD13"/>
    <mergeCell ref="AD14:AD15"/>
    <mergeCell ref="AD17:AD18"/>
    <mergeCell ref="AD20:AD21"/>
    <mergeCell ref="AD23:AD24"/>
    <mergeCell ref="AD26:AD27"/>
    <mergeCell ref="AD29:AD30"/>
    <mergeCell ref="AD32:AD33"/>
    <mergeCell ref="AE3:AE4"/>
    <mergeCell ref="AE6:AE7"/>
    <mergeCell ref="AE9:AE10"/>
    <mergeCell ref="AE12:AE13"/>
    <mergeCell ref="AE14:AE15"/>
    <mergeCell ref="AE17:AE18"/>
    <mergeCell ref="AE20:AE21"/>
    <mergeCell ref="AE23:AE24"/>
    <mergeCell ref="AE26:AE27"/>
    <mergeCell ref="AE29:AE30"/>
    <mergeCell ref="AE32:AE33"/>
    <mergeCell ref="AF3:AF4"/>
    <mergeCell ref="AF6:AF7"/>
    <mergeCell ref="AF9:AF10"/>
    <mergeCell ref="AF12:AF13"/>
    <mergeCell ref="AF14:AF15"/>
    <mergeCell ref="AF17:AF18"/>
    <mergeCell ref="AF20:AF21"/>
    <mergeCell ref="AF23:AF24"/>
    <mergeCell ref="AF26:AF27"/>
    <mergeCell ref="AF29:AF30"/>
    <mergeCell ref="AF32:AF33"/>
    <mergeCell ref="AG3:AG4"/>
    <mergeCell ref="AG6:AG7"/>
    <mergeCell ref="AG9:AG10"/>
    <mergeCell ref="AG12:AG13"/>
    <mergeCell ref="AG14:AG15"/>
    <mergeCell ref="AG17:AG18"/>
    <mergeCell ref="AG20:AG21"/>
    <mergeCell ref="AG23:AG24"/>
    <mergeCell ref="AG26:AG27"/>
    <mergeCell ref="AG29:AG30"/>
    <mergeCell ref="AG32:AG33"/>
    <mergeCell ref="AH3:AH4"/>
    <mergeCell ref="AH6:AH7"/>
    <mergeCell ref="AH9:AH10"/>
    <mergeCell ref="AH12:AH13"/>
    <mergeCell ref="AH14:AH15"/>
    <mergeCell ref="AH17:AH18"/>
    <mergeCell ref="AH20:AH21"/>
    <mergeCell ref="AH23:AH24"/>
    <mergeCell ref="AH26:AH27"/>
    <mergeCell ref="AH29:AH30"/>
    <mergeCell ref="AH32:AH33"/>
    <mergeCell ref="AI3:AI4"/>
    <mergeCell ref="AI6:AI7"/>
    <mergeCell ref="AI9:AI10"/>
    <mergeCell ref="AI12:AI13"/>
    <mergeCell ref="AI14:AI15"/>
    <mergeCell ref="AI17:AI18"/>
    <mergeCell ref="AI20:AI21"/>
    <mergeCell ref="AI23:AI24"/>
    <mergeCell ref="AI26:AI27"/>
    <mergeCell ref="AI29:AI30"/>
    <mergeCell ref="AI32:AI33"/>
    <mergeCell ref="AJ3:AJ4"/>
    <mergeCell ref="AJ6:AJ7"/>
    <mergeCell ref="AJ9:AJ10"/>
    <mergeCell ref="AJ12:AJ13"/>
    <mergeCell ref="AJ14:AJ15"/>
    <mergeCell ref="AJ17:AJ18"/>
    <mergeCell ref="AJ20:AJ21"/>
    <mergeCell ref="AJ23:AJ24"/>
    <mergeCell ref="AJ26:AJ27"/>
    <mergeCell ref="AJ29:AJ30"/>
    <mergeCell ref="AJ32:AJ33"/>
    <mergeCell ref="AK3:AK4"/>
    <mergeCell ref="AK6:AK7"/>
    <mergeCell ref="AK9:AK10"/>
    <mergeCell ref="AK12:AK13"/>
    <mergeCell ref="AK14:AK15"/>
    <mergeCell ref="AK17:AK18"/>
    <mergeCell ref="AK20:AK21"/>
    <mergeCell ref="AK23:AK24"/>
    <mergeCell ref="AK26:AK27"/>
    <mergeCell ref="AK29:AK30"/>
    <mergeCell ref="AK32:AK33"/>
    <mergeCell ref="AL3:AL4"/>
    <mergeCell ref="AL6:AL7"/>
    <mergeCell ref="AL9:AL10"/>
    <mergeCell ref="AL12:AL13"/>
    <mergeCell ref="AL14:AL15"/>
    <mergeCell ref="AL17:AL18"/>
    <mergeCell ref="AL20:AL21"/>
    <mergeCell ref="AL23:AL24"/>
    <mergeCell ref="AL26:AL27"/>
    <mergeCell ref="AL29:AL30"/>
    <mergeCell ref="AL32:AL33"/>
    <mergeCell ref="AM3:AM4"/>
    <mergeCell ref="AM6:AM7"/>
    <mergeCell ref="AM9:AM10"/>
    <mergeCell ref="AM12:AM13"/>
    <mergeCell ref="AM14:AM15"/>
    <mergeCell ref="AM17:AM18"/>
    <mergeCell ref="AM20:AM21"/>
    <mergeCell ref="AM23:AM24"/>
    <mergeCell ref="AM26:AM27"/>
    <mergeCell ref="AM29:AM30"/>
    <mergeCell ref="AM32:AM33"/>
    <mergeCell ref="AN3:AN4"/>
    <mergeCell ref="AN6:AN7"/>
    <mergeCell ref="AN9:AN10"/>
    <mergeCell ref="AN12:AN13"/>
    <mergeCell ref="AN14:AN15"/>
    <mergeCell ref="AN17:AN18"/>
    <mergeCell ref="AN20:AN21"/>
    <mergeCell ref="AN23:AN24"/>
    <mergeCell ref="AN26:AN27"/>
    <mergeCell ref="AN29:AN30"/>
    <mergeCell ref="AN32:AN33"/>
    <mergeCell ref="AO3:AO4"/>
    <mergeCell ref="AO6:AO7"/>
    <mergeCell ref="AO9:AO10"/>
    <mergeCell ref="AO12:AO13"/>
    <mergeCell ref="AO14:AO15"/>
    <mergeCell ref="AO17:AO18"/>
    <mergeCell ref="AO20:AO21"/>
    <mergeCell ref="AO23:AO24"/>
    <mergeCell ref="AO26:AO27"/>
    <mergeCell ref="AO29:AO30"/>
    <mergeCell ref="AO32:AO33"/>
    <mergeCell ref="AP3:AP4"/>
    <mergeCell ref="AP6:AP7"/>
    <mergeCell ref="AP9:AP10"/>
    <mergeCell ref="AP12:AP13"/>
    <mergeCell ref="AP14:AP15"/>
    <mergeCell ref="AP17:AP18"/>
    <mergeCell ref="AP20:AP21"/>
    <mergeCell ref="AP23:AP24"/>
    <mergeCell ref="AP26:AP27"/>
    <mergeCell ref="AP29:AP30"/>
    <mergeCell ref="AP32:AP33"/>
    <mergeCell ref="AQ3:AQ4"/>
    <mergeCell ref="AQ6:AQ7"/>
    <mergeCell ref="AQ9:AQ10"/>
    <mergeCell ref="AQ12:AQ13"/>
    <mergeCell ref="AQ14:AQ15"/>
    <mergeCell ref="AQ17:AQ18"/>
    <mergeCell ref="AQ20:AQ21"/>
    <mergeCell ref="AQ23:AQ24"/>
    <mergeCell ref="AQ26:AQ27"/>
    <mergeCell ref="AQ29:AQ30"/>
    <mergeCell ref="AQ32:AQ33"/>
  </mergeCells>
  <pageMargins left="0.7" right="0.7" top="0.75" bottom="0.75" header="0.3" footer="0.3"/>
  <pageSetup paperSize="1" orientation="portrait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8"/>
  <sheetViews>
    <sheetView topLeftCell="A8" workbookViewId="0">
      <selection activeCell="A27" sqref="A27:I27"/>
    </sheetView>
  </sheetViews>
  <sheetFormatPr defaultColWidth="9" defaultRowHeight="15"/>
  <cols>
    <col min="1" max="1" width="4.81904761904762" customWidth="1"/>
    <col min="2" max="2" width="33.6285714285714" customWidth="1"/>
    <col min="3" max="3" width="48.1809523809524" customWidth="1"/>
    <col min="4" max="4" width="17.9047619047619" customWidth="1"/>
    <col min="5" max="5" width="15" customWidth="1"/>
    <col min="6" max="6" width="13.9047619047619" customWidth="1"/>
    <col min="7" max="7" width="15" customWidth="1"/>
    <col min="8" max="8" width="14.2666666666667" customWidth="1"/>
    <col min="9" max="9" width="15.2666666666667" customWidth="1"/>
    <col min="10" max="12" width="8.72380952380952" customWidth="1"/>
  </cols>
  <sheetData>
    <row r="1" s="15" customFormat="1" ht="18.75" spans="1:11">
      <c r="A1" s="16" t="s">
        <v>725</v>
      </c>
      <c r="B1" s="16"/>
      <c r="C1" s="16"/>
      <c r="D1" s="16"/>
      <c r="E1" s="16"/>
      <c r="F1" s="16"/>
      <c r="G1" s="16"/>
      <c r="H1" s="16"/>
      <c r="I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>
        <v>2082</v>
      </c>
      <c r="J2" s="2"/>
    </row>
    <row r="3" ht="15.75" spans="1:11">
      <c r="A3" s="2">
        <v>1</v>
      </c>
      <c r="B3" s="19" t="s">
        <v>303</v>
      </c>
      <c r="C3" s="19" t="s">
        <v>245</v>
      </c>
      <c r="D3" s="2" t="s">
        <v>246</v>
      </c>
      <c r="E3" s="20"/>
      <c r="F3" s="20"/>
      <c r="G3" s="20">
        <v>651423000</v>
      </c>
      <c r="H3" s="20">
        <v>3053543652</v>
      </c>
      <c r="I3" s="21">
        <v>3099359179</v>
      </c>
      <c r="K3" s="2"/>
    </row>
    <row r="4" ht="15.75" spans="1:11">
      <c r="A4" s="2">
        <v>2</v>
      </c>
      <c r="B4" s="19" t="s">
        <v>304</v>
      </c>
      <c r="C4" s="19" t="s">
        <v>248</v>
      </c>
      <c r="D4" s="2" t="s">
        <v>246</v>
      </c>
      <c r="E4" s="22"/>
      <c r="F4" s="22"/>
      <c r="G4" s="22"/>
      <c r="H4" s="22"/>
      <c r="I4" s="22"/>
      <c r="J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/>
      <c r="F5" s="20"/>
      <c r="G5" s="20">
        <v>363517000</v>
      </c>
      <c r="H5" s="20">
        <v>1048226574</v>
      </c>
      <c r="I5" s="21">
        <v>1011023283</v>
      </c>
    </row>
    <row r="6" ht="30" spans="1:11">
      <c r="A6" s="2">
        <v>4</v>
      </c>
      <c r="B6" s="19" t="s">
        <v>251</v>
      </c>
      <c r="C6" s="19" t="s">
        <v>252</v>
      </c>
      <c r="D6" s="23" t="s">
        <v>253</v>
      </c>
      <c r="E6" s="24"/>
      <c r="F6" s="24"/>
      <c r="G6" s="24">
        <f t="shared" ref="G6:I6" si="0">G5/G3</f>
        <v>0.558035255126086</v>
      </c>
      <c r="H6" s="24">
        <f t="shared" si="0"/>
        <v>0.343282000672706</v>
      </c>
      <c r="I6" s="24">
        <f t="shared" si="0"/>
        <v>0.326203974631364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/>
      <c r="F7" s="2"/>
      <c r="G7" s="2">
        <v>18.84</v>
      </c>
      <c r="H7" s="2">
        <v>24.64</v>
      </c>
      <c r="I7" s="2">
        <v>25.41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/>
      <c r="F8" s="25"/>
      <c r="G8" s="25">
        <v>41.31</v>
      </c>
      <c r="H8" s="25">
        <v>35.55</v>
      </c>
      <c r="I8" s="25">
        <v>33.07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J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J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  <row r="14" ht="18.75" spans="1:11">
      <c r="A14" s="88" t="s">
        <v>726</v>
      </c>
      <c r="B14" s="89"/>
      <c r="C14" s="89"/>
      <c r="D14" s="89"/>
      <c r="E14" s="89"/>
      <c r="F14" s="89"/>
      <c r="G14" s="89"/>
      <c r="H14" s="89"/>
      <c r="I14" s="90"/>
    </row>
    <row r="15" ht="37.5" spans="1:11">
      <c r="A15" s="91" t="s">
        <v>0</v>
      </c>
      <c r="B15" s="17" t="s">
        <v>241</v>
      </c>
      <c r="C15" s="17" t="s">
        <v>242</v>
      </c>
      <c r="D15" s="17" t="s">
        <v>1</v>
      </c>
      <c r="E15" s="18">
        <v>2078</v>
      </c>
      <c r="F15" s="18">
        <v>2079</v>
      </c>
      <c r="G15" s="18">
        <v>2080</v>
      </c>
      <c r="H15" s="18">
        <v>2081</v>
      </c>
      <c r="I15" s="18">
        <v>2082</v>
      </c>
    </row>
    <row r="16" ht="15.75" spans="1:11">
      <c r="A16" s="2">
        <v>1</v>
      </c>
      <c r="B16" s="19" t="s">
        <v>303</v>
      </c>
      <c r="C16" s="19" t="s">
        <v>245</v>
      </c>
      <c r="D16" s="2" t="s">
        <v>246</v>
      </c>
      <c r="E16" s="20"/>
      <c r="F16" s="20">
        <v>178679000</v>
      </c>
      <c r="G16" s="20">
        <v>686395000</v>
      </c>
      <c r="H16" s="20">
        <v>2472621556</v>
      </c>
      <c r="I16" s="20">
        <v>2687503246</v>
      </c>
    </row>
    <row r="17" ht="15.75" spans="1:9">
      <c r="A17" s="2">
        <v>2</v>
      </c>
      <c r="B17" s="19" t="s">
        <v>304</v>
      </c>
      <c r="C17" s="19" t="s">
        <v>248</v>
      </c>
      <c r="D17" s="2" t="s">
        <v>246</v>
      </c>
      <c r="E17" s="22"/>
      <c r="F17" s="92"/>
      <c r="G17" s="22"/>
      <c r="H17" s="22"/>
      <c r="I17" s="22"/>
    </row>
    <row r="18" ht="15.75" spans="1:9">
      <c r="A18" s="2">
        <v>3</v>
      </c>
      <c r="B18" s="19" t="s">
        <v>249</v>
      </c>
      <c r="C18" s="19" t="s">
        <v>250</v>
      </c>
      <c r="D18" s="2" t="s">
        <v>246</v>
      </c>
      <c r="E18" s="20"/>
      <c r="F18" s="20">
        <v>70553000</v>
      </c>
      <c r="G18" s="20">
        <v>400613000</v>
      </c>
      <c r="H18" s="20">
        <v>667945664</v>
      </c>
      <c r="I18" s="20">
        <v>532335531</v>
      </c>
    </row>
    <row r="19" ht="30" spans="1:9">
      <c r="A19" s="2">
        <v>4</v>
      </c>
      <c r="B19" s="19" t="s">
        <v>251</v>
      </c>
      <c r="C19" s="19" t="s">
        <v>252</v>
      </c>
      <c r="D19" s="23" t="s">
        <v>253</v>
      </c>
      <c r="E19" s="24"/>
      <c r="F19" s="24">
        <f t="shared" ref="F19:I19" si="1">F18/F16</f>
        <v>0.394858936976365</v>
      </c>
      <c r="G19" s="24">
        <f t="shared" si="1"/>
        <v>0.583647899533068</v>
      </c>
      <c r="H19" s="24">
        <f t="shared" si="1"/>
        <v>0.270136633881226</v>
      </c>
      <c r="I19" s="24">
        <f t="shared" si="1"/>
        <v>0.198078097874789</v>
      </c>
    </row>
    <row r="20" ht="15.75" spans="1:9">
      <c r="A20" s="2">
        <v>5</v>
      </c>
      <c r="B20" s="19" t="s">
        <v>254</v>
      </c>
      <c r="C20" s="19" t="s">
        <v>255</v>
      </c>
      <c r="D20" s="2" t="s">
        <v>246</v>
      </c>
      <c r="E20" s="2"/>
      <c r="F20" s="2">
        <v>5.63</v>
      </c>
      <c r="G20" s="2">
        <v>17.41</v>
      </c>
      <c r="H20" s="2">
        <v>26.72</v>
      </c>
      <c r="I20" s="2">
        <v>20.14</v>
      </c>
    </row>
    <row r="21" ht="31.5" spans="1:9">
      <c r="A21" s="2">
        <v>6</v>
      </c>
      <c r="B21" s="19" t="s">
        <v>256</v>
      </c>
      <c r="C21" s="19" t="s">
        <v>257</v>
      </c>
      <c r="D21" s="2" t="s">
        <v>246</v>
      </c>
      <c r="E21" s="25"/>
      <c r="F21" s="25">
        <v>88.91</v>
      </c>
      <c r="G21" s="25">
        <v>34.74</v>
      </c>
      <c r="H21" s="25">
        <v>23.65</v>
      </c>
      <c r="I21" s="93">
        <v>28.95</v>
      </c>
    </row>
    <row r="22" ht="31.5" spans="1:9">
      <c r="A22" s="2">
        <v>7</v>
      </c>
      <c r="B22" s="19" t="s">
        <v>258</v>
      </c>
      <c r="C22" s="19" t="s">
        <v>259</v>
      </c>
      <c r="D22" s="2" t="s">
        <v>246</v>
      </c>
      <c r="E22" s="2"/>
      <c r="F22" s="2"/>
      <c r="G22" s="2"/>
      <c r="H22" s="2"/>
    </row>
    <row r="23" ht="31.5" spans="1:9">
      <c r="A23" s="2">
        <v>8</v>
      </c>
      <c r="B23" s="19" t="s">
        <v>260</v>
      </c>
      <c r="C23" s="19" t="s">
        <v>261</v>
      </c>
      <c r="D23" s="2" t="s">
        <v>246</v>
      </c>
      <c r="E23" s="2"/>
      <c r="F23" s="2"/>
      <c r="G23" s="2"/>
      <c r="H23" s="2"/>
    </row>
    <row r="24" ht="14.5" customHeight="1" spans="1:9">
      <c r="A24" s="2">
        <v>9</v>
      </c>
      <c r="B24" s="19" t="s">
        <v>262</v>
      </c>
      <c r="C24" s="19" t="s">
        <v>263</v>
      </c>
      <c r="D24" s="2" t="s">
        <v>246</v>
      </c>
      <c r="E24" s="2"/>
      <c r="F24" s="2"/>
      <c r="G24" s="2"/>
      <c r="H24" s="2"/>
    </row>
    <row r="25" ht="19" customHeight="1" spans="1:9">
      <c r="A25" s="2">
        <v>10</v>
      </c>
      <c r="B25" s="19" t="s">
        <v>264</v>
      </c>
      <c r="C25" s="19" t="s">
        <v>265</v>
      </c>
      <c r="D25" s="26" t="s">
        <v>246</v>
      </c>
      <c r="E25" s="2"/>
      <c r="F25" s="2"/>
      <c r="G25" s="2"/>
      <c r="H25" s="2"/>
    </row>
    <row r="26" ht="15.75" spans="1:9">
      <c r="B26" s="19"/>
    </row>
    <row r="27" ht="18.75" spans="1:9">
      <c r="A27" s="88" t="s">
        <v>727</v>
      </c>
      <c r="B27" s="89"/>
      <c r="C27" s="89"/>
      <c r="D27" s="89"/>
      <c r="E27" s="89"/>
      <c r="F27" s="89"/>
      <c r="G27" s="89"/>
      <c r="H27" s="89"/>
      <c r="I27" s="90"/>
    </row>
    <row r="28" ht="37.5" spans="1:9">
      <c r="A28" s="91" t="s">
        <v>0</v>
      </c>
      <c r="B28" s="17" t="s">
        <v>241</v>
      </c>
      <c r="C28" s="17" t="s">
        <v>242</v>
      </c>
      <c r="D28" s="17" t="s">
        <v>1</v>
      </c>
      <c r="E28" s="18">
        <v>2078</v>
      </c>
      <c r="F28" s="18">
        <v>2079</v>
      </c>
      <c r="G28" s="18">
        <v>2080</v>
      </c>
      <c r="H28" s="18">
        <v>2081</v>
      </c>
      <c r="I28" s="18">
        <v>2082</v>
      </c>
    </row>
    <row r="29" ht="15.75" spans="1:9">
      <c r="A29" s="2">
        <v>1</v>
      </c>
      <c r="B29" s="19" t="s">
        <v>303</v>
      </c>
      <c r="C29" s="19" t="s">
        <v>245</v>
      </c>
      <c r="D29" s="2" t="s">
        <v>246</v>
      </c>
      <c r="E29" s="20">
        <v>884027000</v>
      </c>
      <c r="F29" s="20">
        <v>956167000</v>
      </c>
      <c r="G29" s="20">
        <v>962306000</v>
      </c>
      <c r="H29" s="20">
        <v>2528420164</v>
      </c>
      <c r="I29" s="20">
        <v>2478593156</v>
      </c>
    </row>
    <row r="30" ht="15.75" spans="1:9">
      <c r="A30" s="2">
        <v>2</v>
      </c>
      <c r="B30" s="19" t="s">
        <v>304</v>
      </c>
      <c r="C30" s="19" t="s">
        <v>248</v>
      </c>
      <c r="D30" s="2" t="s">
        <v>246</v>
      </c>
      <c r="E30" s="22"/>
      <c r="F30" s="92"/>
      <c r="G30" s="22"/>
      <c r="H30" s="22"/>
      <c r="I30" s="22"/>
    </row>
    <row r="31" ht="15.75" spans="1:9">
      <c r="A31" s="2">
        <v>3</v>
      </c>
      <c r="B31" s="19" t="s">
        <v>249</v>
      </c>
      <c r="C31" s="19" t="s">
        <v>250</v>
      </c>
      <c r="D31" s="2" t="s">
        <v>246</v>
      </c>
      <c r="E31" s="20">
        <v>540636000</v>
      </c>
      <c r="F31" s="20">
        <v>550128000</v>
      </c>
      <c r="G31" s="20">
        <v>553142000</v>
      </c>
      <c r="H31" s="20">
        <v>685711259</v>
      </c>
      <c r="I31" s="20">
        <v>550826282</v>
      </c>
    </row>
    <row r="32" ht="30" spans="1:9">
      <c r="A32" s="2">
        <v>4</v>
      </c>
      <c r="B32" s="19" t="s">
        <v>251</v>
      </c>
      <c r="C32" s="19" t="s">
        <v>252</v>
      </c>
      <c r="D32" s="23" t="s">
        <v>253</v>
      </c>
      <c r="E32" s="24">
        <f t="shared" ref="E32" si="2">E31/E29</f>
        <v>0.61156050663611</v>
      </c>
      <c r="F32" s="24">
        <f t="shared" ref="F32:I32" si="3">F31/F29</f>
        <v>0.575347193534184</v>
      </c>
      <c r="G32" s="24">
        <f t="shared" si="3"/>
        <v>0.574808844587896</v>
      </c>
      <c r="H32" s="24">
        <f t="shared" si="3"/>
        <v>0.271201467526344</v>
      </c>
      <c r="I32" s="24">
        <f t="shared" si="3"/>
        <v>0.222233439427765</v>
      </c>
    </row>
    <row r="33" ht="15.75" spans="1:9">
      <c r="A33" s="2">
        <v>5</v>
      </c>
      <c r="B33" s="19" t="s">
        <v>254</v>
      </c>
      <c r="C33" s="19" t="s">
        <v>255</v>
      </c>
      <c r="D33" s="2" t="s">
        <v>246</v>
      </c>
      <c r="E33" s="2">
        <v>41.04</v>
      </c>
      <c r="F33" s="2">
        <v>31.44</v>
      </c>
      <c r="G33" s="2">
        <v>27.49</v>
      </c>
      <c r="H33" s="2">
        <v>34.07</v>
      </c>
      <c r="I33" s="2">
        <v>20.14</v>
      </c>
    </row>
    <row r="34" ht="31.5" spans="1:9">
      <c r="A34" s="2">
        <v>6</v>
      </c>
      <c r="B34" s="19" t="s">
        <v>256</v>
      </c>
      <c r="C34" s="19" t="s">
        <v>257</v>
      </c>
      <c r="D34" s="2" t="s">
        <v>246</v>
      </c>
      <c r="E34" s="25">
        <v>32.85</v>
      </c>
      <c r="F34" s="25">
        <v>22.08</v>
      </c>
      <c r="G34" s="25">
        <v>32.42</v>
      </c>
      <c r="H34" s="25">
        <v>24.53</v>
      </c>
      <c r="I34" s="93">
        <v>32.44</v>
      </c>
    </row>
    <row r="35" ht="31.5" spans="1:9">
      <c r="A35" s="2">
        <v>7</v>
      </c>
      <c r="B35" s="19" t="s">
        <v>258</v>
      </c>
      <c r="C35" s="19" t="s">
        <v>259</v>
      </c>
      <c r="D35" s="2" t="s">
        <v>246</v>
      </c>
      <c r="E35" s="2"/>
      <c r="F35" s="2"/>
      <c r="G35" s="2"/>
      <c r="H35" s="2"/>
    </row>
    <row r="36" ht="31.5" spans="1:9">
      <c r="A36" s="2">
        <v>8</v>
      </c>
      <c r="B36" s="19" t="s">
        <v>260</v>
      </c>
      <c r="C36" s="19" t="s">
        <v>261</v>
      </c>
      <c r="D36" s="2" t="s">
        <v>246</v>
      </c>
      <c r="E36" s="2"/>
      <c r="F36" s="2"/>
      <c r="G36" s="2"/>
      <c r="H36" s="2"/>
    </row>
    <row r="37" ht="31.5" spans="1:9">
      <c r="A37" s="2">
        <v>9</v>
      </c>
      <c r="B37" s="19" t="s">
        <v>262</v>
      </c>
      <c r="C37" s="19" t="s">
        <v>263</v>
      </c>
      <c r="D37" s="2" t="s">
        <v>246</v>
      </c>
      <c r="E37" s="2"/>
      <c r="F37" s="2"/>
      <c r="G37" s="2"/>
      <c r="H37" s="2"/>
    </row>
    <row r="38" ht="31.5" spans="1:9">
      <c r="A38" s="2">
        <v>10</v>
      </c>
      <c r="B38" s="19" t="s">
        <v>264</v>
      </c>
      <c r="C38" s="19" t="s">
        <v>265</v>
      </c>
      <c r="D38" s="26" t="s">
        <v>246</v>
      </c>
      <c r="E38" s="2"/>
      <c r="F38" s="2"/>
      <c r="G38" s="2"/>
      <c r="H38" s="2"/>
    </row>
  </sheetData>
  <mergeCells count="4">
    <mergeCell ref="A1:I1"/>
    <mergeCell ref="A14:I14"/>
    <mergeCell ref="A27:I27"/>
    <mergeCell ref="J9:J10"/>
  </mergeCells>
  <pageMargins left="0.7" right="0.7" top="0.75" bottom="0.75" header="0.3" footer="0.3"/>
  <pageSetup paperSize="1" orientation="portrait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zoomScale="110" zoomScaleNormal="110" topLeftCell="L1" workbookViewId="0">
      <selection activeCell="Y9" sqref="Y9"/>
    </sheetView>
  </sheetViews>
  <sheetFormatPr defaultColWidth="9" defaultRowHeight="15"/>
  <cols>
    <col min="1" max="1" width="4.26666666666667" customWidth="1"/>
    <col min="2" max="2" width="21.0857142857143" customWidth="1"/>
    <col min="3" max="3" width="23.3619047619048" customWidth="1"/>
    <col min="4" max="4" width="9.72380952380952" customWidth="1"/>
    <col min="5" max="5" width="15.6285714285714" customWidth="1"/>
    <col min="6" max="6" width="15" customWidth="1"/>
    <col min="7" max="7" width="9.90476190476191" style="6" customWidth="1"/>
    <col min="8" max="8" width="14.6285714285714" style="6" customWidth="1"/>
    <col min="9" max="9" width="14.1809523809524" style="6" customWidth="1"/>
    <col min="10" max="10" width="9.90476190476191" style="6" customWidth="1"/>
    <col min="11" max="11" width="14.6285714285714" style="6" customWidth="1"/>
    <col min="12" max="12" width="14.1809523809524" style="6" customWidth="1"/>
    <col min="13" max="13" width="9.90476190476191" style="6" customWidth="1"/>
    <col min="14" max="14" width="14.6285714285714" style="6" customWidth="1"/>
    <col min="15" max="15" width="14.1809523809524" style="6" customWidth="1"/>
    <col min="16" max="16" width="9.90476190476191" style="6" customWidth="1"/>
    <col min="17" max="17" width="14.6285714285714" style="6" customWidth="1"/>
    <col min="18" max="18" width="14.1809523809524" style="6" customWidth="1"/>
    <col min="19" max="19" width="9.90476190476191" style="6" customWidth="1"/>
    <col min="20" max="20" width="14.6285714285714" style="6" customWidth="1"/>
    <col min="21" max="21" width="14.1809523809524" style="6" customWidth="1"/>
    <col min="22" max="22" width="9.90476190476191" style="6" customWidth="1"/>
    <col min="23" max="23" width="14.6285714285714" style="6" customWidth="1"/>
    <col min="24" max="24" width="14.1809523809524" style="6" customWidth="1"/>
    <col min="25" max="25" width="9.90476190476191" style="6" customWidth="1"/>
  </cols>
  <sheetData>
    <row r="1" ht="18.75" spans="1:25">
      <c r="A1" s="58" t="s">
        <v>728</v>
      </c>
      <c r="B1" s="59"/>
      <c r="C1" s="59"/>
      <c r="D1" s="60"/>
      <c r="E1" s="61" t="s">
        <v>729</v>
      </c>
      <c r="F1" s="62"/>
      <c r="G1" s="63"/>
      <c r="H1" s="61" t="s">
        <v>730</v>
      </c>
      <c r="I1" s="62"/>
      <c r="J1" s="63"/>
      <c r="K1" s="61" t="s">
        <v>731</v>
      </c>
      <c r="L1" s="62"/>
      <c r="M1" s="63"/>
      <c r="N1" s="61" t="s">
        <v>732</v>
      </c>
      <c r="O1" s="62"/>
      <c r="P1" s="63"/>
      <c r="Q1" s="61" t="s">
        <v>733</v>
      </c>
      <c r="R1" s="62"/>
      <c r="S1" s="63"/>
      <c r="T1" s="61" t="s">
        <v>734</v>
      </c>
      <c r="U1" s="62"/>
      <c r="V1" s="63"/>
      <c r="W1" s="61" t="s">
        <v>735</v>
      </c>
      <c r="X1" s="62"/>
      <c r="Y1" s="63"/>
    </row>
    <row r="2" ht="15.75" spans="1:25">
      <c r="A2" s="77" t="s">
        <v>0</v>
      </c>
      <c r="B2" s="77" t="s">
        <v>155</v>
      </c>
      <c r="C2" s="77" t="s">
        <v>156</v>
      </c>
      <c r="D2" s="77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</row>
    <row r="3" spans="1:25">
      <c r="A3" s="2">
        <v>1</v>
      </c>
      <c r="B3" s="2" t="s">
        <v>65</v>
      </c>
      <c r="C3" s="37" t="s">
        <v>161</v>
      </c>
      <c r="D3" s="2" t="s">
        <v>162</v>
      </c>
      <c r="E3" s="20">
        <v>1253570000</v>
      </c>
      <c r="F3" s="20">
        <v>64817120</v>
      </c>
      <c r="G3" s="38">
        <f>E3/F3</f>
        <v>19.3401064410143</v>
      </c>
      <c r="H3" s="20">
        <v>973893000</v>
      </c>
      <c r="I3" s="20">
        <v>245598130</v>
      </c>
      <c r="J3" s="38">
        <f>H3/I3</f>
        <v>3.96539257037503</v>
      </c>
      <c r="K3" s="20">
        <v>1145543000</v>
      </c>
      <c r="L3" s="20">
        <v>216000000</v>
      </c>
      <c r="M3" s="38">
        <f>K3/L3</f>
        <v>5.30343981481481</v>
      </c>
      <c r="N3" s="20">
        <v>64947721</v>
      </c>
      <c r="O3" s="20">
        <f>O5*2</f>
        <v>28314000</v>
      </c>
      <c r="P3" s="38">
        <f>N3/O3</f>
        <v>2.29383771279226</v>
      </c>
      <c r="Q3" s="20">
        <v>670855050</v>
      </c>
      <c r="R3" s="20">
        <v>12843722</v>
      </c>
      <c r="S3" s="38">
        <f>Q3/R3</f>
        <v>52.2321372262651</v>
      </c>
      <c r="T3" s="20">
        <v>573502143</v>
      </c>
      <c r="U3" s="20">
        <v>10342370</v>
      </c>
      <c r="V3" s="38">
        <f>T3/U3</f>
        <v>55.4517139688485</v>
      </c>
      <c r="W3" s="20">
        <v>5949048</v>
      </c>
      <c r="X3" s="20">
        <v>5556000</v>
      </c>
      <c r="Y3" s="49">
        <f>W3/X3</f>
        <v>1.07074298056156</v>
      </c>
    </row>
    <row r="4" spans="1:25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38"/>
      <c r="T4" s="20"/>
      <c r="U4" s="20"/>
      <c r="V4" s="38"/>
      <c r="W4" s="20"/>
      <c r="X4" s="20"/>
      <c r="Y4" s="49"/>
    </row>
    <row r="5" spans="1:25">
      <c r="A5" s="2"/>
      <c r="D5" s="2"/>
      <c r="E5" s="78"/>
      <c r="F5" s="20"/>
      <c r="G5" s="38"/>
      <c r="H5" s="78"/>
      <c r="I5" s="20"/>
      <c r="J5" s="38"/>
      <c r="K5" s="78"/>
      <c r="L5" s="20"/>
      <c r="M5" s="38"/>
      <c r="N5" s="78" t="s">
        <v>736</v>
      </c>
      <c r="O5" s="79">
        <v>14157000</v>
      </c>
      <c r="P5" s="38"/>
      <c r="Q5" s="78"/>
      <c r="R5" s="79"/>
      <c r="S5" s="38"/>
      <c r="T5" s="78"/>
      <c r="U5" s="79"/>
      <c r="V5" s="38"/>
      <c r="W5" s="87" t="s">
        <v>737</v>
      </c>
      <c r="X5" s="79"/>
      <c r="Y5" s="38"/>
    </row>
    <row r="6" spans="1:25">
      <c r="A6" s="2">
        <v>2</v>
      </c>
      <c r="B6" s="41" t="s">
        <v>166</v>
      </c>
      <c r="C6" s="37" t="s">
        <v>167</v>
      </c>
      <c r="D6" s="2" t="s">
        <v>168</v>
      </c>
      <c r="E6" s="20">
        <v>1975</v>
      </c>
      <c r="F6" s="42">
        <f>G3</f>
        <v>19.3401064410143</v>
      </c>
      <c r="G6" s="38">
        <f>E6/F6</f>
        <v>102.119396603301</v>
      </c>
      <c r="H6" s="20">
        <v>292</v>
      </c>
      <c r="I6" s="42">
        <f>J3</f>
        <v>3.96539257037503</v>
      </c>
      <c r="J6" s="38">
        <f>H6/I6</f>
        <v>73.6370976688404</v>
      </c>
      <c r="K6" s="42">
        <v>281.63</v>
      </c>
      <c r="L6" s="42">
        <f>M3</f>
        <v>5.30343981481481</v>
      </c>
      <c r="M6" s="38">
        <f>K6/L6</f>
        <v>53.1032706760026</v>
      </c>
      <c r="N6" s="20">
        <v>1220</v>
      </c>
      <c r="O6" s="42">
        <f>P3</f>
        <v>2.29383771279226</v>
      </c>
      <c r="P6" s="43">
        <f>N6/O6</f>
        <v>531.859770722363</v>
      </c>
      <c r="Q6" s="20">
        <v>2279</v>
      </c>
      <c r="R6" s="42">
        <f>S3</f>
        <v>52.2321372262651</v>
      </c>
      <c r="S6" s="38">
        <f>Q6/R6</f>
        <v>43.6321414558927</v>
      </c>
      <c r="T6" s="20">
        <v>2642</v>
      </c>
      <c r="U6" s="42">
        <f>V3</f>
        <v>55.4517139688485</v>
      </c>
      <c r="V6" s="38">
        <f>T6/U6</f>
        <v>47.6450556872636</v>
      </c>
      <c r="W6" s="20">
        <v>1099</v>
      </c>
      <c r="X6" s="42">
        <f>Y3</f>
        <v>1.07074298056156</v>
      </c>
      <c r="Y6" s="49">
        <f>W6/X6</f>
        <v>1026.3901047697</v>
      </c>
    </row>
    <row r="7" spans="1:25">
      <c r="A7" s="2"/>
      <c r="B7" s="41"/>
      <c r="C7" s="2" t="s">
        <v>169</v>
      </c>
      <c r="D7" s="2"/>
      <c r="E7" s="20"/>
      <c r="F7" s="42"/>
      <c r="G7" s="38"/>
      <c r="H7" s="20"/>
      <c r="I7" s="42"/>
      <c r="J7" s="38"/>
      <c r="K7" s="42"/>
      <c r="L7" s="42"/>
      <c r="M7" s="38"/>
      <c r="N7" s="20"/>
      <c r="O7" s="42"/>
      <c r="P7" s="43"/>
      <c r="Q7" s="20"/>
      <c r="R7" s="42"/>
      <c r="S7" s="38"/>
      <c r="T7" s="20"/>
      <c r="U7" s="42"/>
      <c r="V7" s="38"/>
      <c r="W7" s="20"/>
      <c r="X7" s="42"/>
      <c r="Y7" s="49"/>
    </row>
    <row r="8" spans="1:25">
      <c r="A8" s="2"/>
      <c r="B8" s="41"/>
      <c r="C8" s="2"/>
      <c r="D8" s="2"/>
      <c r="E8" s="20"/>
      <c r="F8" s="42"/>
      <c r="G8" s="38"/>
      <c r="H8" s="20"/>
      <c r="I8" s="42"/>
      <c r="J8" s="80"/>
      <c r="K8" s="81" t="s">
        <v>738</v>
      </c>
      <c r="L8" s="42"/>
      <c r="M8" s="80"/>
      <c r="N8" s="81"/>
      <c r="O8" s="42"/>
      <c r="P8" s="80"/>
      <c r="Q8" s="81"/>
      <c r="R8" s="42"/>
      <c r="S8" s="80"/>
      <c r="T8" s="81"/>
      <c r="U8" s="42"/>
      <c r="V8" s="80"/>
      <c r="W8" s="81"/>
      <c r="X8" s="42"/>
      <c r="Y8" s="80"/>
    </row>
    <row r="9" spans="1:25">
      <c r="A9" s="2">
        <v>3</v>
      </c>
      <c r="B9" s="2" t="s">
        <v>170</v>
      </c>
      <c r="C9" s="2" t="s">
        <v>171</v>
      </c>
      <c r="D9" s="2" t="s">
        <v>172</v>
      </c>
      <c r="E9" s="82">
        <f>E3</f>
        <v>1253570000</v>
      </c>
      <c r="F9" s="20">
        <v>1102410000</v>
      </c>
      <c r="G9" s="38">
        <f>((E9-F9)/F9)*100</f>
        <v>13.7117769251005</v>
      </c>
      <c r="H9" s="20">
        <f>H3</f>
        <v>973893000</v>
      </c>
      <c r="I9" s="20">
        <v>1452563000</v>
      </c>
      <c r="J9" s="49">
        <f>((H9-I9)/I9)*100</f>
        <v>-32.9534760282342</v>
      </c>
      <c r="K9" s="20">
        <f>K3</f>
        <v>1145543000</v>
      </c>
      <c r="L9" s="20">
        <v>1329841000</v>
      </c>
      <c r="M9" s="49">
        <f>((K9-L9)/L9)*100</f>
        <v>-13.8586492670928</v>
      </c>
      <c r="N9" s="20">
        <f>N3</f>
        <v>64947721</v>
      </c>
      <c r="O9" s="20">
        <v>64753225</v>
      </c>
      <c r="P9" s="38">
        <f>((N9-O9)/O9)*100</f>
        <v>0.300364962517311</v>
      </c>
      <c r="Q9" s="20">
        <f>Q3</f>
        <v>670855050</v>
      </c>
      <c r="R9" s="20">
        <v>67829560</v>
      </c>
      <c r="S9" s="38">
        <f>((Q9-R9)/R9)*100</f>
        <v>889.030520026962</v>
      </c>
      <c r="T9" s="20">
        <f>T3</f>
        <v>573502143</v>
      </c>
      <c r="U9" s="20">
        <v>82023393</v>
      </c>
      <c r="V9" s="38">
        <f>((T9-U9)/U9)*100</f>
        <v>599.193391085394</v>
      </c>
      <c r="W9" s="20">
        <f>W3</f>
        <v>5949048</v>
      </c>
      <c r="X9" s="20">
        <v>14876185</v>
      </c>
      <c r="Y9" s="49">
        <f>((W9-X9)/X9)*100</f>
        <v>-60.0095857909807</v>
      </c>
    </row>
    <row r="10" spans="1:25">
      <c r="A10" s="2"/>
      <c r="B10" s="41"/>
      <c r="C10" s="2"/>
      <c r="D10" s="2"/>
      <c r="E10" s="20"/>
      <c r="F10" s="42"/>
      <c r="G10" s="38"/>
      <c r="H10" s="20"/>
      <c r="I10" s="42"/>
      <c r="J10" s="80"/>
      <c r="K10" s="20"/>
      <c r="L10" s="42"/>
      <c r="M10" s="80"/>
      <c r="N10" s="20"/>
      <c r="O10" s="42"/>
      <c r="P10" s="80"/>
      <c r="Q10" s="20"/>
      <c r="R10" s="42"/>
      <c r="S10" s="80"/>
      <c r="T10" s="20"/>
      <c r="U10" s="42"/>
      <c r="V10" s="80"/>
      <c r="W10" s="20"/>
      <c r="X10" s="42"/>
      <c r="Y10" s="80"/>
    </row>
    <row r="11" spans="1:25">
      <c r="A11" s="2">
        <v>4</v>
      </c>
      <c r="B11" s="2" t="s">
        <v>173</v>
      </c>
      <c r="C11" s="41" t="s">
        <v>174</v>
      </c>
      <c r="D11" s="41" t="s">
        <v>172</v>
      </c>
      <c r="E11" s="20">
        <v>26599028000</v>
      </c>
      <c r="F11" s="20">
        <v>23467645000</v>
      </c>
      <c r="G11" s="38">
        <f>((E11-F11)/F11)*100</f>
        <v>13.3434053566091</v>
      </c>
      <c r="H11" s="20">
        <v>28251698000</v>
      </c>
      <c r="I11" s="20">
        <v>26235764000</v>
      </c>
      <c r="J11" s="38">
        <f>((H11-I11)/I11)*100</f>
        <v>7.68391574188577</v>
      </c>
      <c r="K11" s="20">
        <v>25677103000</v>
      </c>
      <c r="L11" s="20">
        <v>24523024000</v>
      </c>
      <c r="M11" s="38">
        <f>((K11-L11)/L11)*100</f>
        <v>4.7061039454188</v>
      </c>
      <c r="N11" s="20">
        <v>2134173372</v>
      </c>
      <c r="O11" s="20">
        <v>2012817235</v>
      </c>
      <c r="P11" s="38">
        <f>((N11-O11)/O11)*100</f>
        <v>6.02916821705375</v>
      </c>
      <c r="Q11" s="20">
        <v>3212816680</v>
      </c>
      <c r="R11" s="20">
        <v>1944764590</v>
      </c>
      <c r="S11" s="38">
        <f>((Q11-R11)/R11)*100</f>
        <v>65.2033719926996</v>
      </c>
      <c r="T11" s="20">
        <v>1998677451</v>
      </c>
      <c r="U11" s="20">
        <v>1414495410</v>
      </c>
      <c r="V11" s="38">
        <f>((T11-U11)/U11)*100</f>
        <v>41.2996773881366</v>
      </c>
      <c r="W11" s="20">
        <v>604841782</v>
      </c>
      <c r="X11" s="20">
        <v>595386622</v>
      </c>
      <c r="Y11" s="38">
        <f>((W11-X11)/X11)*100</f>
        <v>1.58807061674288</v>
      </c>
    </row>
    <row r="12" spans="1:25">
      <c r="A12" s="2"/>
      <c r="B12" s="2"/>
      <c r="C12" s="41"/>
      <c r="D12" s="41"/>
      <c r="E12" s="20"/>
      <c r="F12" s="20"/>
      <c r="G12" s="38"/>
      <c r="H12" s="20"/>
      <c r="I12" s="20"/>
      <c r="J12" s="38"/>
      <c r="K12" s="20"/>
      <c r="L12" s="20"/>
      <c r="M12" s="38"/>
      <c r="N12" s="20"/>
      <c r="O12" s="20"/>
      <c r="P12" s="38"/>
      <c r="Q12" s="20"/>
      <c r="R12" s="20"/>
      <c r="S12" s="38"/>
      <c r="T12" s="20"/>
      <c r="U12" s="20"/>
      <c r="V12" s="38"/>
      <c r="W12" s="20"/>
      <c r="X12" s="20"/>
      <c r="Y12" s="38"/>
    </row>
    <row r="13" spans="1:25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</row>
    <row r="14" spans="1:25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1253570000</v>
      </c>
      <c r="F14" s="20">
        <f>E11</f>
        <v>26599028000</v>
      </c>
      <c r="G14" s="44">
        <f>(E14/F14)</f>
        <v>0.0471284138653488</v>
      </c>
      <c r="H14" s="20">
        <f>H3</f>
        <v>973893000</v>
      </c>
      <c r="I14" s="20">
        <f>H11</f>
        <v>28251698000</v>
      </c>
      <c r="J14" s="44">
        <f>(H14/I14)</f>
        <v>0.0344720165138393</v>
      </c>
      <c r="K14" s="20">
        <f>K3</f>
        <v>1145543000</v>
      </c>
      <c r="L14" s="20">
        <f>K11</f>
        <v>25677103000</v>
      </c>
      <c r="M14" s="44">
        <f>(K14/L14)</f>
        <v>0.0446134051804832</v>
      </c>
      <c r="N14" s="20">
        <f>N3</f>
        <v>64947721</v>
      </c>
      <c r="O14" s="20">
        <f>N11</f>
        <v>2134173372</v>
      </c>
      <c r="P14" s="44">
        <f>(N14/O14)</f>
        <v>0.0304322609644105</v>
      </c>
      <c r="Q14" s="20">
        <f>Q3</f>
        <v>670855050</v>
      </c>
      <c r="R14" s="20">
        <f>Q11</f>
        <v>3212816680</v>
      </c>
      <c r="S14" s="44">
        <f>(Q14/R14)</f>
        <v>0.208805891159654</v>
      </c>
      <c r="T14" s="20">
        <f>T3</f>
        <v>573502143</v>
      </c>
      <c r="U14" s="20">
        <f>T11</f>
        <v>1998677451</v>
      </c>
      <c r="V14" s="44">
        <f>(T14/U14)</f>
        <v>0.286940818146049</v>
      </c>
      <c r="W14" s="20">
        <f>W3</f>
        <v>5949048</v>
      </c>
      <c r="X14" s="20">
        <f>W11</f>
        <v>604841782</v>
      </c>
      <c r="Y14" s="44">
        <f>(W14/X14)</f>
        <v>0.00983570939879282</v>
      </c>
    </row>
    <row r="15" spans="1:25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44"/>
      <c r="K15" s="20"/>
      <c r="L15" s="2"/>
      <c r="M15" s="44"/>
      <c r="N15" s="20"/>
      <c r="O15" s="2"/>
      <c r="P15" s="44"/>
      <c r="Q15" s="20"/>
      <c r="R15" s="2"/>
      <c r="S15" s="44"/>
      <c r="T15" s="20"/>
      <c r="U15" s="2"/>
      <c r="V15" s="44"/>
      <c r="W15" s="20"/>
      <c r="X15" s="2"/>
      <c r="Y15" s="44"/>
    </row>
    <row r="16" spans="1:25">
      <c r="A16" s="2"/>
      <c r="B16" s="41"/>
      <c r="C16" s="2"/>
      <c r="D16" s="2"/>
      <c r="E16" s="20"/>
      <c r="F16" s="42"/>
      <c r="G16" s="38"/>
      <c r="H16" s="20"/>
      <c r="I16" s="42"/>
      <c r="J16" s="38"/>
      <c r="K16" s="20"/>
      <c r="L16" s="42"/>
      <c r="M16" s="38"/>
      <c r="N16" s="20"/>
      <c r="O16" s="42"/>
      <c r="P16" s="38"/>
      <c r="Q16" s="20"/>
      <c r="R16" s="42"/>
      <c r="S16" s="38"/>
      <c r="T16" s="20"/>
      <c r="U16" s="42"/>
      <c r="V16" s="38"/>
      <c r="W16" s="20"/>
      <c r="X16" s="42"/>
      <c r="Y16" s="38"/>
    </row>
    <row r="17" spans="1:25">
      <c r="A17" s="2">
        <v>6</v>
      </c>
      <c r="B17" s="2" t="s">
        <v>180</v>
      </c>
      <c r="C17" s="37" t="s">
        <v>176</v>
      </c>
      <c r="D17" s="2" t="s">
        <v>181</v>
      </c>
      <c r="E17" s="20">
        <v>10645119000</v>
      </c>
      <c r="F17" s="20">
        <f>F3</f>
        <v>64817120</v>
      </c>
      <c r="G17" s="38">
        <f>E17/F17</f>
        <v>164.233137788288</v>
      </c>
      <c r="H17" s="20">
        <f>H11</f>
        <v>28251698000</v>
      </c>
      <c r="I17" s="20">
        <f>I3</f>
        <v>245598130</v>
      </c>
      <c r="J17" s="38">
        <f>H17/I17</f>
        <v>115.032219504277</v>
      </c>
      <c r="K17" s="20">
        <f>K11</f>
        <v>25677103000</v>
      </c>
      <c r="L17" s="20">
        <f>L3</f>
        <v>216000000</v>
      </c>
      <c r="M17" s="38">
        <f>K17/L17</f>
        <v>118.875476851852</v>
      </c>
      <c r="N17" s="20">
        <f>N11</f>
        <v>2134173372</v>
      </c>
      <c r="O17" s="20">
        <f>O3</f>
        <v>28314000</v>
      </c>
      <c r="P17" s="38">
        <f>N17/O17</f>
        <v>75.3751985590167</v>
      </c>
      <c r="Q17" s="20">
        <f>Q11</f>
        <v>3212816680</v>
      </c>
      <c r="R17" s="20">
        <f>R3</f>
        <v>12843722</v>
      </c>
      <c r="S17" s="38">
        <f>Q17/R17</f>
        <v>250.146856183901</v>
      </c>
      <c r="T17" s="20">
        <f>T11</f>
        <v>1998677451</v>
      </c>
      <c r="U17" s="20">
        <f>U3</f>
        <v>10342370</v>
      </c>
      <c r="V17" s="38">
        <f>T17/U17</f>
        <v>193.251397020219</v>
      </c>
      <c r="W17" s="20">
        <f>W11</f>
        <v>604841782</v>
      </c>
      <c r="X17" s="20">
        <f>X3</f>
        <v>5556000</v>
      </c>
      <c r="Y17" s="38">
        <f>W17/X17</f>
        <v>108.862811735061</v>
      </c>
    </row>
    <row r="18" spans="1:25">
      <c r="A18" s="2"/>
      <c r="B18" s="2"/>
      <c r="C18" s="6" t="s">
        <v>163</v>
      </c>
      <c r="D18" s="2"/>
      <c r="E18" s="20"/>
      <c r="F18" s="20"/>
      <c r="G18" s="38"/>
      <c r="H18" s="20"/>
      <c r="I18" s="20"/>
      <c r="J18" s="38"/>
      <c r="K18" s="20"/>
      <c r="L18" s="20"/>
      <c r="M18" s="38"/>
      <c r="N18" s="20"/>
      <c r="O18" s="20"/>
      <c r="P18" s="38"/>
      <c r="Q18" s="20"/>
      <c r="R18" s="20"/>
      <c r="S18" s="38"/>
      <c r="T18" s="20"/>
      <c r="U18" s="20"/>
      <c r="V18" s="38"/>
      <c r="W18" s="20"/>
      <c r="X18" s="20"/>
      <c r="Y18" s="38"/>
    </row>
    <row r="19" spans="1:25">
      <c r="A19" s="2"/>
      <c r="B19" s="2"/>
      <c r="C19" s="6"/>
      <c r="D19" s="2"/>
      <c r="E19" s="20"/>
      <c r="F19" s="20"/>
      <c r="G19" s="38"/>
      <c r="H19" s="20"/>
      <c r="I19" s="20"/>
      <c r="J19" s="38"/>
      <c r="K19" s="20"/>
      <c r="L19" s="20"/>
      <c r="M19" s="38"/>
      <c r="N19" s="20"/>
      <c r="O19" s="20"/>
      <c r="P19" s="84" t="s">
        <v>739</v>
      </c>
      <c r="Q19" s="20"/>
      <c r="R19" s="20"/>
      <c r="S19" s="84"/>
      <c r="T19" s="20"/>
      <c r="U19" s="20"/>
      <c r="V19" s="84"/>
      <c r="W19" s="20"/>
      <c r="X19" s="20"/>
      <c r="Y19" s="84"/>
    </row>
    <row r="20" spans="1:25">
      <c r="A20" s="2">
        <v>7</v>
      </c>
      <c r="B20" s="2" t="s">
        <v>182</v>
      </c>
      <c r="C20" s="37" t="s">
        <v>183</v>
      </c>
      <c r="D20" s="50" t="s">
        <v>184</v>
      </c>
      <c r="E20" s="20">
        <f>E6</f>
        <v>1975</v>
      </c>
      <c r="F20" s="42">
        <f>G17</f>
        <v>164.233137788288</v>
      </c>
      <c r="G20" s="38">
        <f>E20/F20</f>
        <v>12.0255876895317</v>
      </c>
      <c r="H20" s="20">
        <f>H6</f>
        <v>292</v>
      </c>
      <c r="I20" s="42">
        <f>J17</f>
        <v>115.032219504277</v>
      </c>
      <c r="J20" s="38">
        <f>H20/I20</f>
        <v>2.53841924687146</v>
      </c>
      <c r="K20" s="20">
        <f>K6</f>
        <v>281.63</v>
      </c>
      <c r="L20" s="42">
        <f>M17</f>
        <v>118.875476851852</v>
      </c>
      <c r="M20" s="38">
        <f>K20/L20</f>
        <v>2.36911773107737</v>
      </c>
      <c r="N20" s="20">
        <f>N6</f>
        <v>1220</v>
      </c>
      <c r="O20" s="42">
        <f>P17</f>
        <v>75.3751985590167</v>
      </c>
      <c r="P20" s="38">
        <f>N20/O20</f>
        <v>16.1856953390945</v>
      </c>
      <c r="Q20" s="20">
        <f>Q6</f>
        <v>2279</v>
      </c>
      <c r="R20" s="42">
        <f>S17</f>
        <v>250.146856183901</v>
      </c>
      <c r="S20" s="38">
        <f>Q20/R20</f>
        <v>9.11064817990176</v>
      </c>
      <c r="T20" s="20">
        <f>T6</f>
        <v>2642</v>
      </c>
      <c r="U20" s="42">
        <f>V17</f>
        <v>193.251397020219</v>
      </c>
      <c r="V20" s="38">
        <f>T20/U20</f>
        <v>13.6713112595175</v>
      </c>
      <c r="W20" s="20">
        <f>W6</f>
        <v>1099</v>
      </c>
      <c r="X20" s="42">
        <f>Y17</f>
        <v>108.862811735061</v>
      </c>
      <c r="Y20" s="38">
        <f>W20/X20</f>
        <v>10.0952748003113</v>
      </c>
    </row>
    <row r="21" spans="1:25">
      <c r="A21" s="2"/>
      <c r="B21" s="2"/>
      <c r="C21" s="2" t="s">
        <v>185</v>
      </c>
      <c r="D21" s="2"/>
      <c r="E21" s="20"/>
      <c r="F21" s="42"/>
      <c r="G21" s="38"/>
      <c r="H21" s="20"/>
      <c r="I21" s="42"/>
      <c r="J21" s="38"/>
      <c r="K21" s="20"/>
      <c r="L21" s="42"/>
      <c r="M21" s="38"/>
      <c r="N21" s="20"/>
      <c r="O21" s="42"/>
      <c r="P21" s="38"/>
      <c r="Q21" s="20"/>
      <c r="R21" s="42"/>
      <c r="S21" s="38"/>
      <c r="T21" s="20"/>
      <c r="U21" s="42"/>
      <c r="V21" s="38"/>
      <c r="W21" s="20"/>
      <c r="X21" s="42"/>
      <c r="Y21" s="38"/>
    </row>
    <row r="22" spans="1:25">
      <c r="A22" s="2"/>
      <c r="B22" s="2"/>
      <c r="C22" s="2"/>
      <c r="D22" s="2"/>
      <c r="E22" s="20"/>
      <c r="F22" s="2"/>
      <c r="G22" s="85"/>
      <c r="H22" s="20"/>
      <c r="I22" s="2"/>
      <c r="J22" s="85"/>
      <c r="K22" s="20"/>
      <c r="L22" s="2"/>
      <c r="M22" s="85"/>
      <c r="N22" s="20"/>
      <c r="O22" s="2"/>
      <c r="P22" s="85"/>
      <c r="Q22" s="20"/>
      <c r="R22" s="2"/>
      <c r="S22" s="85"/>
      <c r="T22" s="20"/>
      <c r="U22" s="2"/>
      <c r="V22" s="85"/>
      <c r="W22" s="20"/>
      <c r="X22" s="2"/>
      <c r="Y22" s="85"/>
    </row>
    <row r="23" spans="1:25">
      <c r="A23" s="2">
        <v>8</v>
      </c>
      <c r="B23" s="2" t="s">
        <v>186</v>
      </c>
      <c r="C23" s="37" t="s">
        <v>187</v>
      </c>
      <c r="D23" s="41" t="s">
        <v>295</v>
      </c>
      <c r="E23" s="42">
        <v>13</v>
      </c>
      <c r="F23" s="20">
        <f>E6</f>
        <v>1975</v>
      </c>
      <c r="G23" s="38">
        <f>(E23/F23)*100</f>
        <v>0.658227848101266</v>
      </c>
      <c r="H23" s="42">
        <v>5.25</v>
      </c>
      <c r="I23" s="20">
        <f>H6</f>
        <v>292</v>
      </c>
      <c r="J23" s="38">
        <f>(H23/I23)*100</f>
        <v>1.79794520547945</v>
      </c>
      <c r="K23" s="42">
        <v>0</v>
      </c>
      <c r="L23" s="20">
        <f>K6</f>
        <v>281.63</v>
      </c>
      <c r="M23" s="38">
        <f>(K23/L23)*100</f>
        <v>0</v>
      </c>
      <c r="N23" s="42">
        <v>10.52</v>
      </c>
      <c r="O23" s="20">
        <f>N6</f>
        <v>1220</v>
      </c>
      <c r="P23" s="38">
        <f>(N23/O23)*100</f>
        <v>0.862295081967213</v>
      </c>
      <c r="Q23" s="42">
        <v>5.26</v>
      </c>
      <c r="R23" s="20">
        <f>Q6</f>
        <v>2279</v>
      </c>
      <c r="S23" s="38">
        <f>(Q23/R23)*100</f>
        <v>0.230802983764809</v>
      </c>
      <c r="T23" s="42">
        <v>11</v>
      </c>
      <c r="U23" s="20">
        <f>T6</f>
        <v>2642</v>
      </c>
      <c r="V23" s="38">
        <f>(T23/U23)*100</f>
        <v>0.416351249053747</v>
      </c>
      <c r="W23" s="42">
        <v>0</v>
      </c>
      <c r="X23" s="20">
        <f>W6</f>
        <v>1099</v>
      </c>
      <c r="Y23" s="38">
        <f>(W23/X23)*100</f>
        <v>0</v>
      </c>
    </row>
    <row r="24" spans="1:25">
      <c r="A24" s="2"/>
      <c r="B24" s="2"/>
      <c r="C24" s="2" t="s">
        <v>189</v>
      </c>
      <c r="D24" s="41"/>
      <c r="E24" s="42"/>
      <c r="F24" s="20"/>
      <c r="G24" s="38"/>
      <c r="H24" s="42"/>
      <c r="I24" s="20"/>
      <c r="J24" s="38"/>
      <c r="K24" s="42"/>
      <c r="L24" s="20"/>
      <c r="M24" s="38"/>
      <c r="N24" s="42"/>
      <c r="O24" s="20"/>
      <c r="P24" s="38"/>
      <c r="Q24" s="42"/>
      <c r="R24" s="20"/>
      <c r="S24" s="38"/>
      <c r="T24" s="42"/>
      <c r="U24" s="20"/>
      <c r="V24" s="38"/>
      <c r="W24" s="42"/>
      <c r="X24" s="20"/>
      <c r="Y24" s="38"/>
    </row>
    <row r="25" spans="1:25">
      <c r="A25" s="2"/>
      <c r="B25" s="2"/>
      <c r="C25" s="2"/>
      <c r="D25" s="41"/>
      <c r="E25" s="86"/>
      <c r="F25" s="20"/>
      <c r="G25" s="38"/>
      <c r="H25" s="86"/>
      <c r="I25" s="20"/>
      <c r="J25" s="38"/>
      <c r="K25" s="86"/>
      <c r="L25" s="20"/>
      <c r="M25" s="38"/>
      <c r="N25" s="86"/>
      <c r="O25" s="20"/>
      <c r="P25" s="38"/>
      <c r="Q25" s="86"/>
      <c r="R25" s="20"/>
      <c r="S25" s="38"/>
      <c r="T25" s="86"/>
      <c r="U25" s="20"/>
      <c r="V25" s="38"/>
      <c r="W25" s="86"/>
      <c r="X25" s="20"/>
      <c r="Y25" s="38"/>
    </row>
    <row r="26" spans="1:25">
      <c r="A26" s="2">
        <v>9</v>
      </c>
      <c r="B26" s="2" t="s">
        <v>740</v>
      </c>
      <c r="C26" s="37" t="s">
        <v>741</v>
      </c>
      <c r="D26" s="41" t="s">
        <v>742</v>
      </c>
      <c r="E26" s="20">
        <v>311066708000</v>
      </c>
      <c r="F26" s="20">
        <f>F3</f>
        <v>64817120</v>
      </c>
      <c r="G26" s="38">
        <f>E26/F26</f>
        <v>4799.14423843577</v>
      </c>
      <c r="H26" s="20">
        <v>28793615000</v>
      </c>
      <c r="I26" s="20">
        <f>I3</f>
        <v>245598130</v>
      </c>
      <c r="J26" s="38">
        <f>H26/I26</f>
        <v>117.238738747726</v>
      </c>
      <c r="K26" s="20">
        <v>41411997000</v>
      </c>
      <c r="L26" s="20">
        <f>L3</f>
        <v>216000000</v>
      </c>
      <c r="M26" s="38">
        <f>K26/L26</f>
        <v>191.722208333333</v>
      </c>
      <c r="N26" s="20">
        <v>2687552154</v>
      </c>
      <c r="O26" s="20">
        <f>O3</f>
        <v>28314000</v>
      </c>
      <c r="P26" s="38">
        <f>N26/O26</f>
        <v>94.9195505403687</v>
      </c>
      <c r="Q26" s="20">
        <v>3949338510</v>
      </c>
      <c r="R26" s="20">
        <f>R3</f>
        <v>12843722</v>
      </c>
      <c r="S26" s="38">
        <f>Q26/R26</f>
        <v>307.49174655135</v>
      </c>
      <c r="T26" s="20">
        <v>2015554968</v>
      </c>
      <c r="U26" s="20">
        <f>U3</f>
        <v>10342370</v>
      </c>
      <c r="V26" s="38">
        <f>T26/U26</f>
        <v>194.883278010746</v>
      </c>
      <c r="W26" s="20">
        <v>612906204</v>
      </c>
      <c r="X26" s="20">
        <f>X3</f>
        <v>5556000</v>
      </c>
      <c r="Y26" s="38">
        <f>W26/X26</f>
        <v>110.314291576674</v>
      </c>
    </row>
    <row r="27" spans="1:25">
      <c r="A27" s="2"/>
      <c r="B27" s="2"/>
      <c r="C27" s="2" t="s">
        <v>163</v>
      </c>
      <c r="D27" s="41"/>
      <c r="E27" s="20"/>
      <c r="F27" s="20"/>
      <c r="G27" s="38"/>
      <c r="H27" s="20"/>
      <c r="I27" s="20"/>
      <c r="J27" s="38"/>
      <c r="K27" s="20"/>
      <c r="L27" s="20"/>
      <c r="M27" s="38"/>
      <c r="N27" s="20"/>
      <c r="O27" s="20"/>
      <c r="P27" s="38"/>
      <c r="Q27" s="20"/>
      <c r="R27" s="20"/>
      <c r="S27" s="38"/>
      <c r="T27" s="20"/>
      <c r="U27" s="20"/>
      <c r="V27" s="38"/>
      <c r="W27" s="20"/>
      <c r="X27" s="20"/>
      <c r="Y27" s="38"/>
    </row>
    <row r="28" spans="1:25">
      <c r="A28" s="2"/>
      <c r="B28" s="2"/>
      <c r="C28" s="2"/>
      <c r="D28" s="41"/>
      <c r="E28" s="86"/>
      <c r="F28" s="20"/>
      <c r="G28" s="38"/>
      <c r="H28" s="86"/>
      <c r="I28" s="20"/>
      <c r="J28" s="38"/>
      <c r="K28" s="86"/>
      <c r="L28" s="20"/>
      <c r="M28" s="38"/>
      <c r="N28" s="86"/>
      <c r="O28" s="20"/>
      <c r="P28" s="38"/>
      <c r="Q28" s="86"/>
      <c r="R28" s="20"/>
      <c r="S28" s="38"/>
      <c r="T28" s="86"/>
      <c r="U28" s="20"/>
      <c r="V28" s="38"/>
      <c r="W28" s="86"/>
      <c r="X28" s="20"/>
      <c r="Y28" s="38"/>
    </row>
    <row r="29" ht="14.5" customHeight="1" spans="1:25">
      <c r="A29" s="2">
        <v>10</v>
      </c>
      <c r="B29" s="2" t="s">
        <v>743</v>
      </c>
      <c r="C29" s="37" t="s">
        <v>744</v>
      </c>
      <c r="D29" s="41" t="s">
        <v>742</v>
      </c>
      <c r="E29" s="20">
        <f>E3</f>
        <v>1253570000</v>
      </c>
      <c r="F29" s="20">
        <f>E26</f>
        <v>311066708000</v>
      </c>
      <c r="G29" s="38">
        <f>(E29/F29)*100</f>
        <v>0.402990730849924</v>
      </c>
      <c r="H29" s="20">
        <f>H3</f>
        <v>973893000</v>
      </c>
      <c r="I29" s="20">
        <f>H26</f>
        <v>28793615000</v>
      </c>
      <c r="J29" s="38">
        <f>(H29/I29)*100</f>
        <v>3.38232278232518</v>
      </c>
      <c r="K29" s="20">
        <f>K3</f>
        <v>1145543000</v>
      </c>
      <c r="L29" s="20">
        <f>K26</f>
        <v>41411997000</v>
      </c>
      <c r="M29" s="38">
        <f>(K29/L29)*100</f>
        <v>2.76621047760628</v>
      </c>
      <c r="N29" s="20">
        <f>N3</f>
        <v>64947721</v>
      </c>
      <c r="O29" s="20">
        <f>N26</f>
        <v>2687552154</v>
      </c>
      <c r="P29" s="38">
        <f>(N29/O29)*100</f>
        <v>2.41661248892735</v>
      </c>
      <c r="Q29" s="20">
        <f>Q3</f>
        <v>670855050</v>
      </c>
      <c r="R29" s="20">
        <f>Q26</f>
        <v>3949338510</v>
      </c>
      <c r="S29" s="38">
        <f>(Q29/R29)*100</f>
        <v>16.9865168129131</v>
      </c>
      <c r="T29" s="20">
        <f>T3</f>
        <v>573502143</v>
      </c>
      <c r="U29" s="20">
        <f>T26</f>
        <v>2015554968</v>
      </c>
      <c r="V29" s="38">
        <f>(T29/U29)*100</f>
        <v>28.4538081126647</v>
      </c>
      <c r="W29" s="20">
        <f>W3</f>
        <v>5949048</v>
      </c>
      <c r="X29" s="20">
        <f>W26</f>
        <v>612906204</v>
      </c>
      <c r="Y29" s="38">
        <f>(W29/X29)*100</f>
        <v>0.970629430926759</v>
      </c>
    </row>
    <row r="30" spans="1:25">
      <c r="A30" s="2"/>
      <c r="B30" s="2"/>
      <c r="C30" s="2" t="s">
        <v>745</v>
      </c>
      <c r="D30" s="41"/>
      <c r="E30" s="20"/>
      <c r="F30" s="20"/>
      <c r="G30" s="38"/>
      <c r="H30" s="20"/>
      <c r="I30" s="20"/>
      <c r="J30" s="38"/>
      <c r="K30" s="20"/>
      <c r="L30" s="20"/>
      <c r="M30" s="38"/>
      <c r="N30" s="20"/>
      <c r="O30" s="20"/>
      <c r="P30" s="38"/>
      <c r="Q30" s="20"/>
      <c r="R30" s="20"/>
      <c r="S30" s="38"/>
      <c r="T30" s="20"/>
      <c r="U30" s="20"/>
      <c r="V30" s="38"/>
      <c r="W30" s="20"/>
      <c r="X30" s="20"/>
      <c r="Y30" s="38"/>
    </row>
    <row r="31" spans="1:25">
      <c r="A31" s="2"/>
      <c r="B31" s="2"/>
      <c r="C31" s="2"/>
    </row>
    <row r="32" spans="1:25">
      <c r="A32" s="2"/>
      <c r="B32" s="2"/>
      <c r="C32" s="2"/>
    </row>
    <row r="33" spans="1:3">
      <c r="A33" s="2"/>
      <c r="B33" s="2"/>
      <c r="C33" s="2"/>
    </row>
  </sheetData>
  <mergeCells count="225">
    <mergeCell ref="A1:D1"/>
    <mergeCell ref="E1:G1"/>
    <mergeCell ref="H1:J1"/>
    <mergeCell ref="K1:M1"/>
    <mergeCell ref="N1:P1"/>
    <mergeCell ref="Q1:S1"/>
    <mergeCell ref="T1:V1"/>
    <mergeCell ref="W1:Y1"/>
    <mergeCell ref="A3:A4"/>
    <mergeCell ref="A6:A7"/>
    <mergeCell ref="A11:A12"/>
    <mergeCell ref="A14:A15"/>
    <mergeCell ref="A17:A18"/>
    <mergeCell ref="A20:A21"/>
    <mergeCell ref="A23:A24"/>
    <mergeCell ref="A26:A27"/>
    <mergeCell ref="A29:A30"/>
    <mergeCell ref="B3:B4"/>
    <mergeCell ref="B6:B7"/>
    <mergeCell ref="B11:B12"/>
    <mergeCell ref="B14:B15"/>
    <mergeCell ref="B17:B18"/>
    <mergeCell ref="B20:B21"/>
    <mergeCell ref="B23:B24"/>
    <mergeCell ref="B26:B27"/>
    <mergeCell ref="B29:B30"/>
    <mergeCell ref="C11:C12"/>
    <mergeCell ref="D3:D4"/>
    <mergeCell ref="D6:D7"/>
    <mergeCell ref="D11:D12"/>
    <mergeCell ref="D14:D15"/>
    <mergeCell ref="D17:D18"/>
    <mergeCell ref="D20:D21"/>
    <mergeCell ref="D23:D24"/>
    <mergeCell ref="D26:D27"/>
    <mergeCell ref="D29:D30"/>
    <mergeCell ref="E3:E4"/>
    <mergeCell ref="E6:E7"/>
    <mergeCell ref="E11:E12"/>
    <mergeCell ref="E14:E15"/>
    <mergeCell ref="E17:E18"/>
    <mergeCell ref="E20:E21"/>
    <mergeCell ref="E23:E24"/>
    <mergeCell ref="E26:E27"/>
    <mergeCell ref="E29:E30"/>
    <mergeCell ref="F3:F4"/>
    <mergeCell ref="F6:F7"/>
    <mergeCell ref="F11:F12"/>
    <mergeCell ref="F14:F15"/>
    <mergeCell ref="F17:F18"/>
    <mergeCell ref="F20:F21"/>
    <mergeCell ref="F23:F24"/>
    <mergeCell ref="F26:F27"/>
    <mergeCell ref="F29:F30"/>
    <mergeCell ref="G3:G4"/>
    <mergeCell ref="G6:G7"/>
    <mergeCell ref="G11:G12"/>
    <mergeCell ref="G14:G15"/>
    <mergeCell ref="G17:G18"/>
    <mergeCell ref="G20:G21"/>
    <mergeCell ref="G23:G24"/>
    <mergeCell ref="G26:G27"/>
    <mergeCell ref="G29:G30"/>
    <mergeCell ref="H3:H4"/>
    <mergeCell ref="H6:H7"/>
    <mergeCell ref="H11:H12"/>
    <mergeCell ref="H14:H15"/>
    <mergeCell ref="H17:H18"/>
    <mergeCell ref="H20:H21"/>
    <mergeCell ref="H23:H24"/>
    <mergeCell ref="H26:H27"/>
    <mergeCell ref="H29:H30"/>
    <mergeCell ref="I3:I4"/>
    <mergeCell ref="I6:I7"/>
    <mergeCell ref="I11:I12"/>
    <mergeCell ref="I14:I15"/>
    <mergeCell ref="I17:I18"/>
    <mergeCell ref="I20:I21"/>
    <mergeCell ref="I23:I24"/>
    <mergeCell ref="I26:I27"/>
    <mergeCell ref="I29:I30"/>
    <mergeCell ref="J3:J4"/>
    <mergeCell ref="J6:J7"/>
    <mergeCell ref="J11:J12"/>
    <mergeCell ref="J14:J15"/>
    <mergeCell ref="J17:J18"/>
    <mergeCell ref="J20:J21"/>
    <mergeCell ref="J23:J24"/>
    <mergeCell ref="J26:J27"/>
    <mergeCell ref="J29:J30"/>
    <mergeCell ref="K3:K4"/>
    <mergeCell ref="K6:K7"/>
    <mergeCell ref="K11:K12"/>
    <mergeCell ref="K14:K15"/>
    <mergeCell ref="K17:K18"/>
    <mergeCell ref="K20:K21"/>
    <mergeCell ref="K23:K24"/>
    <mergeCell ref="K26:K27"/>
    <mergeCell ref="K29:K30"/>
    <mergeCell ref="L3:L4"/>
    <mergeCell ref="L6:L7"/>
    <mergeCell ref="L11:L12"/>
    <mergeCell ref="L14:L15"/>
    <mergeCell ref="L17:L18"/>
    <mergeCell ref="L20:L21"/>
    <mergeCell ref="L23:L24"/>
    <mergeCell ref="L26:L27"/>
    <mergeCell ref="L29:L30"/>
    <mergeCell ref="M3:M4"/>
    <mergeCell ref="M6:M7"/>
    <mergeCell ref="M11:M12"/>
    <mergeCell ref="M14:M15"/>
    <mergeCell ref="M17:M18"/>
    <mergeCell ref="M20:M21"/>
    <mergeCell ref="M23:M24"/>
    <mergeCell ref="M26:M27"/>
    <mergeCell ref="M29:M30"/>
    <mergeCell ref="N3:N4"/>
    <mergeCell ref="N6:N7"/>
    <mergeCell ref="N11:N12"/>
    <mergeCell ref="N14:N15"/>
    <mergeCell ref="N17:N18"/>
    <mergeCell ref="N20:N21"/>
    <mergeCell ref="N23:N24"/>
    <mergeCell ref="N26:N27"/>
    <mergeCell ref="N29:N30"/>
    <mergeCell ref="O3:O4"/>
    <mergeCell ref="O6:O7"/>
    <mergeCell ref="O11:O12"/>
    <mergeCell ref="O14:O15"/>
    <mergeCell ref="O17:O18"/>
    <mergeCell ref="O20:O21"/>
    <mergeCell ref="O23:O24"/>
    <mergeCell ref="O26:O27"/>
    <mergeCell ref="O29:O30"/>
    <mergeCell ref="P3:P4"/>
    <mergeCell ref="P6:P7"/>
    <mergeCell ref="P11:P12"/>
    <mergeCell ref="P14:P15"/>
    <mergeCell ref="P17:P18"/>
    <mergeCell ref="P20:P21"/>
    <mergeCell ref="P23:P24"/>
    <mergeCell ref="P26:P27"/>
    <mergeCell ref="P29:P30"/>
    <mergeCell ref="Q3:Q4"/>
    <mergeCell ref="Q6:Q7"/>
    <mergeCell ref="Q11:Q12"/>
    <mergeCell ref="Q14:Q15"/>
    <mergeCell ref="Q17:Q18"/>
    <mergeCell ref="Q20:Q21"/>
    <mergeCell ref="Q23:Q24"/>
    <mergeCell ref="Q26:Q27"/>
    <mergeCell ref="Q29:Q30"/>
    <mergeCell ref="R3:R4"/>
    <mergeCell ref="R6:R7"/>
    <mergeCell ref="R11:R12"/>
    <mergeCell ref="R14:R15"/>
    <mergeCell ref="R17:R18"/>
    <mergeCell ref="R20:R21"/>
    <mergeCell ref="R23:R24"/>
    <mergeCell ref="R26:R27"/>
    <mergeCell ref="R29:R30"/>
    <mergeCell ref="S3:S4"/>
    <mergeCell ref="S6:S7"/>
    <mergeCell ref="S11:S12"/>
    <mergeCell ref="S14:S15"/>
    <mergeCell ref="S17:S18"/>
    <mergeCell ref="S20:S21"/>
    <mergeCell ref="S23:S24"/>
    <mergeCell ref="S26:S27"/>
    <mergeCell ref="S29:S30"/>
    <mergeCell ref="T3:T4"/>
    <mergeCell ref="T6:T7"/>
    <mergeCell ref="T11:T12"/>
    <mergeCell ref="T14:T15"/>
    <mergeCell ref="T17:T18"/>
    <mergeCell ref="T20:T21"/>
    <mergeCell ref="T23:T24"/>
    <mergeCell ref="T26:T27"/>
    <mergeCell ref="T29:T30"/>
    <mergeCell ref="U3:U4"/>
    <mergeCell ref="U6:U7"/>
    <mergeCell ref="U11:U12"/>
    <mergeCell ref="U14:U15"/>
    <mergeCell ref="U17:U18"/>
    <mergeCell ref="U20:U21"/>
    <mergeCell ref="U23:U24"/>
    <mergeCell ref="U26:U27"/>
    <mergeCell ref="U29:U30"/>
    <mergeCell ref="V3:V4"/>
    <mergeCell ref="V6:V7"/>
    <mergeCell ref="V11:V12"/>
    <mergeCell ref="V14:V15"/>
    <mergeCell ref="V17:V18"/>
    <mergeCell ref="V20:V21"/>
    <mergeCell ref="V23:V24"/>
    <mergeCell ref="V26:V27"/>
    <mergeCell ref="V29:V30"/>
    <mergeCell ref="W3:W4"/>
    <mergeCell ref="W6:W7"/>
    <mergeCell ref="W11:W12"/>
    <mergeCell ref="W14:W15"/>
    <mergeCell ref="W17:W18"/>
    <mergeCell ref="W20:W21"/>
    <mergeCell ref="W23:W24"/>
    <mergeCell ref="W26:W27"/>
    <mergeCell ref="W29:W30"/>
    <mergeCell ref="X3:X4"/>
    <mergeCell ref="X6:X7"/>
    <mergeCell ref="X11:X12"/>
    <mergeCell ref="X14:X15"/>
    <mergeCell ref="X17:X18"/>
    <mergeCell ref="X20:X21"/>
    <mergeCell ref="X23:X24"/>
    <mergeCell ref="X26:X27"/>
    <mergeCell ref="X29:X30"/>
    <mergeCell ref="Y3:Y4"/>
    <mergeCell ref="Y6:Y7"/>
    <mergeCell ref="Y11:Y12"/>
    <mergeCell ref="Y14:Y15"/>
    <mergeCell ref="Y17:Y18"/>
    <mergeCell ref="Y20:Y21"/>
    <mergeCell ref="Y23:Y24"/>
    <mergeCell ref="Y26:Y27"/>
    <mergeCell ref="Y29:Y30"/>
  </mergeCells>
  <pageMargins left="0.7" right="0.7" top="0.75" bottom="0.75" header="0.3" footer="0.3"/>
  <pageSetup paperSize="1" orientation="portrait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3"/>
  <sheetViews>
    <sheetView zoomScale="110" zoomScaleNormal="110" topLeftCell="B1" workbookViewId="0">
      <selection activeCell="M36" sqref="M36"/>
    </sheetView>
  </sheetViews>
  <sheetFormatPr defaultColWidth="9" defaultRowHeight="15"/>
  <cols>
    <col min="1" max="1" width="4.26666666666667" hidden="1" customWidth="1"/>
    <col min="2" max="2" width="21.5428571428571" customWidth="1"/>
    <col min="3" max="3" width="23.3619047619048" hidden="1" customWidth="1"/>
    <col min="4" max="4" width="9.72380952380952" hidden="1" customWidth="1"/>
    <col min="5" max="5" width="15.6285714285714" hidden="1" customWidth="1"/>
    <col min="6" max="6" width="15" hidden="1" customWidth="1"/>
    <col min="7" max="7" width="9.90476190476191" style="6" customWidth="1"/>
    <col min="8" max="8" width="14.6285714285714" style="6" hidden="1" customWidth="1"/>
    <col min="9" max="9" width="9" style="6" hidden="1" customWidth="1"/>
    <col min="10" max="10" width="9.90476190476191" style="6" customWidth="1"/>
    <col min="11" max="11" width="14.6285714285714" style="6" hidden="1" customWidth="1"/>
    <col min="12" max="12" width="14.1809523809524" style="6" hidden="1" customWidth="1"/>
    <col min="13" max="13" width="9.90476190476191" style="6" customWidth="1"/>
    <col min="14" max="14" width="14.6285714285714" style="6" hidden="1" customWidth="1"/>
    <col min="15" max="15" width="14.1809523809524" style="6" hidden="1" customWidth="1"/>
    <col min="16" max="16" width="9.90476190476191" style="6" customWidth="1"/>
    <col min="17" max="17" width="14.6285714285714" style="6" hidden="1" customWidth="1"/>
    <col min="18" max="18" width="14.1809523809524" style="6" hidden="1" customWidth="1"/>
    <col min="19" max="19" width="9.90476190476191" style="6" customWidth="1"/>
    <col min="20" max="20" width="14.6285714285714" style="6" hidden="1" customWidth="1"/>
    <col min="21" max="21" width="1.36190476190476" style="6" hidden="1" customWidth="1"/>
    <col min="22" max="22" width="9.90476190476191" style="6" customWidth="1"/>
    <col min="23" max="23" width="14.6285714285714" style="6" hidden="1" customWidth="1"/>
    <col min="24" max="24" width="14.1809523809524" style="6" hidden="1" customWidth="1"/>
    <col min="25" max="25" width="9.90476190476191" style="6" customWidth="1"/>
  </cols>
  <sheetData>
    <row r="1" s="27" customFormat="1" ht="76.5" customHeight="1" spans="1:25">
      <c r="A1" s="74" t="s">
        <v>728</v>
      </c>
      <c r="B1" s="75"/>
      <c r="C1" s="75"/>
      <c r="D1" s="76"/>
      <c r="E1" s="31" t="s">
        <v>729</v>
      </c>
      <c r="F1" s="32"/>
      <c r="G1" s="33"/>
      <c r="H1" s="31" t="s">
        <v>730</v>
      </c>
      <c r="I1" s="32"/>
      <c r="J1" s="33"/>
      <c r="K1" s="31" t="s">
        <v>731</v>
      </c>
      <c r="L1" s="32"/>
      <c r="M1" s="33"/>
      <c r="N1" s="31" t="s">
        <v>732</v>
      </c>
      <c r="O1" s="32"/>
      <c r="P1" s="33"/>
      <c r="Q1" s="31" t="s">
        <v>733</v>
      </c>
      <c r="R1" s="32"/>
      <c r="S1" s="33"/>
      <c r="T1" s="31" t="s">
        <v>734</v>
      </c>
      <c r="U1" s="32"/>
      <c r="V1" s="33"/>
      <c r="W1" s="31" t="s">
        <v>735</v>
      </c>
      <c r="X1" s="32"/>
      <c r="Y1" s="33"/>
    </row>
    <row r="2" ht="15.75" spans="1:25">
      <c r="A2" s="77" t="s">
        <v>0</v>
      </c>
      <c r="B2" s="77" t="s">
        <v>155</v>
      </c>
      <c r="C2" s="77" t="s">
        <v>156</v>
      </c>
      <c r="D2" s="77" t="s">
        <v>157</v>
      </c>
      <c r="E2" s="35" t="s">
        <v>158</v>
      </c>
      <c r="F2" s="35" t="s">
        <v>159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>
        <v>1</v>
      </c>
      <c r="T2" s="36"/>
      <c r="U2" s="36"/>
      <c r="V2" s="36">
        <v>2</v>
      </c>
      <c r="W2" s="36"/>
      <c r="X2" s="36"/>
      <c r="Y2" s="36"/>
    </row>
    <row r="3" spans="1:25">
      <c r="A3" s="2">
        <v>1</v>
      </c>
      <c r="B3" s="2" t="s">
        <v>65</v>
      </c>
      <c r="C3" s="37" t="s">
        <v>161</v>
      </c>
      <c r="D3" s="2" t="s">
        <v>162</v>
      </c>
      <c r="E3" s="20">
        <v>1253570000</v>
      </c>
      <c r="F3" s="20">
        <v>64817120</v>
      </c>
      <c r="G3" s="38">
        <f>E3/F3</f>
        <v>19.3401064410143</v>
      </c>
      <c r="H3" s="20">
        <v>973893000</v>
      </c>
      <c r="I3" s="20">
        <v>245598130</v>
      </c>
      <c r="J3" s="38">
        <f>H3/I3</f>
        <v>3.96539257037503</v>
      </c>
      <c r="K3" s="20">
        <v>1145543000</v>
      </c>
      <c r="L3" s="20">
        <v>216000000</v>
      </c>
      <c r="M3" s="38">
        <f>K3/L3</f>
        <v>5.30343981481481</v>
      </c>
      <c r="N3" s="20">
        <v>64947721</v>
      </c>
      <c r="O3" s="20">
        <f>O5*2</f>
        <v>28314000</v>
      </c>
      <c r="P3" s="38">
        <f>N3/O3</f>
        <v>2.29383771279226</v>
      </c>
      <c r="Q3" s="20">
        <v>670855050</v>
      </c>
      <c r="R3" s="20">
        <v>12843722</v>
      </c>
      <c r="S3" s="38">
        <f>Q3/R3</f>
        <v>52.2321372262651</v>
      </c>
      <c r="T3" s="20">
        <v>573502143</v>
      </c>
      <c r="U3" s="20">
        <v>10342370</v>
      </c>
      <c r="V3" s="38">
        <f>T3/U3</f>
        <v>55.4517139688485</v>
      </c>
      <c r="W3" s="20">
        <v>5949048</v>
      </c>
      <c r="X3" s="20">
        <v>5556000</v>
      </c>
      <c r="Y3" s="49">
        <f>W3/X3</f>
        <v>1.07074298056156</v>
      </c>
    </row>
    <row r="4" spans="1:25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38"/>
      <c r="T4" s="20"/>
      <c r="U4" s="20"/>
      <c r="V4" s="38"/>
      <c r="W4" s="20"/>
      <c r="X4" s="20"/>
      <c r="Y4" s="49"/>
    </row>
    <row r="5" hidden="1" spans="1:25">
      <c r="A5" s="2"/>
      <c r="D5" s="2"/>
      <c r="E5" s="78"/>
      <c r="F5" s="20"/>
      <c r="G5" s="38"/>
      <c r="H5" s="78"/>
      <c r="I5" s="20"/>
      <c r="J5" s="38"/>
      <c r="K5" s="78"/>
      <c r="L5" s="20"/>
      <c r="M5" s="38"/>
      <c r="N5" s="78" t="s">
        <v>736</v>
      </c>
      <c r="O5" s="79">
        <v>14157000</v>
      </c>
      <c r="P5" s="38"/>
      <c r="Q5" s="78"/>
      <c r="R5" s="79"/>
      <c r="S5" s="38"/>
      <c r="T5" s="78"/>
      <c r="U5" s="79"/>
      <c r="V5" s="38"/>
      <c r="W5" s="78" t="s">
        <v>737</v>
      </c>
      <c r="X5" s="79"/>
      <c r="Y5" s="38"/>
    </row>
    <row r="6" spans="1:25">
      <c r="A6" s="2">
        <v>2</v>
      </c>
      <c r="B6" s="41" t="s">
        <v>166</v>
      </c>
      <c r="C6" s="37" t="s">
        <v>167</v>
      </c>
      <c r="D6" s="2" t="s">
        <v>168</v>
      </c>
      <c r="E6" s="20">
        <v>1975</v>
      </c>
      <c r="F6" s="42">
        <f>G3</f>
        <v>19.3401064410143</v>
      </c>
      <c r="G6" s="43">
        <f>E6/F6</f>
        <v>102.119396603301</v>
      </c>
      <c r="H6" s="20">
        <v>292</v>
      </c>
      <c r="I6" s="42">
        <f>J3</f>
        <v>3.96539257037503</v>
      </c>
      <c r="J6" s="38">
        <f>H6/I6</f>
        <v>73.6370976688404</v>
      </c>
      <c r="K6" s="42">
        <v>281.63</v>
      </c>
      <c r="L6" s="42">
        <f>M3</f>
        <v>5.30343981481481</v>
      </c>
      <c r="M6" s="38">
        <f>K6/L6</f>
        <v>53.1032706760026</v>
      </c>
      <c r="N6" s="20">
        <v>1220</v>
      </c>
      <c r="O6" s="42">
        <f>P3</f>
        <v>2.29383771279226</v>
      </c>
      <c r="P6" s="49">
        <f>N6/O6</f>
        <v>531.859770722363</v>
      </c>
      <c r="Q6" s="20">
        <v>2279</v>
      </c>
      <c r="R6" s="42">
        <f>S3</f>
        <v>52.2321372262651</v>
      </c>
      <c r="S6" s="38">
        <f>Q6/R6</f>
        <v>43.6321414558927</v>
      </c>
      <c r="T6" s="20">
        <v>2642</v>
      </c>
      <c r="U6" s="42">
        <f>V3</f>
        <v>55.4517139688485</v>
      </c>
      <c r="V6" s="38">
        <f>T6/U6</f>
        <v>47.6450556872636</v>
      </c>
      <c r="W6" s="20">
        <v>1099</v>
      </c>
      <c r="X6" s="42">
        <f>Y3</f>
        <v>1.07074298056156</v>
      </c>
      <c r="Y6" s="49">
        <f>W6/X6</f>
        <v>1026.3901047697</v>
      </c>
    </row>
    <row r="7" spans="1:25">
      <c r="A7" s="2"/>
      <c r="B7" s="41"/>
      <c r="C7" s="2" t="s">
        <v>169</v>
      </c>
      <c r="D7" s="2"/>
      <c r="E7" s="20"/>
      <c r="F7" s="42"/>
      <c r="G7" s="43"/>
      <c r="H7" s="20"/>
      <c r="I7" s="42"/>
      <c r="J7" s="38"/>
      <c r="K7" s="42"/>
      <c r="L7" s="42"/>
      <c r="M7" s="38"/>
      <c r="N7" s="20"/>
      <c r="O7" s="42"/>
      <c r="P7" s="49"/>
      <c r="Q7" s="20"/>
      <c r="R7" s="42"/>
      <c r="S7" s="38"/>
      <c r="T7" s="20"/>
      <c r="U7" s="42"/>
      <c r="V7" s="38"/>
      <c r="W7" s="20"/>
      <c r="X7" s="42"/>
      <c r="Y7" s="49"/>
    </row>
    <row r="8" hidden="1" spans="1:25">
      <c r="A8" s="2"/>
      <c r="B8" s="41"/>
      <c r="C8" s="2"/>
      <c r="D8" s="2"/>
      <c r="E8" s="20"/>
      <c r="F8" s="42"/>
      <c r="G8" s="38"/>
      <c r="H8" s="20"/>
      <c r="I8" s="42"/>
      <c r="J8" s="80"/>
      <c r="K8" s="81" t="s">
        <v>738</v>
      </c>
      <c r="L8" s="42"/>
      <c r="M8" s="80"/>
      <c r="N8" s="81"/>
      <c r="O8" s="42"/>
      <c r="P8" s="80"/>
      <c r="Q8" s="81"/>
      <c r="R8" s="42"/>
      <c r="S8" s="80"/>
      <c r="T8" s="81"/>
      <c r="U8" s="42"/>
      <c r="V8" s="80"/>
      <c r="W8" s="81"/>
      <c r="X8" s="42"/>
      <c r="Y8" s="80"/>
    </row>
    <row r="9" spans="1:25">
      <c r="A9" s="2">
        <v>3</v>
      </c>
      <c r="B9" s="2" t="s">
        <v>170</v>
      </c>
      <c r="C9" s="2" t="s">
        <v>171</v>
      </c>
      <c r="D9" s="2" t="s">
        <v>172</v>
      </c>
      <c r="E9" s="82">
        <f>E3</f>
        <v>1253570000</v>
      </c>
      <c r="F9" s="20">
        <v>1102410000</v>
      </c>
      <c r="G9" s="38">
        <f>((E9-F9)/F9)*100</f>
        <v>13.7117769251005</v>
      </c>
      <c r="H9" s="20">
        <f>H3</f>
        <v>973893000</v>
      </c>
      <c r="I9" s="20">
        <v>1452563000</v>
      </c>
      <c r="J9" s="49">
        <f>((H9-I9)/I9)*100</f>
        <v>-32.9534760282342</v>
      </c>
      <c r="K9" s="20">
        <f>K3</f>
        <v>1145543000</v>
      </c>
      <c r="L9" s="20">
        <v>1329841000</v>
      </c>
      <c r="M9" s="49">
        <f>((K9-L9)/L9)*100</f>
        <v>-13.8586492670928</v>
      </c>
      <c r="N9" s="20">
        <f>N3</f>
        <v>64947721</v>
      </c>
      <c r="O9" s="20">
        <v>64753225</v>
      </c>
      <c r="P9" s="38">
        <f>((N9-O9)/O9)*100</f>
        <v>0.300364962517311</v>
      </c>
      <c r="Q9" s="20">
        <f>Q3</f>
        <v>670855050</v>
      </c>
      <c r="R9" s="20">
        <v>67829560</v>
      </c>
      <c r="S9" s="38">
        <f>((Q9-R9)/R9)*100</f>
        <v>889.030520026962</v>
      </c>
      <c r="T9" s="20">
        <f>T3</f>
        <v>573502143</v>
      </c>
      <c r="U9" s="20">
        <v>82023393</v>
      </c>
      <c r="V9" s="38">
        <f>((T9-U9)/U9)*100</f>
        <v>599.193391085394</v>
      </c>
      <c r="W9" s="20">
        <f>W3</f>
        <v>5949048</v>
      </c>
      <c r="X9" s="20">
        <v>14876185</v>
      </c>
      <c r="Y9" s="49">
        <f>((W9-X9)/X9)*100</f>
        <v>-60.0095857909807</v>
      </c>
    </row>
    <row r="10" hidden="1" spans="1:25">
      <c r="A10" s="2"/>
      <c r="B10" s="41"/>
      <c r="C10" s="2"/>
      <c r="D10" s="2"/>
      <c r="E10" s="20"/>
      <c r="F10" s="42"/>
      <c r="G10" s="38"/>
      <c r="H10" s="20"/>
      <c r="I10" s="42"/>
      <c r="J10" s="80"/>
      <c r="K10" s="20"/>
      <c r="L10" s="42"/>
      <c r="M10" s="80"/>
      <c r="N10" s="20"/>
      <c r="O10" s="42"/>
      <c r="P10" s="80"/>
      <c r="Q10" s="20"/>
      <c r="R10" s="42"/>
      <c r="S10" s="80"/>
      <c r="T10" s="20"/>
      <c r="U10" s="42"/>
      <c r="V10" s="80"/>
      <c r="W10" s="20"/>
      <c r="X10" s="42"/>
      <c r="Y10" s="80"/>
    </row>
    <row r="11" spans="1:25">
      <c r="A11" s="2">
        <v>4</v>
      </c>
      <c r="B11" s="2" t="s">
        <v>173</v>
      </c>
      <c r="C11" s="41" t="s">
        <v>174</v>
      </c>
      <c r="D11" s="41" t="s">
        <v>172</v>
      </c>
      <c r="E11" s="20">
        <v>26599028000</v>
      </c>
      <c r="F11" s="20">
        <v>23467645000</v>
      </c>
      <c r="G11" s="38">
        <f>((E11-F11)/F11)*100</f>
        <v>13.3434053566091</v>
      </c>
      <c r="H11" s="20">
        <v>28251698000</v>
      </c>
      <c r="I11" s="20">
        <v>26235764000</v>
      </c>
      <c r="J11" s="38">
        <f>((H11-I11)/I11)*100</f>
        <v>7.68391574188577</v>
      </c>
      <c r="K11" s="20">
        <v>25677103000</v>
      </c>
      <c r="L11" s="20">
        <v>24523024000</v>
      </c>
      <c r="M11" s="38">
        <f>((K11-L11)/L11)*100</f>
        <v>4.7061039454188</v>
      </c>
      <c r="N11" s="20">
        <v>2134173372</v>
      </c>
      <c r="O11" s="20">
        <v>2012817235</v>
      </c>
      <c r="P11" s="38">
        <f>((N11-O11)/O11)*100</f>
        <v>6.02916821705375</v>
      </c>
      <c r="Q11" s="20">
        <v>3212816680</v>
      </c>
      <c r="R11" s="20">
        <v>1944764590</v>
      </c>
      <c r="S11" s="38">
        <f>((Q11-R11)/R11)*100</f>
        <v>65.2033719926996</v>
      </c>
      <c r="T11" s="20">
        <v>1998677451</v>
      </c>
      <c r="U11" s="20">
        <v>1414495410</v>
      </c>
      <c r="V11" s="38">
        <f>((T11-U11)/U11)*100</f>
        <v>41.2996773881366</v>
      </c>
      <c r="W11" s="20">
        <v>604841782</v>
      </c>
      <c r="X11" s="20">
        <v>595386622</v>
      </c>
      <c r="Y11" s="38">
        <f>((W11-X11)/X11)*100</f>
        <v>1.58807061674288</v>
      </c>
    </row>
    <row r="12" ht="7" customHeight="1" spans="1:25">
      <c r="A12" s="2"/>
      <c r="B12" s="2"/>
      <c r="C12" s="41"/>
      <c r="D12" s="41"/>
      <c r="E12" s="20"/>
      <c r="F12" s="20"/>
      <c r="G12" s="38"/>
      <c r="H12" s="20"/>
      <c r="I12" s="20"/>
      <c r="J12" s="38"/>
      <c r="K12" s="20"/>
      <c r="L12" s="20"/>
      <c r="M12" s="38"/>
      <c r="N12" s="20"/>
      <c r="O12" s="20"/>
      <c r="P12" s="38"/>
      <c r="Q12" s="20"/>
      <c r="R12" s="20"/>
      <c r="S12" s="38"/>
      <c r="T12" s="20"/>
      <c r="U12" s="20"/>
      <c r="V12" s="38"/>
      <c r="W12" s="20"/>
      <c r="X12" s="20"/>
      <c r="Y12" s="38"/>
    </row>
    <row r="13" hidden="1" spans="1:25">
      <c r="A13" s="2"/>
      <c r="C13" s="6"/>
      <c r="D13" s="2"/>
      <c r="E13" s="83"/>
      <c r="F13" s="2"/>
      <c r="G13" s="80"/>
      <c r="H13" s="83"/>
      <c r="I13" s="2"/>
      <c r="J13" s="80"/>
      <c r="K13" s="83"/>
      <c r="L13" s="2"/>
      <c r="M13" s="80"/>
      <c r="N13" s="83"/>
      <c r="O13" s="2"/>
      <c r="P13" s="80"/>
      <c r="Q13" s="83"/>
      <c r="R13" s="2"/>
      <c r="S13" s="80"/>
      <c r="T13" s="83"/>
      <c r="U13" s="2"/>
      <c r="V13" s="80"/>
      <c r="W13" s="83"/>
      <c r="X13" s="2"/>
      <c r="Y13" s="80"/>
    </row>
    <row r="14" spans="1:25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1253570000</v>
      </c>
      <c r="F14" s="20">
        <f>E11</f>
        <v>26599028000</v>
      </c>
      <c r="G14" s="44">
        <f>(E14/F14)</f>
        <v>0.0471284138653488</v>
      </c>
      <c r="H14" s="20">
        <f>H3</f>
        <v>973893000</v>
      </c>
      <c r="I14" s="20">
        <f>H11</f>
        <v>28251698000</v>
      </c>
      <c r="J14" s="44">
        <f>(H14/I14)</f>
        <v>0.0344720165138393</v>
      </c>
      <c r="K14" s="20">
        <f>K3</f>
        <v>1145543000</v>
      </c>
      <c r="L14" s="20">
        <f>K11</f>
        <v>25677103000</v>
      </c>
      <c r="M14" s="44">
        <f>(K14/L14)</f>
        <v>0.0446134051804832</v>
      </c>
      <c r="N14" s="20">
        <f>N3</f>
        <v>64947721</v>
      </c>
      <c r="O14" s="20">
        <f>N11</f>
        <v>2134173372</v>
      </c>
      <c r="P14" s="44">
        <f>(N14/O14)</f>
        <v>0.0304322609644105</v>
      </c>
      <c r="Q14" s="20">
        <f>Q3</f>
        <v>670855050</v>
      </c>
      <c r="R14" s="20">
        <f>Q11</f>
        <v>3212816680</v>
      </c>
      <c r="S14" s="44">
        <f>(Q14/R14)</f>
        <v>0.208805891159654</v>
      </c>
      <c r="T14" s="20">
        <f>T3</f>
        <v>573502143</v>
      </c>
      <c r="U14" s="20">
        <f>T11</f>
        <v>1998677451</v>
      </c>
      <c r="V14" s="44">
        <f>(T14/U14)</f>
        <v>0.286940818146049</v>
      </c>
      <c r="W14" s="20">
        <f>W3</f>
        <v>5949048</v>
      </c>
      <c r="X14" s="20">
        <f>W11</f>
        <v>604841782</v>
      </c>
      <c r="Y14" s="44">
        <f>(W14/X14)</f>
        <v>0.00983570939879282</v>
      </c>
    </row>
    <row r="15" ht="9.5" customHeight="1" spans="1:25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44"/>
      <c r="K15" s="20"/>
      <c r="L15" s="2"/>
      <c r="M15" s="44"/>
      <c r="N15" s="20"/>
      <c r="O15" s="2"/>
      <c r="P15" s="44"/>
      <c r="Q15" s="20"/>
      <c r="R15" s="2"/>
      <c r="S15" s="44"/>
      <c r="T15" s="20"/>
      <c r="U15" s="2"/>
      <c r="V15" s="44"/>
      <c r="W15" s="20"/>
      <c r="X15" s="2"/>
      <c r="Y15" s="44"/>
    </row>
    <row r="16" hidden="1" spans="1:25">
      <c r="A16" s="2"/>
      <c r="B16" s="41"/>
      <c r="C16" s="2"/>
      <c r="D16" s="2"/>
      <c r="E16" s="20"/>
      <c r="F16" s="42"/>
      <c r="G16" s="38"/>
      <c r="H16" s="20"/>
      <c r="I16" s="42"/>
      <c r="J16" s="38"/>
      <c r="K16" s="20"/>
      <c r="L16" s="42"/>
      <c r="M16" s="38"/>
      <c r="N16" s="20"/>
      <c r="O16" s="42"/>
      <c r="P16" s="38"/>
      <c r="Q16" s="20"/>
      <c r="R16" s="42"/>
      <c r="S16" s="38"/>
      <c r="T16" s="20"/>
      <c r="U16" s="42"/>
      <c r="V16" s="38"/>
      <c r="W16" s="20"/>
      <c r="X16" s="42"/>
      <c r="Y16" s="38"/>
    </row>
    <row r="17" spans="1:25">
      <c r="A17" s="2">
        <v>6</v>
      </c>
      <c r="B17" s="2" t="s">
        <v>180</v>
      </c>
      <c r="C17" s="37" t="s">
        <v>176</v>
      </c>
      <c r="D17" s="2" t="s">
        <v>181</v>
      </c>
      <c r="E17" s="20">
        <v>10645119000</v>
      </c>
      <c r="F17" s="20">
        <f>F3</f>
        <v>64817120</v>
      </c>
      <c r="G17" s="38">
        <f>E17/F17</f>
        <v>164.233137788288</v>
      </c>
      <c r="H17" s="20">
        <f>H11</f>
        <v>28251698000</v>
      </c>
      <c r="I17" s="20">
        <f>I3</f>
        <v>245598130</v>
      </c>
      <c r="J17" s="38">
        <f>H17/I17</f>
        <v>115.032219504277</v>
      </c>
      <c r="K17" s="20">
        <f>K11</f>
        <v>25677103000</v>
      </c>
      <c r="L17" s="20">
        <f>L3</f>
        <v>216000000</v>
      </c>
      <c r="M17" s="38">
        <f>K17/L17</f>
        <v>118.875476851852</v>
      </c>
      <c r="N17" s="20">
        <f>N11</f>
        <v>2134173372</v>
      </c>
      <c r="O17" s="20">
        <f>O3</f>
        <v>28314000</v>
      </c>
      <c r="P17" s="38">
        <f>N17/O17</f>
        <v>75.3751985590167</v>
      </c>
      <c r="Q17" s="20">
        <f>Q11</f>
        <v>3212816680</v>
      </c>
      <c r="R17" s="20">
        <f>R3</f>
        <v>12843722</v>
      </c>
      <c r="S17" s="38">
        <f>Q17/R17</f>
        <v>250.146856183901</v>
      </c>
      <c r="T17" s="20">
        <f>T11</f>
        <v>1998677451</v>
      </c>
      <c r="U17" s="20">
        <f>U3</f>
        <v>10342370</v>
      </c>
      <c r="V17" s="38">
        <f>T17/U17</f>
        <v>193.251397020219</v>
      </c>
      <c r="W17" s="20">
        <f>W11</f>
        <v>604841782</v>
      </c>
      <c r="X17" s="20">
        <f>X3</f>
        <v>5556000</v>
      </c>
      <c r="Y17" s="38">
        <f>W17/X17</f>
        <v>108.862811735061</v>
      </c>
    </row>
    <row r="18" ht="7" customHeight="1" spans="1:25">
      <c r="A18" s="2"/>
      <c r="B18" s="2"/>
      <c r="C18" s="6" t="s">
        <v>163</v>
      </c>
      <c r="D18" s="2"/>
      <c r="E18" s="20"/>
      <c r="F18" s="20"/>
      <c r="G18" s="38"/>
      <c r="H18" s="20"/>
      <c r="I18" s="20"/>
      <c r="J18" s="38"/>
      <c r="K18" s="20"/>
      <c r="L18" s="20"/>
      <c r="M18" s="38"/>
      <c r="N18" s="20"/>
      <c r="O18" s="20"/>
      <c r="P18" s="38"/>
      <c r="Q18" s="20"/>
      <c r="R18" s="20"/>
      <c r="S18" s="38"/>
      <c r="T18" s="20"/>
      <c r="U18" s="20"/>
      <c r="V18" s="38"/>
      <c r="W18" s="20"/>
      <c r="X18" s="20"/>
      <c r="Y18" s="38"/>
    </row>
    <row r="19" hidden="1" spans="1:25">
      <c r="A19" s="2"/>
      <c r="B19" s="2"/>
      <c r="C19" s="6"/>
      <c r="D19" s="2"/>
      <c r="E19" s="20"/>
      <c r="F19" s="20"/>
      <c r="G19" s="38"/>
      <c r="H19" s="20"/>
      <c r="I19" s="20"/>
      <c r="J19" s="38"/>
      <c r="K19" s="20"/>
      <c r="L19" s="20"/>
      <c r="M19" s="38"/>
      <c r="N19" s="20"/>
      <c r="O19" s="20"/>
      <c r="P19" s="84" t="s">
        <v>739</v>
      </c>
      <c r="Q19" s="20"/>
      <c r="R19" s="20"/>
      <c r="S19" s="84"/>
      <c r="T19" s="20"/>
      <c r="U19" s="20"/>
      <c r="V19" s="84"/>
      <c r="W19" s="20"/>
      <c r="X19" s="20"/>
      <c r="Y19" s="84"/>
    </row>
    <row r="20" spans="1:25">
      <c r="A20" s="2">
        <v>7</v>
      </c>
      <c r="B20" s="2" t="s">
        <v>182</v>
      </c>
      <c r="C20" s="37" t="s">
        <v>183</v>
      </c>
      <c r="D20" s="50" t="s">
        <v>184</v>
      </c>
      <c r="E20" s="20">
        <f>E6</f>
        <v>1975</v>
      </c>
      <c r="F20" s="42">
        <f>G17</f>
        <v>164.233137788288</v>
      </c>
      <c r="G20" s="38">
        <f>E20/F20</f>
        <v>12.0255876895317</v>
      </c>
      <c r="H20" s="20">
        <f>H6</f>
        <v>292</v>
      </c>
      <c r="I20" s="42">
        <f>J17</f>
        <v>115.032219504277</v>
      </c>
      <c r="J20" s="38">
        <f>H20/I20</f>
        <v>2.53841924687146</v>
      </c>
      <c r="K20" s="20">
        <f>K6</f>
        <v>281.63</v>
      </c>
      <c r="L20" s="42">
        <f>M17</f>
        <v>118.875476851852</v>
      </c>
      <c r="M20" s="38">
        <f>K20/L20</f>
        <v>2.36911773107737</v>
      </c>
      <c r="N20" s="20">
        <f>N6</f>
        <v>1220</v>
      </c>
      <c r="O20" s="42">
        <f>P17</f>
        <v>75.3751985590167</v>
      </c>
      <c r="P20" s="38">
        <f>N20/O20</f>
        <v>16.1856953390945</v>
      </c>
      <c r="Q20" s="20">
        <f>Q6</f>
        <v>2279</v>
      </c>
      <c r="R20" s="42">
        <f>S17</f>
        <v>250.146856183901</v>
      </c>
      <c r="S20" s="38">
        <f>Q20/R20</f>
        <v>9.11064817990176</v>
      </c>
      <c r="T20" s="20">
        <f>T6</f>
        <v>2642</v>
      </c>
      <c r="U20" s="42">
        <f>V17</f>
        <v>193.251397020219</v>
      </c>
      <c r="V20" s="38">
        <f>T20/U20</f>
        <v>13.6713112595175</v>
      </c>
      <c r="W20" s="20">
        <f>W6</f>
        <v>1099</v>
      </c>
      <c r="X20" s="42">
        <f>Y17</f>
        <v>108.862811735061</v>
      </c>
      <c r="Y20" s="38">
        <f>W20/X20</f>
        <v>10.0952748003113</v>
      </c>
    </row>
    <row r="21" ht="10" customHeight="1" spans="1:25">
      <c r="A21" s="2"/>
      <c r="B21" s="2"/>
      <c r="C21" s="2" t="s">
        <v>185</v>
      </c>
      <c r="D21" s="2"/>
      <c r="E21" s="20"/>
      <c r="F21" s="42"/>
      <c r="G21" s="38"/>
      <c r="H21" s="20"/>
      <c r="I21" s="42"/>
      <c r="J21" s="38"/>
      <c r="K21" s="20"/>
      <c r="L21" s="42"/>
      <c r="M21" s="38"/>
      <c r="N21" s="20"/>
      <c r="O21" s="42"/>
      <c r="P21" s="38"/>
      <c r="Q21" s="20"/>
      <c r="R21" s="42"/>
      <c r="S21" s="38"/>
      <c r="T21" s="20"/>
      <c r="U21" s="42"/>
      <c r="V21" s="38"/>
      <c r="W21" s="20"/>
      <c r="X21" s="42"/>
      <c r="Y21" s="38"/>
    </row>
    <row r="22" hidden="1" spans="1:25">
      <c r="A22" s="2"/>
      <c r="B22" s="2"/>
      <c r="C22" s="2"/>
      <c r="D22" s="2"/>
      <c r="E22" s="20"/>
      <c r="F22" s="2"/>
      <c r="G22" s="85"/>
      <c r="H22" s="20"/>
      <c r="I22" s="2"/>
      <c r="J22" s="85"/>
      <c r="K22" s="20"/>
      <c r="L22" s="2"/>
      <c r="M22" s="85"/>
      <c r="N22" s="20"/>
      <c r="O22" s="2"/>
      <c r="P22" s="85"/>
      <c r="Q22" s="20"/>
      <c r="R22" s="2"/>
      <c r="S22" s="85"/>
      <c r="T22" s="20"/>
      <c r="U22" s="2"/>
      <c r="V22" s="85"/>
      <c r="W22" s="20"/>
      <c r="X22" s="2"/>
      <c r="Y22" s="85"/>
    </row>
    <row r="23" spans="1:25">
      <c r="A23" s="2">
        <v>8</v>
      </c>
      <c r="B23" s="2" t="s">
        <v>186</v>
      </c>
      <c r="C23" s="37" t="s">
        <v>187</v>
      </c>
      <c r="D23" s="41" t="s">
        <v>295</v>
      </c>
      <c r="E23" s="42">
        <v>13</v>
      </c>
      <c r="F23" s="20">
        <f>E6</f>
        <v>1975</v>
      </c>
      <c r="G23" s="38">
        <f>(E23/F23)*100</f>
        <v>0.658227848101266</v>
      </c>
      <c r="H23" s="42">
        <v>5.25</v>
      </c>
      <c r="I23" s="20">
        <f>H6</f>
        <v>292</v>
      </c>
      <c r="J23" s="38">
        <f>(H23/I23)*100</f>
        <v>1.79794520547945</v>
      </c>
      <c r="K23" s="42">
        <v>0</v>
      </c>
      <c r="L23" s="20">
        <f>K6</f>
        <v>281.63</v>
      </c>
      <c r="M23" s="38">
        <f>(K23/L23)*100</f>
        <v>0</v>
      </c>
      <c r="N23" s="42">
        <v>10.52</v>
      </c>
      <c r="O23" s="20">
        <f>N6</f>
        <v>1220</v>
      </c>
      <c r="P23" s="38">
        <f>(N23/O23)*100</f>
        <v>0.862295081967213</v>
      </c>
      <c r="Q23" s="42">
        <v>5.26</v>
      </c>
      <c r="R23" s="20">
        <f>Q6</f>
        <v>2279</v>
      </c>
      <c r="S23" s="38">
        <f>(Q23/R23)*100</f>
        <v>0.230802983764809</v>
      </c>
      <c r="T23" s="42">
        <v>11</v>
      </c>
      <c r="U23" s="20">
        <f>T6</f>
        <v>2642</v>
      </c>
      <c r="V23" s="38">
        <f>(T23/U23)*100</f>
        <v>0.416351249053747</v>
      </c>
      <c r="W23" s="42">
        <v>0</v>
      </c>
      <c r="X23" s="20">
        <f>W6</f>
        <v>1099</v>
      </c>
      <c r="Y23" s="38">
        <f>(W23/X23)*100</f>
        <v>0</v>
      </c>
    </row>
    <row r="24" ht="7" customHeight="1" spans="1:25">
      <c r="A24" s="2"/>
      <c r="B24" s="2"/>
      <c r="C24" s="2" t="s">
        <v>189</v>
      </c>
      <c r="D24" s="41"/>
      <c r="E24" s="42"/>
      <c r="F24" s="20"/>
      <c r="G24" s="38"/>
      <c r="H24" s="42"/>
      <c r="I24" s="20"/>
      <c r="J24" s="38"/>
      <c r="K24" s="42"/>
      <c r="L24" s="20"/>
      <c r="M24" s="38"/>
      <c r="N24" s="42"/>
      <c r="O24" s="20"/>
      <c r="P24" s="38"/>
      <c r="Q24" s="42"/>
      <c r="R24" s="20"/>
      <c r="S24" s="38"/>
      <c r="T24" s="42"/>
      <c r="U24" s="20"/>
      <c r="V24" s="38"/>
      <c r="W24" s="42"/>
      <c r="X24" s="20"/>
      <c r="Y24" s="38"/>
    </row>
    <row r="25" hidden="1" spans="1:25">
      <c r="A25" s="2"/>
      <c r="B25" s="2"/>
      <c r="C25" s="2"/>
      <c r="D25" s="41"/>
      <c r="E25" s="86"/>
      <c r="F25" s="20"/>
      <c r="G25" s="38"/>
      <c r="H25" s="86"/>
      <c r="I25" s="20"/>
      <c r="J25" s="38"/>
      <c r="K25" s="86"/>
      <c r="L25" s="20"/>
      <c r="M25" s="38"/>
      <c r="N25" s="86"/>
      <c r="O25" s="20"/>
      <c r="P25" s="38"/>
      <c r="Q25" s="86"/>
      <c r="R25" s="20"/>
      <c r="S25" s="38"/>
      <c r="T25" s="86"/>
      <c r="U25" s="20"/>
      <c r="V25" s="38"/>
      <c r="W25" s="86"/>
      <c r="X25" s="20"/>
      <c r="Y25" s="38"/>
    </row>
    <row r="26" spans="1:25">
      <c r="A26" s="2">
        <v>9</v>
      </c>
      <c r="B26" s="2" t="s">
        <v>740</v>
      </c>
      <c r="C26" s="37" t="s">
        <v>741</v>
      </c>
      <c r="D26" s="41" t="s">
        <v>742</v>
      </c>
      <c r="E26" s="20">
        <v>311066708000</v>
      </c>
      <c r="F26" s="20">
        <f>F3</f>
        <v>64817120</v>
      </c>
      <c r="G26" s="38">
        <f>E26/F26</f>
        <v>4799.14423843577</v>
      </c>
      <c r="H26" s="20">
        <v>28793615000</v>
      </c>
      <c r="I26" s="20">
        <f>I3</f>
        <v>245598130</v>
      </c>
      <c r="J26" s="38">
        <f>H26/I26</f>
        <v>117.238738747726</v>
      </c>
      <c r="K26" s="20">
        <v>41411997000</v>
      </c>
      <c r="L26" s="20">
        <f>L3</f>
        <v>216000000</v>
      </c>
      <c r="M26" s="38">
        <f>K26/L26</f>
        <v>191.722208333333</v>
      </c>
      <c r="N26" s="20">
        <v>2687552154</v>
      </c>
      <c r="O26" s="20">
        <f>O3</f>
        <v>28314000</v>
      </c>
      <c r="P26" s="38">
        <f>N26/O26</f>
        <v>94.9195505403687</v>
      </c>
      <c r="Q26" s="20">
        <v>3949338510</v>
      </c>
      <c r="R26" s="20">
        <f>R3</f>
        <v>12843722</v>
      </c>
      <c r="S26" s="38">
        <f>Q26/R26</f>
        <v>307.49174655135</v>
      </c>
      <c r="T26" s="20">
        <v>2015554968</v>
      </c>
      <c r="U26" s="20">
        <f>U3</f>
        <v>10342370</v>
      </c>
      <c r="V26" s="38">
        <f>T26/U26</f>
        <v>194.883278010746</v>
      </c>
      <c r="W26" s="20">
        <v>612906204</v>
      </c>
      <c r="X26" s="20">
        <f>X3</f>
        <v>5556000</v>
      </c>
      <c r="Y26" s="38">
        <f>W26/X26</f>
        <v>110.314291576674</v>
      </c>
    </row>
    <row r="27" ht="10" customHeight="1" spans="1:25">
      <c r="A27" s="2"/>
      <c r="B27" s="2"/>
      <c r="C27" s="2" t="s">
        <v>163</v>
      </c>
      <c r="D27" s="41"/>
      <c r="E27" s="20"/>
      <c r="F27" s="20"/>
      <c r="G27" s="38"/>
      <c r="H27" s="20"/>
      <c r="I27" s="20"/>
      <c r="J27" s="38"/>
      <c r="K27" s="20"/>
      <c r="L27" s="20"/>
      <c r="M27" s="38"/>
      <c r="N27" s="20"/>
      <c r="O27" s="20"/>
      <c r="P27" s="38"/>
      <c r="Q27" s="20"/>
      <c r="R27" s="20"/>
      <c r="S27" s="38"/>
      <c r="T27" s="20"/>
      <c r="U27" s="20"/>
      <c r="V27" s="38"/>
      <c r="W27" s="20"/>
      <c r="X27" s="20"/>
      <c r="Y27" s="38"/>
    </row>
    <row r="28" hidden="1" spans="1:25">
      <c r="A28" s="2"/>
      <c r="B28" s="2"/>
      <c r="C28" s="2"/>
      <c r="D28" s="41"/>
      <c r="E28" s="86"/>
      <c r="F28" s="20"/>
      <c r="G28" s="38"/>
      <c r="H28" s="86"/>
      <c r="I28" s="20"/>
      <c r="J28" s="38"/>
      <c r="K28" s="86"/>
      <c r="L28" s="20"/>
      <c r="M28" s="38"/>
      <c r="N28" s="86"/>
      <c r="O28" s="20"/>
      <c r="P28" s="38"/>
      <c r="Q28" s="86"/>
      <c r="R28" s="20"/>
      <c r="S28" s="38"/>
      <c r="T28" s="86"/>
      <c r="U28" s="20"/>
      <c r="V28" s="38"/>
      <c r="W28" s="86"/>
      <c r="X28" s="20"/>
      <c r="Y28" s="38"/>
    </row>
    <row r="29" ht="14.5" customHeight="1" spans="1:25">
      <c r="A29" s="2">
        <v>10</v>
      </c>
      <c r="B29" s="2" t="s">
        <v>743</v>
      </c>
      <c r="C29" s="37" t="s">
        <v>744</v>
      </c>
      <c r="D29" s="41" t="s">
        <v>742</v>
      </c>
      <c r="E29" s="20">
        <f>E3</f>
        <v>1253570000</v>
      </c>
      <c r="F29" s="20">
        <f>E26</f>
        <v>311066708000</v>
      </c>
      <c r="G29" s="38">
        <f>(E29/F29)*100</f>
        <v>0.402990730849924</v>
      </c>
      <c r="H29" s="20">
        <f>H3</f>
        <v>973893000</v>
      </c>
      <c r="I29" s="20">
        <f>H26</f>
        <v>28793615000</v>
      </c>
      <c r="J29" s="38">
        <f>(H29/I29)*100</f>
        <v>3.38232278232518</v>
      </c>
      <c r="K29" s="20">
        <f>K3</f>
        <v>1145543000</v>
      </c>
      <c r="L29" s="20">
        <f>K26</f>
        <v>41411997000</v>
      </c>
      <c r="M29" s="38">
        <f>(K29/L29)*100</f>
        <v>2.76621047760628</v>
      </c>
      <c r="N29" s="20">
        <f>N3</f>
        <v>64947721</v>
      </c>
      <c r="O29" s="20">
        <f>N26</f>
        <v>2687552154</v>
      </c>
      <c r="P29" s="38">
        <f>(N29/O29)*100</f>
        <v>2.41661248892735</v>
      </c>
      <c r="Q29" s="20">
        <f>Q3</f>
        <v>670855050</v>
      </c>
      <c r="R29" s="20">
        <f>Q26</f>
        <v>3949338510</v>
      </c>
      <c r="S29" s="38">
        <f>(Q29/R29)*100</f>
        <v>16.9865168129131</v>
      </c>
      <c r="T29" s="20">
        <f>T3</f>
        <v>573502143</v>
      </c>
      <c r="U29" s="20">
        <f>T26</f>
        <v>2015554968</v>
      </c>
      <c r="V29" s="38">
        <f>(T29/U29)*100</f>
        <v>28.4538081126647</v>
      </c>
      <c r="W29" s="20">
        <f>W3</f>
        <v>5949048</v>
      </c>
      <c r="X29" s="20">
        <f>W26</f>
        <v>612906204</v>
      </c>
      <c r="Y29" s="38">
        <f>(W29/X29)*100</f>
        <v>0.970629430926759</v>
      </c>
    </row>
    <row r="30" ht="4" customHeight="1" spans="1:25">
      <c r="A30" s="2"/>
      <c r="B30" s="2"/>
      <c r="C30" s="2" t="s">
        <v>745</v>
      </c>
      <c r="D30" s="41"/>
      <c r="E30" s="20"/>
      <c r="F30" s="20"/>
      <c r="G30" s="38"/>
      <c r="H30" s="20"/>
      <c r="I30" s="20"/>
      <c r="J30" s="38"/>
      <c r="K30" s="20"/>
      <c r="L30" s="20"/>
      <c r="M30" s="38"/>
      <c r="N30" s="20"/>
      <c r="O30" s="20"/>
      <c r="P30" s="38"/>
      <c r="Q30" s="20"/>
      <c r="R30" s="20"/>
      <c r="S30" s="38"/>
      <c r="T30" s="20"/>
      <c r="U30" s="20"/>
      <c r="V30" s="38"/>
      <c r="W30" s="20"/>
      <c r="X30" s="20"/>
      <c r="Y30" s="38"/>
    </row>
    <row r="31" spans="1:25">
      <c r="A31" s="2"/>
      <c r="B31" s="2"/>
      <c r="C31" s="2"/>
    </row>
    <row r="32" spans="1:25">
      <c r="A32" s="2"/>
      <c r="B32" s="2"/>
      <c r="C32" s="2"/>
    </row>
    <row r="33" spans="1:3">
      <c r="A33" s="2"/>
      <c r="B33" s="2"/>
      <c r="C33" s="2"/>
    </row>
  </sheetData>
  <mergeCells count="225">
    <mergeCell ref="A1:D1"/>
    <mergeCell ref="E1:G1"/>
    <mergeCell ref="H1:J1"/>
    <mergeCell ref="K1:M1"/>
    <mergeCell ref="N1:P1"/>
    <mergeCell ref="Q1:S1"/>
    <mergeCell ref="T1:V1"/>
    <mergeCell ref="W1:Y1"/>
    <mergeCell ref="A3:A4"/>
    <mergeCell ref="A6:A7"/>
    <mergeCell ref="A11:A12"/>
    <mergeCell ref="A14:A15"/>
    <mergeCell ref="A17:A18"/>
    <mergeCell ref="A20:A21"/>
    <mergeCell ref="A23:A24"/>
    <mergeCell ref="A26:A27"/>
    <mergeCell ref="A29:A30"/>
    <mergeCell ref="B3:B4"/>
    <mergeCell ref="B6:B7"/>
    <mergeCell ref="B11:B12"/>
    <mergeCell ref="B14:B15"/>
    <mergeCell ref="B17:B18"/>
    <mergeCell ref="B20:B21"/>
    <mergeCell ref="B23:B24"/>
    <mergeCell ref="B26:B27"/>
    <mergeCell ref="B29:B30"/>
    <mergeCell ref="C11:C12"/>
    <mergeCell ref="D3:D4"/>
    <mergeCell ref="D6:D7"/>
    <mergeCell ref="D11:D12"/>
    <mergeCell ref="D14:D15"/>
    <mergeCell ref="D17:D18"/>
    <mergeCell ref="D20:D21"/>
    <mergeCell ref="D23:D24"/>
    <mergeCell ref="D26:D27"/>
    <mergeCell ref="D29:D30"/>
    <mergeCell ref="E3:E4"/>
    <mergeCell ref="E6:E7"/>
    <mergeCell ref="E11:E12"/>
    <mergeCell ref="E14:E15"/>
    <mergeCell ref="E17:E18"/>
    <mergeCell ref="E20:E21"/>
    <mergeCell ref="E23:E24"/>
    <mergeCell ref="E26:E27"/>
    <mergeCell ref="E29:E30"/>
    <mergeCell ref="F3:F4"/>
    <mergeCell ref="F6:F7"/>
    <mergeCell ref="F11:F12"/>
    <mergeCell ref="F14:F15"/>
    <mergeCell ref="F17:F18"/>
    <mergeCell ref="F20:F21"/>
    <mergeCell ref="F23:F24"/>
    <mergeCell ref="F26:F27"/>
    <mergeCell ref="F29:F30"/>
    <mergeCell ref="G3:G4"/>
    <mergeCell ref="G6:G7"/>
    <mergeCell ref="G11:G12"/>
    <mergeCell ref="G14:G15"/>
    <mergeCell ref="G17:G18"/>
    <mergeCell ref="G20:G21"/>
    <mergeCell ref="G23:G24"/>
    <mergeCell ref="G26:G27"/>
    <mergeCell ref="G29:G30"/>
    <mergeCell ref="H3:H4"/>
    <mergeCell ref="H6:H7"/>
    <mergeCell ref="H11:H12"/>
    <mergeCell ref="H14:H15"/>
    <mergeCell ref="H17:H18"/>
    <mergeCell ref="H20:H21"/>
    <mergeCell ref="H23:H24"/>
    <mergeCell ref="H26:H27"/>
    <mergeCell ref="H29:H30"/>
    <mergeCell ref="I3:I4"/>
    <mergeCell ref="I6:I7"/>
    <mergeCell ref="I11:I12"/>
    <mergeCell ref="I14:I15"/>
    <mergeCell ref="I17:I18"/>
    <mergeCell ref="I20:I21"/>
    <mergeCell ref="I23:I24"/>
    <mergeCell ref="I26:I27"/>
    <mergeCell ref="I29:I30"/>
    <mergeCell ref="J3:J4"/>
    <mergeCell ref="J6:J7"/>
    <mergeCell ref="J11:J12"/>
    <mergeCell ref="J14:J15"/>
    <mergeCell ref="J17:J18"/>
    <mergeCell ref="J20:J21"/>
    <mergeCell ref="J23:J24"/>
    <mergeCell ref="J26:J27"/>
    <mergeCell ref="J29:J30"/>
    <mergeCell ref="K3:K4"/>
    <mergeCell ref="K6:K7"/>
    <mergeCell ref="K11:K12"/>
    <mergeCell ref="K14:K15"/>
    <mergeCell ref="K17:K18"/>
    <mergeCell ref="K20:K21"/>
    <mergeCell ref="K23:K24"/>
    <mergeCell ref="K26:K27"/>
    <mergeCell ref="K29:K30"/>
    <mergeCell ref="L3:L4"/>
    <mergeCell ref="L6:L7"/>
    <mergeCell ref="L11:L12"/>
    <mergeCell ref="L14:L15"/>
    <mergeCell ref="L17:L18"/>
    <mergeCell ref="L20:L21"/>
    <mergeCell ref="L23:L24"/>
    <mergeCell ref="L26:L27"/>
    <mergeCell ref="L29:L30"/>
    <mergeCell ref="M3:M4"/>
    <mergeCell ref="M6:M7"/>
    <mergeCell ref="M11:M12"/>
    <mergeCell ref="M14:M15"/>
    <mergeCell ref="M17:M18"/>
    <mergeCell ref="M20:M21"/>
    <mergeCell ref="M23:M24"/>
    <mergeCell ref="M26:M27"/>
    <mergeCell ref="M29:M30"/>
    <mergeCell ref="N3:N4"/>
    <mergeCell ref="N6:N7"/>
    <mergeCell ref="N11:N12"/>
    <mergeCell ref="N14:N15"/>
    <mergeCell ref="N17:N18"/>
    <mergeCell ref="N20:N21"/>
    <mergeCell ref="N23:N24"/>
    <mergeCell ref="N26:N27"/>
    <mergeCell ref="N29:N30"/>
    <mergeCell ref="O3:O4"/>
    <mergeCell ref="O6:O7"/>
    <mergeCell ref="O11:O12"/>
    <mergeCell ref="O14:O15"/>
    <mergeCell ref="O17:O18"/>
    <mergeCell ref="O20:O21"/>
    <mergeCell ref="O23:O24"/>
    <mergeCell ref="O26:O27"/>
    <mergeCell ref="O29:O30"/>
    <mergeCell ref="P3:P4"/>
    <mergeCell ref="P6:P7"/>
    <mergeCell ref="P11:P12"/>
    <mergeCell ref="P14:P15"/>
    <mergeCell ref="P17:P18"/>
    <mergeCell ref="P20:P21"/>
    <mergeCell ref="P23:P24"/>
    <mergeCell ref="P26:P27"/>
    <mergeCell ref="P29:P30"/>
    <mergeCell ref="Q3:Q4"/>
    <mergeCell ref="Q6:Q7"/>
    <mergeCell ref="Q11:Q12"/>
    <mergeCell ref="Q14:Q15"/>
    <mergeCell ref="Q17:Q18"/>
    <mergeCell ref="Q20:Q21"/>
    <mergeCell ref="Q23:Q24"/>
    <mergeCell ref="Q26:Q27"/>
    <mergeCell ref="Q29:Q30"/>
    <mergeCell ref="R3:R4"/>
    <mergeCell ref="R6:R7"/>
    <mergeCell ref="R11:R12"/>
    <mergeCell ref="R14:R15"/>
    <mergeCell ref="R17:R18"/>
    <mergeCell ref="R20:R21"/>
    <mergeCell ref="R23:R24"/>
    <mergeCell ref="R26:R27"/>
    <mergeCell ref="R29:R30"/>
    <mergeCell ref="S3:S4"/>
    <mergeCell ref="S6:S7"/>
    <mergeCell ref="S11:S12"/>
    <mergeCell ref="S14:S15"/>
    <mergeCell ref="S17:S18"/>
    <mergeCell ref="S20:S21"/>
    <mergeCell ref="S23:S24"/>
    <mergeCell ref="S26:S27"/>
    <mergeCell ref="S29:S30"/>
    <mergeCell ref="T3:T4"/>
    <mergeCell ref="T6:T7"/>
    <mergeCell ref="T11:T12"/>
    <mergeCell ref="T14:T15"/>
    <mergeCell ref="T17:T18"/>
    <mergeCell ref="T20:T21"/>
    <mergeCell ref="T23:T24"/>
    <mergeCell ref="T26:T27"/>
    <mergeCell ref="T29:T30"/>
    <mergeCell ref="U3:U4"/>
    <mergeCell ref="U6:U7"/>
    <mergeCell ref="U11:U12"/>
    <mergeCell ref="U14:U15"/>
    <mergeCell ref="U17:U18"/>
    <mergeCell ref="U20:U21"/>
    <mergeCell ref="U23:U24"/>
    <mergeCell ref="U26:U27"/>
    <mergeCell ref="U29:U30"/>
    <mergeCell ref="V3:V4"/>
    <mergeCell ref="V6:V7"/>
    <mergeCell ref="V11:V12"/>
    <mergeCell ref="V14:V15"/>
    <mergeCell ref="V17:V18"/>
    <mergeCell ref="V20:V21"/>
    <mergeCell ref="V23:V24"/>
    <mergeCell ref="V26:V27"/>
    <mergeCell ref="V29:V30"/>
    <mergeCell ref="W3:W4"/>
    <mergeCell ref="W6:W7"/>
    <mergeCell ref="W11:W12"/>
    <mergeCell ref="W14:W15"/>
    <mergeCell ref="W17:W18"/>
    <mergeCell ref="W20:W21"/>
    <mergeCell ref="W23:W24"/>
    <mergeCell ref="W26:W27"/>
    <mergeCell ref="W29:W30"/>
    <mergeCell ref="X3:X4"/>
    <mergeCell ref="X6:X7"/>
    <mergeCell ref="X11:X12"/>
    <mergeCell ref="X14:X15"/>
    <mergeCell ref="X17:X18"/>
    <mergeCell ref="X20:X21"/>
    <mergeCell ref="X23:X24"/>
    <mergeCell ref="X26:X27"/>
    <mergeCell ref="X29:X30"/>
    <mergeCell ref="Y3:Y4"/>
    <mergeCell ref="Y6:Y7"/>
    <mergeCell ref="Y11:Y12"/>
    <mergeCell ref="Y14:Y15"/>
    <mergeCell ref="Y17:Y18"/>
    <mergeCell ref="Y20:Y21"/>
    <mergeCell ref="Y23:Y24"/>
    <mergeCell ref="Y26:Y27"/>
    <mergeCell ref="Y29:Y30"/>
  </mergeCells>
  <pageMargins left="0.7" right="0.7" top="0.75" bottom="0.75" header="0.3" footer="0.3"/>
  <pageSetup paperSize="1" orientation="portrait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40"/>
  <sheetViews>
    <sheetView workbookViewId="0">
      <selection activeCell="B32" sqref="B32:G33"/>
    </sheetView>
  </sheetViews>
  <sheetFormatPr defaultColWidth="9" defaultRowHeight="15"/>
  <cols>
    <col min="1" max="1" width="4.26666666666667" customWidth="1"/>
    <col min="2" max="2" width="22.6285714285714" customWidth="1"/>
    <col min="3" max="3" width="21" customWidth="1"/>
    <col min="4" max="4" width="9.90476190476191" customWidth="1"/>
    <col min="5" max="5" width="14.2666666666667" customWidth="1"/>
    <col min="6" max="6" width="13.8190476190476" customWidth="1"/>
    <col min="7" max="7" width="9.90476190476191" customWidth="1"/>
    <col min="8" max="8" width="14.2666666666667" customWidth="1"/>
    <col min="9" max="9" width="15.4571428571429" customWidth="1"/>
    <col min="10" max="10" width="9.90476190476191" customWidth="1"/>
    <col min="11" max="11" width="14.2666666666667" customWidth="1"/>
    <col min="12" max="12" width="15.4571428571429" customWidth="1"/>
    <col min="13" max="13" width="9.90476190476191" customWidth="1"/>
    <col min="14" max="14" width="14.2666666666667" customWidth="1"/>
    <col min="15" max="15" width="15.4571428571429" customWidth="1"/>
    <col min="16" max="16" width="9.90476190476191" customWidth="1"/>
    <col min="17" max="17" width="14.2666666666667" customWidth="1"/>
    <col min="18" max="18" width="15.4571428571429" customWidth="1"/>
    <col min="19" max="19" width="9.90476190476191" customWidth="1"/>
    <col min="20" max="20" width="14.2666666666667" customWidth="1"/>
    <col min="21" max="21" width="15.4571428571429" customWidth="1"/>
    <col min="22" max="22" width="9.90476190476191" customWidth="1"/>
    <col min="23" max="23" width="14.2666666666667" customWidth="1"/>
    <col min="24" max="24" width="15.4571428571429" customWidth="1"/>
    <col min="25" max="25" width="9.90476190476191" customWidth="1"/>
    <col min="26" max="26" width="14.2666666666667" customWidth="1"/>
    <col min="27" max="27" width="15.4571428571429" customWidth="1"/>
    <col min="28" max="28" width="9.90476190476191" customWidth="1"/>
    <col min="29" max="29" width="14.2666666666667" customWidth="1"/>
    <col min="30" max="30" width="15.4571428571429" customWidth="1"/>
    <col min="31" max="31" width="9.90476190476191" customWidth="1"/>
  </cols>
  <sheetData>
    <row r="1" ht="18.75" spans="1:31">
      <c r="A1" s="58" t="s">
        <v>746</v>
      </c>
      <c r="B1" s="59"/>
      <c r="C1" s="59"/>
      <c r="D1" s="60"/>
      <c r="E1" s="61" t="s">
        <v>747</v>
      </c>
      <c r="F1" s="62"/>
      <c r="G1" s="63"/>
      <c r="H1" s="61" t="s">
        <v>748</v>
      </c>
      <c r="I1" s="62"/>
      <c r="J1" s="63"/>
      <c r="K1" s="61" t="s">
        <v>749</v>
      </c>
      <c r="L1" s="62"/>
      <c r="M1" s="63"/>
      <c r="N1" s="61" t="s">
        <v>750</v>
      </c>
      <c r="O1" s="62"/>
      <c r="P1" s="63"/>
      <c r="Q1" s="61" t="s">
        <v>751</v>
      </c>
      <c r="R1" s="62"/>
      <c r="S1" s="63"/>
      <c r="T1" s="61" t="s">
        <v>752</v>
      </c>
      <c r="U1" s="62"/>
      <c r="V1" s="63"/>
      <c r="W1" s="61" t="s">
        <v>753</v>
      </c>
      <c r="X1" s="62"/>
      <c r="Y1" s="63"/>
      <c r="Z1" s="61" t="s">
        <v>754</v>
      </c>
      <c r="AA1" s="62"/>
      <c r="AB1" s="63"/>
      <c r="AC1" s="61" t="s">
        <v>755</v>
      </c>
      <c r="AD1" s="62"/>
      <c r="AE1" s="63"/>
    </row>
    <row r="2" ht="15.75" spans="1:31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  <c r="W2" s="35" t="s">
        <v>158</v>
      </c>
      <c r="X2" s="35" t="s">
        <v>159</v>
      </c>
      <c r="Y2" s="35" t="s">
        <v>160</v>
      </c>
      <c r="Z2" s="35" t="s">
        <v>158</v>
      </c>
      <c r="AA2" s="35" t="s">
        <v>159</v>
      </c>
      <c r="AB2" s="35" t="s">
        <v>160</v>
      </c>
      <c r="AC2" s="35" t="s">
        <v>158</v>
      </c>
      <c r="AD2" s="35" t="s">
        <v>159</v>
      </c>
      <c r="AE2" s="35" t="s">
        <v>160</v>
      </c>
    </row>
    <row r="3" spans="1:31">
      <c r="A3" s="2">
        <v>1</v>
      </c>
      <c r="B3" s="2" t="s">
        <v>65</v>
      </c>
      <c r="C3" s="37" t="s">
        <v>161</v>
      </c>
      <c r="D3" s="2" t="s">
        <v>162</v>
      </c>
      <c r="E3" s="20">
        <v>532690961</v>
      </c>
      <c r="F3" s="20">
        <v>134221870</v>
      </c>
      <c r="G3" s="38">
        <f>E3/F3</f>
        <v>3.96873446182802</v>
      </c>
      <c r="H3" s="20">
        <v>2668192000</v>
      </c>
      <c r="I3" s="20">
        <v>180000000</v>
      </c>
      <c r="J3" s="38">
        <f>H3/I3</f>
        <v>14.8232888888889</v>
      </c>
      <c r="K3" s="20">
        <v>1390309152</v>
      </c>
      <c r="L3" s="20">
        <v>108680000</v>
      </c>
      <c r="M3" s="38">
        <f>K3/L3</f>
        <v>12.7926863452337</v>
      </c>
      <c r="N3" s="20">
        <v>100532914</v>
      </c>
      <c r="O3" s="20">
        <v>7000000</v>
      </c>
      <c r="P3" s="38">
        <f>N3/O3</f>
        <v>14.3618448571429</v>
      </c>
      <c r="Q3" s="20">
        <f>Q5*4</f>
        <v>523632</v>
      </c>
      <c r="R3" s="20">
        <v>8156097</v>
      </c>
      <c r="S3" s="43">
        <f>Q3/R3</f>
        <v>0.0642012962817877</v>
      </c>
      <c r="T3" s="20">
        <v>31979038</v>
      </c>
      <c r="U3" s="20">
        <v>8000000</v>
      </c>
      <c r="V3" s="38">
        <f>T3/U3</f>
        <v>3.99737975</v>
      </c>
      <c r="W3" s="20">
        <v>-55878189</v>
      </c>
      <c r="X3" s="20">
        <v>6875000</v>
      </c>
      <c r="Y3" s="39">
        <f>W3/X3</f>
        <v>-8.12773658181818</v>
      </c>
      <c r="Z3" s="20">
        <v>1438864</v>
      </c>
      <c r="AA3" s="20">
        <v>9675000</v>
      </c>
      <c r="AB3" s="43">
        <f>Z3/AA3</f>
        <v>0.148719793281654</v>
      </c>
      <c r="AC3" s="20">
        <v>61923919</v>
      </c>
      <c r="AD3" s="20">
        <v>3207169</v>
      </c>
      <c r="AE3" s="38">
        <f>AC3/AD3</f>
        <v>19.3079688036396</v>
      </c>
    </row>
    <row r="4" spans="1:31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43"/>
      <c r="T4" s="20"/>
      <c r="U4" s="20"/>
      <c r="V4" s="38"/>
      <c r="W4" s="20"/>
      <c r="X4" s="20"/>
      <c r="Y4" s="39"/>
      <c r="Z4" s="20"/>
      <c r="AA4" s="20"/>
      <c r="AB4" s="43"/>
      <c r="AC4" s="20"/>
      <c r="AD4" s="20"/>
      <c r="AE4" s="38"/>
    </row>
    <row r="5" spans="1:31">
      <c r="E5" s="68" t="s">
        <v>756</v>
      </c>
      <c r="F5" s="6"/>
      <c r="G5" s="40"/>
      <c r="H5" s="6"/>
      <c r="I5" s="6"/>
      <c r="J5" s="40"/>
      <c r="K5" s="6"/>
      <c r="L5" s="6"/>
      <c r="M5" s="40"/>
      <c r="N5" s="6"/>
      <c r="O5" s="6"/>
      <c r="P5" s="40"/>
      <c r="Q5" s="69">
        <v>130908</v>
      </c>
      <c r="R5" s="6"/>
      <c r="S5" s="40"/>
      <c r="T5" s="69"/>
      <c r="U5" s="6"/>
      <c r="V5" s="40"/>
      <c r="W5" s="6"/>
      <c r="X5" s="6"/>
      <c r="Y5" s="40"/>
      <c r="Z5" s="6"/>
      <c r="AA5" s="6"/>
      <c r="AB5" s="40"/>
      <c r="AC5" s="6"/>
      <c r="AD5" s="6"/>
      <c r="AE5" s="40"/>
    </row>
    <row r="6" spans="1:31">
      <c r="A6" s="2">
        <v>2</v>
      </c>
      <c r="B6" s="41" t="s">
        <v>166</v>
      </c>
      <c r="C6" s="37" t="s">
        <v>167</v>
      </c>
      <c r="D6" s="2" t="s">
        <v>168</v>
      </c>
      <c r="E6" s="20">
        <v>760</v>
      </c>
      <c r="F6" s="42">
        <f>G3</f>
        <v>3.96873446182802</v>
      </c>
      <c r="G6" s="43">
        <f>E6/F6</f>
        <v>191.496812727033</v>
      </c>
      <c r="H6" s="20">
        <v>877.27</v>
      </c>
      <c r="I6" s="42">
        <f>J3</f>
        <v>14.8232888888889</v>
      </c>
      <c r="J6" s="38">
        <f>H6/I6</f>
        <v>59.1818729686619</v>
      </c>
      <c r="K6" s="20">
        <v>922.78</v>
      </c>
      <c r="L6" s="42">
        <f>M3</f>
        <v>12.7926863452337</v>
      </c>
      <c r="M6" s="38">
        <f>K6/L6</f>
        <v>72.1334030317884</v>
      </c>
      <c r="N6" s="20">
        <v>1694</v>
      </c>
      <c r="O6" s="42">
        <f>P3</f>
        <v>14.3618448571429</v>
      </c>
      <c r="P6" s="70">
        <f>N6/O6</f>
        <v>117.951420367662</v>
      </c>
      <c r="Q6" s="20">
        <v>1694</v>
      </c>
      <c r="R6" s="42">
        <f>S3</f>
        <v>0.0642012962817877</v>
      </c>
      <c r="S6" s="43">
        <f>Q6/R6</f>
        <v>26385.7600719589</v>
      </c>
      <c r="T6" s="20">
        <v>871.71</v>
      </c>
      <c r="U6" s="42">
        <f>V3</f>
        <v>3.99737975</v>
      </c>
      <c r="V6" s="43">
        <f>T6/U6</f>
        <v>218.070349708456</v>
      </c>
      <c r="W6" s="20">
        <v>922.39</v>
      </c>
      <c r="X6" s="42">
        <f>Y3</f>
        <v>-8.12773658181818</v>
      </c>
      <c r="Y6" s="39">
        <f>W6/X6</f>
        <v>-113.48669961369</v>
      </c>
      <c r="Z6" s="20">
        <v>454.1</v>
      </c>
      <c r="AA6" s="42">
        <f>AB3</f>
        <v>0.148719793281654</v>
      </c>
      <c r="AB6" s="49">
        <f>Z6/AA6</f>
        <v>3053.39316293965</v>
      </c>
      <c r="AC6" s="20">
        <v>5290</v>
      </c>
      <c r="AD6" s="42">
        <f>AE3</f>
        <v>19.3079688036396</v>
      </c>
      <c r="AE6" s="43">
        <f>AC6/AD6</f>
        <v>273.980140210441</v>
      </c>
    </row>
    <row r="7" spans="1:31">
      <c r="A7" s="2"/>
      <c r="B7" s="41"/>
      <c r="C7" s="2" t="s">
        <v>169</v>
      </c>
      <c r="D7" s="2"/>
      <c r="E7" s="20"/>
      <c r="F7" s="42"/>
      <c r="G7" s="43"/>
      <c r="H7" s="20"/>
      <c r="I7" s="42"/>
      <c r="J7" s="38"/>
      <c r="K7" s="20"/>
      <c r="L7" s="42"/>
      <c r="M7" s="38"/>
      <c r="N7" s="20"/>
      <c r="O7" s="42"/>
      <c r="P7" s="70"/>
      <c r="Q7" s="20"/>
      <c r="R7" s="42"/>
      <c r="S7" s="43"/>
      <c r="T7" s="20"/>
      <c r="U7" s="42"/>
      <c r="V7" s="43"/>
      <c r="W7" s="20"/>
      <c r="X7" s="42"/>
      <c r="Y7" s="39"/>
      <c r="Z7" s="20"/>
      <c r="AA7" s="42"/>
      <c r="AB7" s="49"/>
      <c r="AC7" s="20"/>
      <c r="AD7" s="42"/>
      <c r="AE7" s="43"/>
    </row>
    <row r="8" spans="1:31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</row>
    <row r="9" spans="1:31">
      <c r="A9" s="2">
        <v>3</v>
      </c>
      <c r="B9" s="2" t="s">
        <v>170</v>
      </c>
      <c r="C9" s="2" t="s">
        <v>491</v>
      </c>
      <c r="D9" s="2" t="s">
        <v>175</v>
      </c>
      <c r="E9" s="20">
        <f>E3</f>
        <v>532690961</v>
      </c>
      <c r="F9" s="20">
        <v>337758676</v>
      </c>
      <c r="G9" s="44">
        <f>((E9-F9)/F9)</f>
        <v>0.577134797271647</v>
      </c>
      <c r="H9" s="20">
        <f>H3</f>
        <v>2668192000</v>
      </c>
      <c r="I9" s="20">
        <v>6235502000</v>
      </c>
      <c r="J9" s="44">
        <f>((H9-I9)/I9)</f>
        <v>-0.572096681229515</v>
      </c>
      <c r="K9" s="20">
        <f>K3</f>
        <v>1390309152</v>
      </c>
      <c r="L9" s="20">
        <v>1313540024</v>
      </c>
      <c r="M9" s="44">
        <f>((K9-L9)/L9)</f>
        <v>0.0584444528505665</v>
      </c>
      <c r="N9" s="20">
        <f>N3</f>
        <v>100532914</v>
      </c>
      <c r="O9" s="20">
        <v>21735897</v>
      </c>
      <c r="P9" s="44">
        <f>((N9-O9)/O9)</f>
        <v>3.62520198729319</v>
      </c>
      <c r="Q9" s="20">
        <f>Q3</f>
        <v>523632</v>
      </c>
      <c r="R9" s="20">
        <v>21337244</v>
      </c>
      <c r="S9" s="44">
        <f>((Q9-R9)/R9)</f>
        <v>-0.975459248626486</v>
      </c>
      <c r="T9" s="20">
        <f>T3</f>
        <v>31979038</v>
      </c>
      <c r="U9" s="20">
        <v>-17580246</v>
      </c>
      <c r="V9" s="44">
        <f>((T9-U9)/-U9)</f>
        <v>2.81903245267444</v>
      </c>
      <c r="W9" s="20">
        <f>W3</f>
        <v>-55878189</v>
      </c>
      <c r="X9" s="20">
        <v>-58570530</v>
      </c>
      <c r="Y9" s="44">
        <f>((W9-X9)/-X9)</f>
        <v>0.0459675027697376</v>
      </c>
      <c r="Z9" s="20">
        <f>Z3</f>
        <v>1438864</v>
      </c>
      <c r="AA9" s="20">
        <v>2072902</v>
      </c>
      <c r="AB9" s="44">
        <f>((Z9-AA9)/AA9)</f>
        <v>-0.30586974203315</v>
      </c>
      <c r="AC9" s="20">
        <f>AC3</f>
        <v>61923919</v>
      </c>
      <c r="AD9" s="20">
        <v>63218453</v>
      </c>
      <c r="AE9" s="44">
        <f>((AC9-AD9)/AD9)</f>
        <v>-0.0204771540360217</v>
      </c>
    </row>
    <row r="10" spans="1:31">
      <c r="A10" s="45"/>
      <c r="E10" s="45"/>
      <c r="G10" s="48"/>
      <c r="H10" s="45"/>
      <c r="J10" s="48"/>
      <c r="K10" s="45"/>
      <c r="M10" s="48"/>
      <c r="N10" s="45"/>
      <c r="P10" s="48"/>
      <c r="Q10" s="45"/>
      <c r="S10" s="48"/>
      <c r="T10" s="45"/>
      <c r="V10" s="71" t="s">
        <v>492</v>
      </c>
      <c r="W10" s="45"/>
      <c r="Y10" s="71"/>
      <c r="Z10" s="45"/>
      <c r="AB10" s="71"/>
      <c r="AC10" s="45"/>
      <c r="AE10" s="71"/>
    </row>
    <row r="11" spans="1:31">
      <c r="A11" s="2">
        <v>4</v>
      </c>
      <c r="B11" s="2" t="s">
        <v>94</v>
      </c>
      <c r="C11" s="37" t="s">
        <v>161</v>
      </c>
      <c r="D11" s="2" t="s">
        <v>175</v>
      </c>
      <c r="E11" s="20">
        <f>E3</f>
        <v>532690961</v>
      </c>
      <c r="F11" s="20">
        <v>19993674338</v>
      </c>
      <c r="G11" s="44">
        <f>E11/F11</f>
        <v>0.0266429747726543</v>
      </c>
      <c r="H11" s="20">
        <f>H3</f>
        <v>2668192000</v>
      </c>
      <c r="I11" s="20">
        <v>89115120000</v>
      </c>
      <c r="J11" s="44">
        <f>H11/I11</f>
        <v>0.029940957269653</v>
      </c>
      <c r="K11" s="20">
        <f>K3</f>
        <v>1390309152</v>
      </c>
      <c r="L11" s="20">
        <v>16798401952</v>
      </c>
      <c r="M11" s="44">
        <f>K11/L11</f>
        <v>0.0827643698473634</v>
      </c>
      <c r="N11" s="20">
        <f>N3</f>
        <v>100532914</v>
      </c>
      <c r="O11" s="20">
        <v>763211749</v>
      </c>
      <c r="P11" s="44">
        <f>N11/O11</f>
        <v>0.131723488444358</v>
      </c>
      <c r="Q11" s="20">
        <f>Q3</f>
        <v>523632</v>
      </c>
      <c r="R11" s="20">
        <v>863940884</v>
      </c>
      <c r="S11" s="44">
        <f>Q11/R11</f>
        <v>0.000606097025499722</v>
      </c>
      <c r="T11" s="20">
        <f>T3</f>
        <v>31979038</v>
      </c>
      <c r="U11" s="20">
        <v>803837901</v>
      </c>
      <c r="V11" s="44">
        <f>T11/U11</f>
        <v>0.0397829437504963</v>
      </c>
      <c r="W11" s="20">
        <f>W3</f>
        <v>-55878189</v>
      </c>
      <c r="X11" s="20">
        <v>510883448</v>
      </c>
      <c r="Y11" s="72">
        <f>W11/X11</f>
        <v>-0.109375610462134</v>
      </c>
      <c r="Z11" s="20">
        <f>Z3</f>
        <v>1438864</v>
      </c>
      <c r="AA11" s="20">
        <v>858184665</v>
      </c>
      <c r="AB11" s="44">
        <f>Z11/AA11</f>
        <v>0.00167663681102948</v>
      </c>
      <c r="AC11" s="20">
        <f>AC3</f>
        <v>61923919</v>
      </c>
      <c r="AD11" s="20">
        <v>1779491467</v>
      </c>
      <c r="AE11" s="44">
        <f>AC11/AD11</f>
        <v>0.0347986602624153</v>
      </c>
    </row>
    <row r="12" spans="1:31">
      <c r="A12" s="2"/>
      <c r="B12" s="2"/>
      <c r="C12" s="2" t="s">
        <v>176</v>
      </c>
      <c r="D12" s="2"/>
      <c r="E12" s="20"/>
      <c r="F12" s="2"/>
      <c r="G12" s="44"/>
      <c r="H12" s="20"/>
      <c r="I12" s="2"/>
      <c r="J12" s="44"/>
      <c r="K12" s="20"/>
      <c r="L12" s="2"/>
      <c r="M12" s="44"/>
      <c r="N12" s="20"/>
      <c r="O12" s="2"/>
      <c r="P12" s="44"/>
      <c r="Q12" s="20"/>
      <c r="R12" s="2"/>
      <c r="S12" s="44"/>
      <c r="T12" s="20"/>
      <c r="U12" s="2"/>
      <c r="V12" s="44"/>
      <c r="W12" s="20"/>
      <c r="X12" s="2"/>
      <c r="Y12" s="72"/>
      <c r="Z12" s="20"/>
      <c r="AA12" s="2"/>
      <c r="AB12" s="44"/>
      <c r="AC12" s="20"/>
      <c r="AD12" s="2"/>
      <c r="AE12" s="44"/>
    </row>
    <row r="13" spans="1:31">
      <c r="A13" s="2"/>
      <c r="B13" s="2"/>
      <c r="C13" s="2"/>
      <c r="D13" s="2"/>
      <c r="E13" s="20"/>
      <c r="F13" s="2"/>
      <c r="G13" s="38"/>
      <c r="H13" s="20"/>
      <c r="I13" s="2"/>
      <c r="J13" s="38"/>
      <c r="K13" s="20"/>
      <c r="L13" s="2"/>
      <c r="M13" s="38"/>
      <c r="N13" s="20"/>
      <c r="O13" s="2"/>
      <c r="P13" s="38"/>
      <c r="Q13" s="20"/>
      <c r="R13" s="2"/>
      <c r="S13" s="38"/>
      <c r="T13" s="20"/>
      <c r="U13" s="2"/>
      <c r="V13" s="38"/>
      <c r="W13" s="20"/>
      <c r="X13" s="2"/>
      <c r="Y13" s="38"/>
      <c r="Z13" s="20"/>
      <c r="AA13" s="2"/>
      <c r="AB13" s="38"/>
      <c r="AC13" s="20"/>
      <c r="AD13" s="2"/>
      <c r="AE13" s="38"/>
    </row>
    <row r="14" spans="1:31">
      <c r="A14" s="2">
        <v>5</v>
      </c>
      <c r="B14" s="2" t="s">
        <v>180</v>
      </c>
      <c r="C14" s="37" t="s">
        <v>176</v>
      </c>
      <c r="D14" s="2" t="s">
        <v>181</v>
      </c>
      <c r="E14" s="20">
        <f>F11</f>
        <v>19993674338</v>
      </c>
      <c r="F14" s="20">
        <f>F3</f>
        <v>134221870</v>
      </c>
      <c r="G14" s="38">
        <f>E14/F14</f>
        <v>148.959885136454</v>
      </c>
      <c r="H14" s="20">
        <f>I11</f>
        <v>89115120000</v>
      </c>
      <c r="I14" s="20">
        <f>I3</f>
        <v>180000000</v>
      </c>
      <c r="J14" s="38">
        <f>H14/I14</f>
        <v>495.084</v>
      </c>
      <c r="K14" s="20">
        <f>L11</f>
        <v>16798401952</v>
      </c>
      <c r="L14" s="20">
        <f>L3</f>
        <v>108680000</v>
      </c>
      <c r="M14" s="38">
        <f>K14/L14</f>
        <v>154.567555686419</v>
      </c>
      <c r="N14" s="20">
        <f>O11</f>
        <v>763211749</v>
      </c>
      <c r="O14" s="20">
        <f>O3</f>
        <v>7000000</v>
      </c>
      <c r="P14" s="38">
        <f>N14/O14</f>
        <v>109.030249857143</v>
      </c>
      <c r="Q14" s="20">
        <f>R11</f>
        <v>863940884</v>
      </c>
      <c r="R14" s="20">
        <f>R3</f>
        <v>8156097</v>
      </c>
      <c r="S14" s="38">
        <f>Q14/R14</f>
        <v>105.925773565469</v>
      </c>
      <c r="T14" s="20">
        <f>U11</f>
        <v>803837901</v>
      </c>
      <c r="U14" s="20">
        <f>U3</f>
        <v>8000000</v>
      </c>
      <c r="V14" s="38">
        <f>T14/U14</f>
        <v>100.479737625</v>
      </c>
      <c r="W14" s="20">
        <f>X11</f>
        <v>510883448</v>
      </c>
      <c r="X14" s="20">
        <f>X3</f>
        <v>6875000</v>
      </c>
      <c r="Y14" s="38">
        <f>W14/X14</f>
        <v>74.3103197090909</v>
      </c>
      <c r="Z14" s="20">
        <f>AA11</f>
        <v>858184665</v>
      </c>
      <c r="AA14" s="20">
        <f>AA3</f>
        <v>9675000</v>
      </c>
      <c r="AB14" s="38">
        <f>Z14/AA14</f>
        <v>88.7012573643411</v>
      </c>
      <c r="AC14" s="20">
        <f>AD11</f>
        <v>1779491467</v>
      </c>
      <c r="AD14" s="20">
        <f>AD3</f>
        <v>3207169</v>
      </c>
      <c r="AE14" s="38">
        <f>AC14/AD14</f>
        <v>554.848050414556</v>
      </c>
    </row>
    <row r="15" spans="1:31">
      <c r="A15" s="2"/>
      <c r="B15" s="2"/>
      <c r="C15" s="6" t="s">
        <v>163</v>
      </c>
      <c r="D15" s="2"/>
      <c r="E15" s="20"/>
      <c r="F15" s="20"/>
      <c r="G15" s="38"/>
      <c r="H15" s="20"/>
      <c r="I15" s="20"/>
      <c r="J15" s="38"/>
      <c r="K15" s="20"/>
      <c r="L15" s="20"/>
      <c r="M15" s="38"/>
      <c r="N15" s="20"/>
      <c r="O15" s="20"/>
      <c r="P15" s="38"/>
      <c r="Q15" s="20"/>
      <c r="R15" s="20"/>
      <c r="S15" s="38"/>
      <c r="T15" s="20"/>
      <c r="U15" s="20"/>
      <c r="V15" s="38"/>
      <c r="W15" s="20"/>
      <c r="X15" s="20"/>
      <c r="Y15" s="38"/>
      <c r="Z15" s="20"/>
      <c r="AA15" s="20"/>
      <c r="AB15" s="38"/>
      <c r="AC15" s="20"/>
      <c r="AD15" s="20"/>
      <c r="AE15" s="38"/>
    </row>
    <row r="16" spans="1:31">
      <c r="A16" s="2"/>
      <c r="B16" s="2"/>
      <c r="C16" s="6"/>
      <c r="D16" s="2"/>
      <c r="E16" s="20"/>
      <c r="F16" s="20"/>
      <c r="G16" s="38"/>
      <c r="H16" s="20"/>
      <c r="I16" s="20"/>
      <c r="J16" s="38"/>
      <c r="K16" s="20"/>
      <c r="L16" s="20"/>
      <c r="M16" s="38"/>
      <c r="N16" s="20"/>
      <c r="O16" s="20"/>
      <c r="P16" s="38"/>
      <c r="Q16" s="20"/>
      <c r="R16" s="20"/>
      <c r="S16" s="38"/>
      <c r="T16" s="20"/>
      <c r="U16" s="20"/>
      <c r="V16" s="38"/>
      <c r="W16" s="20"/>
      <c r="X16" s="20"/>
      <c r="Y16" s="38"/>
      <c r="Z16" s="20"/>
      <c r="AA16" s="20"/>
      <c r="AB16" s="38"/>
      <c r="AC16" s="20"/>
      <c r="AD16" s="20"/>
      <c r="AE16" s="38"/>
    </row>
    <row r="17" spans="1:31">
      <c r="A17" s="2">
        <v>6</v>
      </c>
      <c r="B17" s="2" t="s">
        <v>182</v>
      </c>
      <c r="C17" s="37" t="s">
        <v>183</v>
      </c>
      <c r="D17" s="50" t="s">
        <v>184</v>
      </c>
      <c r="E17" s="20">
        <f>E6</f>
        <v>760</v>
      </c>
      <c r="F17" s="42">
        <f>G14</f>
        <v>148.959885136454</v>
      </c>
      <c r="G17" s="38">
        <f>E17/F17</f>
        <v>5.10204475053004</v>
      </c>
      <c r="H17" s="20">
        <f>H6</f>
        <v>877.27</v>
      </c>
      <c r="I17" s="42">
        <f>J14</f>
        <v>495.084</v>
      </c>
      <c r="J17" s="38">
        <f>H17/I17</f>
        <v>1.77196192969274</v>
      </c>
      <c r="K17" s="20">
        <f>K6</f>
        <v>922.78</v>
      </c>
      <c r="L17" s="42">
        <f>M14</f>
        <v>154.567555686419</v>
      </c>
      <c r="M17" s="38">
        <f>K17/L17</f>
        <v>5.97007564687186</v>
      </c>
      <c r="N17" s="20">
        <f>N6</f>
        <v>1694</v>
      </c>
      <c r="O17" s="42">
        <f>P14</f>
        <v>109.030249857143</v>
      </c>
      <c r="P17" s="38">
        <f>N17/O17</f>
        <v>15.5369725577954</v>
      </c>
      <c r="Q17" s="20">
        <f>Q6</f>
        <v>1694</v>
      </c>
      <c r="R17" s="42">
        <f>S14</f>
        <v>105.925773565469</v>
      </c>
      <c r="S17" s="38">
        <f>Q17/R17</f>
        <v>15.9923306951636</v>
      </c>
      <c r="T17" s="20">
        <f>T6</f>
        <v>871.71</v>
      </c>
      <c r="U17" s="42">
        <f>V14</f>
        <v>100.479737625</v>
      </c>
      <c r="V17" s="38">
        <f>T17/U17</f>
        <v>8.67548045610256</v>
      </c>
      <c r="W17" s="20">
        <f>W6</f>
        <v>922.39</v>
      </c>
      <c r="X17" s="42">
        <f>Y14</f>
        <v>74.3103197090909</v>
      </c>
      <c r="Y17" s="38">
        <f>W17/X17</f>
        <v>12.4126770495802</v>
      </c>
      <c r="Z17" s="20">
        <f>Z6</f>
        <v>454.1</v>
      </c>
      <c r="AA17" s="42">
        <f>AB14</f>
        <v>88.7012573643411</v>
      </c>
      <c r="AB17" s="38">
        <f>Z17/AA17</f>
        <v>5.11943137553035</v>
      </c>
      <c r="AC17" s="20">
        <f>AC6</f>
        <v>5290</v>
      </c>
      <c r="AD17" s="42">
        <f>AE14</f>
        <v>554.848050414556</v>
      </c>
      <c r="AE17" s="38">
        <f>AC17/AD17</f>
        <v>9.53414181783205</v>
      </c>
    </row>
    <row r="18" spans="1:31">
      <c r="A18" s="2"/>
      <c r="B18" s="2"/>
      <c r="C18" s="2" t="s">
        <v>185</v>
      </c>
      <c r="D18" s="2"/>
      <c r="E18" s="20"/>
      <c r="F18" s="42"/>
      <c r="G18" s="38"/>
      <c r="H18" s="20"/>
      <c r="I18" s="42"/>
      <c r="J18" s="38"/>
      <c r="K18" s="20"/>
      <c r="L18" s="42"/>
      <c r="M18" s="38"/>
      <c r="N18" s="20"/>
      <c r="O18" s="42"/>
      <c r="P18" s="38"/>
      <c r="Q18" s="20"/>
      <c r="R18" s="42"/>
      <c r="S18" s="38"/>
      <c r="T18" s="20"/>
      <c r="U18" s="42"/>
      <c r="V18" s="38"/>
      <c r="W18" s="20"/>
      <c r="X18" s="42"/>
      <c r="Y18" s="38"/>
      <c r="Z18" s="20"/>
      <c r="AA18" s="42"/>
      <c r="AB18" s="38"/>
      <c r="AC18" s="20"/>
      <c r="AD18" s="42"/>
      <c r="AE18" s="38"/>
    </row>
    <row r="19" spans="1:31">
      <c r="A19" s="2"/>
      <c r="B19" s="2"/>
      <c r="C19" s="2"/>
      <c r="D19" s="2"/>
      <c r="E19" s="20"/>
      <c r="F19" s="42"/>
      <c r="G19" s="38"/>
      <c r="H19" s="20"/>
      <c r="I19" s="42"/>
      <c r="J19" s="38"/>
      <c r="K19" s="20"/>
      <c r="L19" s="42"/>
      <c r="M19" s="38"/>
      <c r="N19" s="20"/>
      <c r="O19" s="42"/>
      <c r="P19" s="38"/>
      <c r="Q19" s="20"/>
      <c r="R19" s="42"/>
      <c r="S19" s="38"/>
      <c r="T19" s="20"/>
      <c r="U19" s="42"/>
      <c r="V19" s="38"/>
      <c r="W19" s="20"/>
      <c r="X19" s="42"/>
      <c r="Y19" s="38"/>
      <c r="Z19" s="20"/>
      <c r="AA19" s="42"/>
      <c r="AB19" s="38"/>
      <c r="AC19" s="20"/>
      <c r="AD19" s="42"/>
      <c r="AE19" s="38"/>
    </row>
    <row r="20" spans="1:31">
      <c r="A20" s="2">
        <v>7</v>
      </c>
      <c r="B20" s="2" t="s">
        <v>186</v>
      </c>
      <c r="C20" s="37" t="s">
        <v>187</v>
      </c>
      <c r="D20" s="41" t="s">
        <v>295</v>
      </c>
      <c r="E20" s="42">
        <v>0</v>
      </c>
      <c r="F20" s="20">
        <f>E6</f>
        <v>760</v>
      </c>
      <c r="G20" s="38">
        <f>(E20/F20)*100</f>
        <v>0</v>
      </c>
      <c r="H20" s="42">
        <v>30</v>
      </c>
      <c r="I20" s="20">
        <f>H6</f>
        <v>877.27</v>
      </c>
      <c r="J20" s="38">
        <f>(H20/I20)*100</f>
        <v>3.41969975036192</v>
      </c>
      <c r="K20" s="42">
        <v>4.74</v>
      </c>
      <c r="L20" s="20">
        <f>K6</f>
        <v>922.78</v>
      </c>
      <c r="M20" s="38">
        <f>(K20/L20)*100</f>
        <v>0.513665228981989</v>
      </c>
      <c r="N20" s="42">
        <v>0</v>
      </c>
      <c r="O20" s="20">
        <f>N6</f>
        <v>1694</v>
      </c>
      <c r="P20" s="38">
        <f>(N20/O20)*100</f>
        <v>0</v>
      </c>
      <c r="Q20" s="42">
        <v>0</v>
      </c>
      <c r="R20" s="20">
        <f>Q6</f>
        <v>1694</v>
      </c>
      <c r="S20" s="38">
        <f>(Q20/R20)*100</f>
        <v>0</v>
      </c>
      <c r="T20" s="42">
        <v>0</v>
      </c>
      <c r="U20" s="20">
        <f>T6</f>
        <v>871.71</v>
      </c>
      <c r="V20" s="38">
        <f>(T20/U20)*100</f>
        <v>0</v>
      </c>
      <c r="W20" s="42">
        <v>0</v>
      </c>
      <c r="X20" s="20">
        <f>W6</f>
        <v>922.39</v>
      </c>
      <c r="Y20" s="38">
        <f>(W20/X20)*100</f>
        <v>0</v>
      </c>
      <c r="Z20" s="42">
        <v>0</v>
      </c>
      <c r="AA20" s="20">
        <f>Z6</f>
        <v>454.1</v>
      </c>
      <c r="AB20" s="38">
        <f>(Z20/AA20)*100</f>
        <v>0</v>
      </c>
      <c r="AC20" s="42">
        <v>10</v>
      </c>
      <c r="AD20" s="20">
        <f>AC6</f>
        <v>5290</v>
      </c>
      <c r="AE20" s="38">
        <f>(AC20/AD20)*100</f>
        <v>0.189035916824197</v>
      </c>
    </row>
    <row r="21" spans="1:31">
      <c r="A21" s="2"/>
      <c r="B21" s="2"/>
      <c r="C21" s="2" t="s">
        <v>189</v>
      </c>
      <c r="D21" s="41"/>
      <c r="E21" s="42"/>
      <c r="F21" s="20"/>
      <c r="G21" s="38"/>
      <c r="H21" s="42"/>
      <c r="I21" s="20"/>
      <c r="J21" s="38"/>
      <c r="K21" s="42"/>
      <c r="L21" s="20"/>
      <c r="M21" s="38"/>
      <c r="N21" s="42"/>
      <c r="O21" s="20"/>
      <c r="P21" s="38"/>
      <c r="Q21" s="42"/>
      <c r="R21" s="20"/>
      <c r="S21" s="38"/>
      <c r="T21" s="42"/>
      <c r="U21" s="20"/>
      <c r="V21" s="38"/>
      <c r="W21" s="42"/>
      <c r="X21" s="20"/>
      <c r="Y21" s="38"/>
      <c r="Z21" s="42"/>
      <c r="AA21" s="20"/>
      <c r="AB21" s="38"/>
      <c r="AC21" s="42"/>
      <c r="AD21" s="20"/>
      <c r="AE21" s="38"/>
    </row>
    <row r="22" spans="1:31">
      <c r="A22" s="2"/>
      <c r="B22" s="2"/>
      <c r="C22" s="2"/>
      <c r="D22" s="2"/>
      <c r="E22" s="20"/>
      <c r="F22" s="42"/>
      <c r="G22" s="38"/>
      <c r="H22" s="20"/>
      <c r="I22" s="42"/>
      <c r="J22" s="38"/>
      <c r="K22" s="20"/>
      <c r="L22" s="42"/>
      <c r="M22" s="38"/>
      <c r="N22" s="20"/>
      <c r="O22" s="42"/>
      <c r="P22" s="38"/>
      <c r="Q22" s="20"/>
      <c r="R22" s="42"/>
      <c r="S22" s="38"/>
      <c r="T22" s="20"/>
      <c r="U22" s="42"/>
      <c r="V22" s="38"/>
      <c r="W22" s="20"/>
      <c r="X22" s="42"/>
      <c r="Y22" s="38"/>
      <c r="Z22" s="20"/>
      <c r="AA22" s="42"/>
      <c r="AB22" s="38"/>
      <c r="AC22" s="20"/>
      <c r="AD22" s="42"/>
      <c r="AE22" s="38"/>
    </row>
    <row r="23" spans="1:31">
      <c r="A23" s="2">
        <v>8</v>
      </c>
      <c r="B23" s="2" t="s">
        <v>202</v>
      </c>
      <c r="C23" s="37" t="s">
        <v>203</v>
      </c>
      <c r="D23" s="2" t="s">
        <v>172</v>
      </c>
      <c r="E23" s="20">
        <v>34502894024</v>
      </c>
      <c r="F23" s="46">
        <f>F3</f>
        <v>134221870</v>
      </c>
      <c r="G23" s="55">
        <f>E23/F23</f>
        <v>257.058659844331</v>
      </c>
      <c r="H23" s="20">
        <v>120928243000</v>
      </c>
      <c r="I23" s="46">
        <f>I3</f>
        <v>180000000</v>
      </c>
      <c r="J23" s="55">
        <f>H23/I23</f>
        <v>671.823572222222</v>
      </c>
      <c r="K23" s="20">
        <v>23782535426</v>
      </c>
      <c r="L23" s="46">
        <f>L3</f>
        <v>108680000</v>
      </c>
      <c r="M23" s="55">
        <f>K23/L23</f>
        <v>218.830837559809</v>
      </c>
      <c r="N23" s="20">
        <v>23782535426</v>
      </c>
      <c r="O23" s="46">
        <f>O3</f>
        <v>7000000</v>
      </c>
      <c r="P23" s="55">
        <f>N23/O23</f>
        <v>3397.50506085714</v>
      </c>
      <c r="Q23" s="20">
        <v>1355792694</v>
      </c>
      <c r="R23" s="46">
        <f>R3</f>
        <v>8156097</v>
      </c>
      <c r="S23" s="55">
        <f>Q23/R23</f>
        <v>166.230574991935</v>
      </c>
      <c r="T23" s="20">
        <v>2320310537</v>
      </c>
      <c r="U23" s="46">
        <f>U3</f>
        <v>8000000</v>
      </c>
      <c r="V23" s="55">
        <f>T23/U23</f>
        <v>290.038817125</v>
      </c>
      <c r="W23" s="20">
        <v>1717363728</v>
      </c>
      <c r="X23" s="46">
        <f>X3</f>
        <v>6875000</v>
      </c>
      <c r="Y23" s="55">
        <f>W23/X23</f>
        <v>249.798360436364</v>
      </c>
      <c r="Z23" s="20">
        <v>1225262587</v>
      </c>
      <c r="AA23" s="46">
        <f>AA3</f>
        <v>9675000</v>
      </c>
      <c r="AB23" s="55">
        <f>Z23/AA23</f>
        <v>126.642127855297</v>
      </c>
      <c r="AC23" s="20">
        <v>7637601013</v>
      </c>
      <c r="AD23" s="46">
        <f>AD3</f>
        <v>3207169</v>
      </c>
      <c r="AE23" s="55">
        <f>AC23/AD23</f>
        <v>2381.41520231706</v>
      </c>
    </row>
    <row r="24" spans="1:31">
      <c r="A24" s="2"/>
      <c r="B24" s="2"/>
      <c r="C24" s="6" t="s">
        <v>163</v>
      </c>
      <c r="D24" s="2"/>
      <c r="E24" s="20"/>
      <c r="F24" s="46"/>
      <c r="G24" s="55"/>
      <c r="H24" s="20"/>
      <c r="I24" s="46"/>
      <c r="J24" s="55"/>
      <c r="K24" s="20"/>
      <c r="L24" s="46"/>
      <c r="M24" s="55"/>
      <c r="N24" s="20"/>
      <c r="O24" s="46"/>
      <c r="P24" s="55"/>
      <c r="Q24" s="20"/>
      <c r="R24" s="46"/>
      <c r="S24" s="55"/>
      <c r="T24" s="20"/>
      <c r="U24" s="46"/>
      <c r="V24" s="55"/>
      <c r="W24" s="20"/>
      <c r="X24" s="46"/>
      <c r="Y24" s="55"/>
      <c r="Z24" s="20"/>
      <c r="AA24" s="46"/>
      <c r="AB24" s="55"/>
      <c r="AC24" s="20"/>
      <c r="AD24" s="46"/>
      <c r="AE24" s="55"/>
    </row>
    <row r="25" spans="1:31">
      <c r="A25" s="2"/>
      <c r="C25" s="2"/>
      <c r="D25" s="2"/>
      <c r="E25" s="20"/>
      <c r="F25" s="42"/>
      <c r="G25" s="38"/>
      <c r="H25" s="20"/>
      <c r="I25" s="42"/>
      <c r="J25" s="38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38"/>
      <c r="W25" s="20"/>
      <c r="X25" s="42"/>
      <c r="Y25" s="38"/>
      <c r="Z25" s="20"/>
      <c r="AA25" s="42"/>
      <c r="AB25" s="38"/>
      <c r="AC25" s="20"/>
      <c r="AD25" s="42"/>
      <c r="AE25" s="38"/>
    </row>
    <row r="26" spans="1:31">
      <c r="A26" s="2">
        <v>9</v>
      </c>
      <c r="B26" s="2" t="s">
        <v>743</v>
      </c>
      <c r="C26" s="37" t="s">
        <v>744</v>
      </c>
      <c r="D26" s="2" t="s">
        <v>172</v>
      </c>
      <c r="E26" s="20">
        <f>E3</f>
        <v>532690961</v>
      </c>
      <c r="F26" s="46">
        <f>E23</f>
        <v>34502894024</v>
      </c>
      <c r="G26" s="47">
        <f>E26/F26</f>
        <v>0.015439022611537</v>
      </c>
      <c r="H26" s="20">
        <f>H3</f>
        <v>2668192000</v>
      </c>
      <c r="I26" s="46">
        <f>H23</f>
        <v>120928243000</v>
      </c>
      <c r="J26" s="47">
        <f>H26/I26</f>
        <v>0.0220642583883403</v>
      </c>
      <c r="K26" s="20">
        <f>K3</f>
        <v>1390309152</v>
      </c>
      <c r="L26" s="46">
        <f>K23</f>
        <v>23782535426</v>
      </c>
      <c r="M26" s="47">
        <f>K26/L26</f>
        <v>0.0584592486501695</v>
      </c>
      <c r="N26" s="20">
        <f>N3</f>
        <v>100532914</v>
      </c>
      <c r="O26" s="46">
        <f>N23</f>
        <v>23782535426</v>
      </c>
      <c r="P26" s="47">
        <f>N26/O26</f>
        <v>0.00422717394084457</v>
      </c>
      <c r="Q26" s="20">
        <f>Q3</f>
        <v>523632</v>
      </c>
      <c r="R26" s="46">
        <f>Q23</f>
        <v>1355792694</v>
      </c>
      <c r="S26" s="47">
        <f>Q26/R26</f>
        <v>0.000386218337299876</v>
      </c>
      <c r="T26" s="20">
        <f>T3</f>
        <v>31979038</v>
      </c>
      <c r="U26" s="46">
        <f>T23</f>
        <v>2320310537</v>
      </c>
      <c r="V26" s="47">
        <f>T26/U26</f>
        <v>0.0137822233231534</v>
      </c>
      <c r="W26" s="20">
        <f>W3</f>
        <v>-55878189</v>
      </c>
      <c r="X26" s="46">
        <f>W23</f>
        <v>1717363728</v>
      </c>
      <c r="Y26" s="47">
        <f>W26/X26</f>
        <v>-0.0325371894660163</v>
      </c>
      <c r="Z26" s="20">
        <f>Z3</f>
        <v>1438864</v>
      </c>
      <c r="AA26" s="46">
        <f>Z23</f>
        <v>1225262587</v>
      </c>
      <c r="AB26" s="47">
        <f>Z26/AA26</f>
        <v>0.00117433113135609</v>
      </c>
      <c r="AC26" s="20">
        <f>AC3</f>
        <v>61923919</v>
      </c>
      <c r="AD26" s="46">
        <f>AC23</f>
        <v>7637601013</v>
      </c>
      <c r="AE26" s="47">
        <f>AC26/AD26</f>
        <v>0.00810777086870589</v>
      </c>
    </row>
    <row r="27" spans="1:31">
      <c r="A27" s="2"/>
      <c r="B27" s="2"/>
      <c r="C27" s="2" t="s">
        <v>741</v>
      </c>
      <c r="D27" s="2"/>
      <c r="E27" s="20"/>
      <c r="F27" s="46"/>
      <c r="G27" s="47"/>
      <c r="H27" s="20"/>
      <c r="I27" s="46"/>
      <c r="J27" s="47"/>
      <c r="K27" s="20"/>
      <c r="L27" s="46"/>
      <c r="M27" s="47"/>
      <c r="N27" s="20"/>
      <c r="O27" s="46"/>
      <c r="P27" s="47"/>
      <c r="Q27" s="20"/>
      <c r="R27" s="46"/>
      <c r="S27" s="47"/>
      <c r="T27" s="20"/>
      <c r="U27" s="46"/>
      <c r="V27" s="47"/>
      <c r="W27" s="20"/>
      <c r="X27" s="46"/>
      <c r="Y27" s="47"/>
      <c r="Z27" s="20"/>
      <c r="AA27" s="46"/>
      <c r="AB27" s="47"/>
      <c r="AC27" s="20"/>
      <c r="AD27" s="46"/>
      <c r="AE27" s="47"/>
    </row>
    <row r="28" spans="1:31">
      <c r="G28" s="38"/>
      <c r="J28" s="48"/>
      <c r="M28" s="48"/>
      <c r="P28" s="48"/>
      <c r="S28" s="48"/>
      <c r="V28" s="48"/>
      <c r="Y28" s="48"/>
      <c r="AB28" s="48"/>
      <c r="AE28" s="48"/>
    </row>
    <row r="29" spans="1:31">
      <c r="A29" s="2">
        <v>10</v>
      </c>
      <c r="B29" s="41" t="s">
        <v>455</v>
      </c>
      <c r="C29" s="37" t="s">
        <v>456</v>
      </c>
      <c r="D29" s="41" t="s">
        <v>237</v>
      </c>
      <c r="E29" s="20"/>
      <c r="F29" s="46" t="s">
        <v>757</v>
      </c>
      <c r="G29" s="55">
        <v>0</v>
      </c>
      <c r="H29" s="20">
        <v>44927445000</v>
      </c>
      <c r="I29" s="46">
        <v>18811702000</v>
      </c>
      <c r="J29" s="55">
        <f>H29/I29</f>
        <v>2.38827114101637</v>
      </c>
      <c r="K29" s="20"/>
      <c r="L29" s="46" t="s">
        <v>757</v>
      </c>
      <c r="M29" s="47">
        <v>3.52</v>
      </c>
      <c r="N29" s="20">
        <v>809717962</v>
      </c>
      <c r="O29" s="46">
        <v>363618904</v>
      </c>
      <c r="P29" s="53">
        <f>N29/O29</f>
        <v>2.22683131457874</v>
      </c>
      <c r="Q29" s="20">
        <v>170975571</v>
      </c>
      <c r="R29" s="46">
        <v>295043904</v>
      </c>
      <c r="S29" s="53">
        <f>Q29/R29</f>
        <v>0.579491962660581</v>
      </c>
      <c r="T29" s="20">
        <v>59906984</v>
      </c>
      <c r="U29" s="46">
        <v>122515181</v>
      </c>
      <c r="V29" s="53">
        <f>T29/U29</f>
        <v>0.488976006981535</v>
      </c>
      <c r="W29" s="20">
        <v>148952396</v>
      </c>
      <c r="X29" s="46">
        <v>212242091</v>
      </c>
      <c r="Y29" s="53">
        <f>W29/X29</f>
        <v>0.701804224120653</v>
      </c>
      <c r="Z29" s="20">
        <v>526836128</v>
      </c>
      <c r="AA29" s="46">
        <v>211464606</v>
      </c>
      <c r="AB29" s="53">
        <f>Z29/AA29</f>
        <v>2.49136788404202</v>
      </c>
      <c r="AC29" s="20">
        <v>5379136774</v>
      </c>
      <c r="AD29" s="46">
        <v>5835609546</v>
      </c>
      <c r="AE29" s="53">
        <f>AC29/AD29</f>
        <v>0.921778047622654</v>
      </c>
    </row>
    <row r="30" spans="1:31">
      <c r="A30" s="2"/>
      <c r="B30" s="41"/>
      <c r="C30" s="2" t="s">
        <v>457</v>
      </c>
      <c r="D30" s="41"/>
      <c r="E30" s="20"/>
      <c r="F30" s="46"/>
      <c r="G30" s="55"/>
      <c r="H30" s="20"/>
      <c r="I30" s="46"/>
      <c r="J30" s="55"/>
      <c r="K30" s="20"/>
      <c r="L30" s="46"/>
      <c r="M30" s="47"/>
      <c r="N30" s="20"/>
      <c r="O30" s="46"/>
      <c r="P30" s="53"/>
      <c r="Q30" s="20"/>
      <c r="R30" s="46"/>
      <c r="S30" s="53"/>
      <c r="T30" s="20"/>
      <c r="U30" s="46"/>
      <c r="V30" s="53"/>
      <c r="W30" s="20"/>
      <c r="X30" s="46"/>
      <c r="Y30" s="53"/>
      <c r="Z30" s="20"/>
      <c r="AA30" s="46"/>
      <c r="AB30" s="53"/>
      <c r="AC30" s="20"/>
      <c r="AD30" s="46"/>
      <c r="AE30" s="53"/>
    </row>
    <row r="38" ht="15.75" spans="2:7">
      <c r="B38" s="64" t="s">
        <v>505</v>
      </c>
      <c r="C38" s="65"/>
      <c r="D38" s="65"/>
      <c r="E38" s="65"/>
      <c r="F38" s="65"/>
      <c r="G38" s="65"/>
    </row>
    <row r="39" spans="2:7">
      <c r="B39" s="2"/>
      <c r="C39" s="66"/>
      <c r="D39" s="73"/>
      <c r="E39" s="73"/>
      <c r="F39" s="73"/>
      <c r="G39" s="73"/>
    </row>
    <row r="40" spans="2:7">
      <c r="B40" s="2"/>
    </row>
  </sheetData>
  <mergeCells count="282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B38:G38"/>
    <mergeCell ref="D39:G39"/>
    <mergeCell ref="A3:A4"/>
    <mergeCell ref="A6:A7"/>
    <mergeCell ref="A11:A12"/>
    <mergeCell ref="A14:A15"/>
    <mergeCell ref="A17:A18"/>
    <mergeCell ref="A20:A21"/>
    <mergeCell ref="A23:A24"/>
    <mergeCell ref="A26:A27"/>
    <mergeCell ref="A29:A30"/>
    <mergeCell ref="B3:B4"/>
    <mergeCell ref="B6:B7"/>
    <mergeCell ref="B11:B12"/>
    <mergeCell ref="B14:B15"/>
    <mergeCell ref="B17:B18"/>
    <mergeCell ref="B20:B21"/>
    <mergeCell ref="B23:B24"/>
    <mergeCell ref="B26:B27"/>
    <mergeCell ref="B29:B30"/>
    <mergeCell ref="D3:D4"/>
    <mergeCell ref="D6:D7"/>
    <mergeCell ref="D11:D12"/>
    <mergeCell ref="D14:D15"/>
    <mergeCell ref="D17:D18"/>
    <mergeCell ref="D20:D21"/>
    <mergeCell ref="D23:D24"/>
    <mergeCell ref="D26:D27"/>
    <mergeCell ref="D29:D30"/>
    <mergeCell ref="E3:E4"/>
    <mergeCell ref="E6:E7"/>
    <mergeCell ref="E11:E12"/>
    <mergeCell ref="E14:E15"/>
    <mergeCell ref="E17:E18"/>
    <mergeCell ref="E20:E21"/>
    <mergeCell ref="E23:E24"/>
    <mergeCell ref="E26:E27"/>
    <mergeCell ref="E29:E30"/>
    <mergeCell ref="F3:F4"/>
    <mergeCell ref="F6:F7"/>
    <mergeCell ref="F11:F12"/>
    <mergeCell ref="F14:F15"/>
    <mergeCell ref="F17:F18"/>
    <mergeCell ref="F20:F21"/>
    <mergeCell ref="F23:F24"/>
    <mergeCell ref="F26:F27"/>
    <mergeCell ref="F29:F30"/>
    <mergeCell ref="G3:G4"/>
    <mergeCell ref="G6:G7"/>
    <mergeCell ref="G11:G12"/>
    <mergeCell ref="G14:G15"/>
    <mergeCell ref="G17:G18"/>
    <mergeCell ref="G20:G21"/>
    <mergeCell ref="G23:G24"/>
    <mergeCell ref="G26:G27"/>
    <mergeCell ref="G29:G30"/>
    <mergeCell ref="H3:H4"/>
    <mergeCell ref="H6:H7"/>
    <mergeCell ref="H11:H12"/>
    <mergeCell ref="H14:H15"/>
    <mergeCell ref="H17:H18"/>
    <mergeCell ref="H20:H21"/>
    <mergeCell ref="H23:H24"/>
    <mergeCell ref="H26:H27"/>
    <mergeCell ref="H29:H30"/>
    <mergeCell ref="I3:I4"/>
    <mergeCell ref="I6:I7"/>
    <mergeCell ref="I11:I12"/>
    <mergeCell ref="I14:I15"/>
    <mergeCell ref="I17:I18"/>
    <mergeCell ref="I20:I21"/>
    <mergeCell ref="I23:I24"/>
    <mergeCell ref="I26:I27"/>
    <mergeCell ref="I29:I30"/>
    <mergeCell ref="J3:J4"/>
    <mergeCell ref="J6:J7"/>
    <mergeCell ref="J11:J12"/>
    <mergeCell ref="J14:J15"/>
    <mergeCell ref="J17:J18"/>
    <mergeCell ref="J20:J21"/>
    <mergeCell ref="J23:J24"/>
    <mergeCell ref="J26:J27"/>
    <mergeCell ref="J29:J30"/>
    <mergeCell ref="K3:K4"/>
    <mergeCell ref="K6:K7"/>
    <mergeCell ref="K11:K12"/>
    <mergeCell ref="K14:K15"/>
    <mergeCell ref="K17:K18"/>
    <mergeCell ref="K20:K21"/>
    <mergeCell ref="K23:K24"/>
    <mergeCell ref="K26:K27"/>
    <mergeCell ref="K29:K30"/>
    <mergeCell ref="L3:L4"/>
    <mergeCell ref="L6:L7"/>
    <mergeCell ref="L11:L12"/>
    <mergeCell ref="L14:L15"/>
    <mergeCell ref="L17:L18"/>
    <mergeCell ref="L20:L21"/>
    <mergeCell ref="L23:L24"/>
    <mergeCell ref="L26:L27"/>
    <mergeCell ref="L29:L30"/>
    <mergeCell ref="M3:M4"/>
    <mergeCell ref="M6:M7"/>
    <mergeCell ref="M11:M12"/>
    <mergeCell ref="M14:M15"/>
    <mergeCell ref="M17:M18"/>
    <mergeCell ref="M20:M21"/>
    <mergeCell ref="M23:M24"/>
    <mergeCell ref="M26:M27"/>
    <mergeCell ref="M29:M30"/>
    <mergeCell ref="N3:N4"/>
    <mergeCell ref="N6:N7"/>
    <mergeCell ref="N11:N12"/>
    <mergeCell ref="N14:N15"/>
    <mergeCell ref="N17:N18"/>
    <mergeCell ref="N20:N21"/>
    <mergeCell ref="N23:N24"/>
    <mergeCell ref="N26:N27"/>
    <mergeCell ref="N29:N30"/>
    <mergeCell ref="O3:O4"/>
    <mergeCell ref="O6:O7"/>
    <mergeCell ref="O11:O12"/>
    <mergeCell ref="O14:O15"/>
    <mergeCell ref="O17:O18"/>
    <mergeCell ref="O20:O21"/>
    <mergeCell ref="O23:O24"/>
    <mergeCell ref="O26:O27"/>
    <mergeCell ref="O29:O30"/>
    <mergeCell ref="P3:P4"/>
    <mergeCell ref="P6:P7"/>
    <mergeCell ref="P11:P12"/>
    <mergeCell ref="P14:P15"/>
    <mergeCell ref="P17:P18"/>
    <mergeCell ref="P20:P21"/>
    <mergeCell ref="P23:P24"/>
    <mergeCell ref="P26:P27"/>
    <mergeCell ref="P29:P30"/>
    <mergeCell ref="Q3:Q4"/>
    <mergeCell ref="Q6:Q7"/>
    <mergeCell ref="Q11:Q12"/>
    <mergeCell ref="Q14:Q15"/>
    <mergeCell ref="Q17:Q18"/>
    <mergeCell ref="Q20:Q21"/>
    <mergeCell ref="Q23:Q24"/>
    <mergeCell ref="Q26:Q27"/>
    <mergeCell ref="Q29:Q30"/>
    <mergeCell ref="R3:R4"/>
    <mergeCell ref="R6:R7"/>
    <mergeCell ref="R11:R12"/>
    <mergeCell ref="R14:R15"/>
    <mergeCell ref="R17:R18"/>
    <mergeCell ref="R20:R21"/>
    <mergeCell ref="R23:R24"/>
    <mergeCell ref="R26:R27"/>
    <mergeCell ref="R29:R30"/>
    <mergeCell ref="S3:S4"/>
    <mergeCell ref="S6:S7"/>
    <mergeCell ref="S11:S12"/>
    <mergeCell ref="S14:S15"/>
    <mergeCell ref="S17:S18"/>
    <mergeCell ref="S20:S21"/>
    <mergeCell ref="S23:S24"/>
    <mergeCell ref="S26:S27"/>
    <mergeCell ref="S29:S30"/>
    <mergeCell ref="T3:T4"/>
    <mergeCell ref="T6:T7"/>
    <mergeCell ref="T11:T12"/>
    <mergeCell ref="T14:T15"/>
    <mergeCell ref="T17:T18"/>
    <mergeCell ref="T20:T21"/>
    <mergeCell ref="T23:T24"/>
    <mergeCell ref="T26:T27"/>
    <mergeCell ref="T29:T30"/>
    <mergeCell ref="U3:U4"/>
    <mergeCell ref="U6:U7"/>
    <mergeCell ref="U11:U12"/>
    <mergeCell ref="U14:U15"/>
    <mergeCell ref="U17:U18"/>
    <mergeCell ref="U20:U21"/>
    <mergeCell ref="U23:U24"/>
    <mergeCell ref="U26:U27"/>
    <mergeCell ref="U29:U30"/>
    <mergeCell ref="V3:V4"/>
    <mergeCell ref="V6:V7"/>
    <mergeCell ref="V11:V12"/>
    <mergeCell ref="V14:V15"/>
    <mergeCell ref="V17:V18"/>
    <mergeCell ref="V20:V21"/>
    <mergeCell ref="V23:V24"/>
    <mergeCell ref="V26:V27"/>
    <mergeCell ref="V29:V30"/>
    <mergeCell ref="W3:W4"/>
    <mergeCell ref="W6:W7"/>
    <mergeCell ref="W11:W12"/>
    <mergeCell ref="W14:W15"/>
    <mergeCell ref="W17:W18"/>
    <mergeCell ref="W20:W21"/>
    <mergeCell ref="W23:W24"/>
    <mergeCell ref="W26:W27"/>
    <mergeCell ref="W29:W30"/>
    <mergeCell ref="X3:X4"/>
    <mergeCell ref="X6:X7"/>
    <mergeCell ref="X11:X12"/>
    <mergeCell ref="X14:X15"/>
    <mergeCell ref="X17:X18"/>
    <mergeCell ref="X20:X21"/>
    <mergeCell ref="X23:X24"/>
    <mergeCell ref="X26:X27"/>
    <mergeCell ref="X29:X30"/>
    <mergeCell ref="Y3:Y4"/>
    <mergeCell ref="Y6:Y7"/>
    <mergeCell ref="Y11:Y12"/>
    <mergeCell ref="Y14:Y15"/>
    <mergeCell ref="Y17:Y18"/>
    <mergeCell ref="Y20:Y21"/>
    <mergeCell ref="Y23:Y24"/>
    <mergeCell ref="Y26:Y27"/>
    <mergeCell ref="Y29:Y30"/>
    <mergeCell ref="Z3:Z4"/>
    <mergeCell ref="Z6:Z7"/>
    <mergeCell ref="Z11:Z12"/>
    <mergeCell ref="Z14:Z15"/>
    <mergeCell ref="Z17:Z18"/>
    <mergeCell ref="Z20:Z21"/>
    <mergeCell ref="Z23:Z24"/>
    <mergeCell ref="Z26:Z27"/>
    <mergeCell ref="Z29:Z30"/>
    <mergeCell ref="AA3:AA4"/>
    <mergeCell ref="AA6:AA7"/>
    <mergeCell ref="AA11:AA12"/>
    <mergeCell ref="AA14:AA15"/>
    <mergeCell ref="AA17:AA18"/>
    <mergeCell ref="AA20:AA21"/>
    <mergeCell ref="AA23:AA24"/>
    <mergeCell ref="AA26:AA27"/>
    <mergeCell ref="AA29:AA30"/>
    <mergeCell ref="AB3:AB4"/>
    <mergeCell ref="AB6:AB7"/>
    <mergeCell ref="AB11:AB12"/>
    <mergeCell ref="AB14:AB15"/>
    <mergeCell ref="AB17:AB18"/>
    <mergeCell ref="AB20:AB21"/>
    <mergeCell ref="AB23:AB24"/>
    <mergeCell ref="AB26:AB27"/>
    <mergeCell ref="AB29:AB30"/>
    <mergeCell ref="AC3:AC4"/>
    <mergeCell ref="AC6:AC7"/>
    <mergeCell ref="AC11:AC12"/>
    <mergeCell ref="AC14:AC15"/>
    <mergeCell ref="AC17:AC18"/>
    <mergeCell ref="AC20:AC21"/>
    <mergeCell ref="AC23:AC24"/>
    <mergeCell ref="AC26:AC27"/>
    <mergeCell ref="AC29:AC30"/>
    <mergeCell ref="AD3:AD4"/>
    <mergeCell ref="AD6:AD7"/>
    <mergeCell ref="AD11:AD12"/>
    <mergeCell ref="AD14:AD15"/>
    <mergeCell ref="AD17:AD18"/>
    <mergeCell ref="AD20:AD21"/>
    <mergeCell ref="AD23:AD24"/>
    <mergeCell ref="AD26:AD27"/>
    <mergeCell ref="AD29:AD30"/>
    <mergeCell ref="AE3:AE4"/>
    <mergeCell ref="AE6:AE7"/>
    <mergeCell ref="AE11:AE12"/>
    <mergeCell ref="AE14:AE15"/>
    <mergeCell ref="AE17:AE18"/>
    <mergeCell ref="AE20:AE21"/>
    <mergeCell ref="AE23:AE24"/>
    <mergeCell ref="AE26:AE27"/>
    <mergeCell ref="AE29:AE30"/>
  </mergeCells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30"/>
  <sheetViews>
    <sheetView topLeftCell="B1" workbookViewId="0">
      <selection activeCell="AL4" sqref="AL4"/>
    </sheetView>
  </sheetViews>
  <sheetFormatPr defaultColWidth="9" defaultRowHeight="15"/>
  <cols>
    <col min="1" max="1" width="4.26666666666667" hidden="1" customWidth="1"/>
    <col min="2" max="2" width="24.1809523809524" customWidth="1"/>
    <col min="3" max="3" width="21" hidden="1" customWidth="1"/>
    <col min="4" max="4" width="9.90476190476191" hidden="1" customWidth="1"/>
    <col min="5" max="5" width="14.2666666666667" hidden="1" customWidth="1"/>
    <col min="6" max="6" width="13.8190476190476" hidden="1" customWidth="1"/>
    <col min="7" max="7" width="9.90476190476191" customWidth="1"/>
    <col min="8" max="8" width="14.2666666666667" hidden="1" customWidth="1"/>
    <col min="9" max="9" width="15.4571428571429" hidden="1" customWidth="1"/>
    <col min="10" max="10" width="9.90476190476191" customWidth="1"/>
    <col min="11" max="11" width="14.2666666666667" hidden="1" customWidth="1"/>
    <col min="12" max="12" width="15.4571428571429" hidden="1" customWidth="1"/>
    <col min="13" max="13" width="9.90476190476191" customWidth="1"/>
    <col min="14" max="14" width="14.2666666666667" hidden="1" customWidth="1"/>
    <col min="15" max="15" width="15.4571428571429" hidden="1" customWidth="1"/>
    <col min="16" max="16" width="9.90476190476191" customWidth="1"/>
    <col min="17" max="17" width="14.2666666666667" hidden="1" customWidth="1"/>
    <col min="18" max="18" width="15.4571428571429" hidden="1" customWidth="1"/>
    <col min="19" max="19" width="9.90476190476191" customWidth="1"/>
    <col min="20" max="20" width="14.2666666666667" hidden="1" customWidth="1"/>
    <col min="21" max="21" width="15.4571428571429" hidden="1" customWidth="1"/>
    <col min="22" max="22" width="9.90476190476191" customWidth="1"/>
    <col min="23" max="23" width="14.2666666666667" hidden="1" customWidth="1"/>
    <col min="24" max="24" width="15.4571428571429" hidden="1" customWidth="1"/>
    <col min="25" max="25" width="9.90476190476191" customWidth="1"/>
    <col min="26" max="26" width="14.2666666666667" hidden="1" customWidth="1"/>
    <col min="27" max="27" width="15.4571428571429" hidden="1" customWidth="1"/>
    <col min="28" max="28" width="9.90476190476191" customWidth="1"/>
    <col min="29" max="29" width="14.2666666666667" hidden="1" customWidth="1"/>
    <col min="30" max="30" width="15.4571428571429" hidden="1" customWidth="1"/>
    <col min="31" max="31" width="9.90476190476191" customWidth="1"/>
  </cols>
  <sheetData>
    <row r="1" s="27" customFormat="1" ht="88" customHeight="1" spans="1:31">
      <c r="A1" s="28" t="s">
        <v>746</v>
      </c>
      <c r="B1" s="29"/>
      <c r="C1" s="29"/>
      <c r="D1" s="30"/>
      <c r="E1" s="31" t="s">
        <v>747</v>
      </c>
      <c r="F1" s="32"/>
      <c r="G1" s="33"/>
      <c r="H1" s="31" t="s">
        <v>748</v>
      </c>
      <c r="I1" s="32"/>
      <c r="J1" s="33"/>
      <c r="K1" s="31" t="s">
        <v>749</v>
      </c>
      <c r="L1" s="32"/>
      <c r="M1" s="33"/>
      <c r="N1" s="31" t="s">
        <v>750</v>
      </c>
      <c r="O1" s="32"/>
      <c r="P1" s="33"/>
      <c r="Q1" s="31" t="s">
        <v>751</v>
      </c>
      <c r="R1" s="32"/>
      <c r="S1" s="33"/>
      <c r="T1" s="31" t="s">
        <v>752</v>
      </c>
      <c r="U1" s="32"/>
      <c r="V1" s="33"/>
      <c r="W1" s="31" t="s">
        <v>753</v>
      </c>
      <c r="X1" s="32"/>
      <c r="Y1" s="33"/>
      <c r="Z1" s="31" t="s">
        <v>754</v>
      </c>
      <c r="AA1" s="32"/>
      <c r="AB1" s="33"/>
      <c r="AC1" s="31" t="s">
        <v>755</v>
      </c>
      <c r="AD1" s="32"/>
      <c r="AE1" s="33"/>
    </row>
    <row r="2" ht="15.75" spans="1:31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</row>
    <row r="3" spans="1:31">
      <c r="A3" s="2">
        <v>1</v>
      </c>
      <c r="B3" s="2" t="s">
        <v>65</v>
      </c>
      <c r="C3" s="37" t="s">
        <v>161</v>
      </c>
      <c r="D3" s="2" t="s">
        <v>162</v>
      </c>
      <c r="E3" s="20">
        <v>532690961</v>
      </c>
      <c r="F3" s="20">
        <v>134221870</v>
      </c>
      <c r="G3" s="38">
        <f>E3/F3</f>
        <v>3.96873446182802</v>
      </c>
      <c r="H3" s="20">
        <v>2668192000</v>
      </c>
      <c r="I3" s="20">
        <v>180000000</v>
      </c>
      <c r="J3" s="38">
        <f>H3/I3</f>
        <v>14.8232888888889</v>
      </c>
      <c r="K3" s="20">
        <v>1390309152</v>
      </c>
      <c r="L3" s="20">
        <v>108680000</v>
      </c>
      <c r="M3" s="38">
        <f>K3/L3</f>
        <v>12.7926863452337</v>
      </c>
      <c r="N3" s="20">
        <v>100532914</v>
      </c>
      <c r="O3" s="20">
        <v>7000000</v>
      </c>
      <c r="P3" s="38">
        <f>N3/O3</f>
        <v>14.3618448571429</v>
      </c>
      <c r="Q3" s="20">
        <f>Q5*4</f>
        <v>523632</v>
      </c>
      <c r="R3" s="20">
        <v>8156097</v>
      </c>
      <c r="S3" s="43">
        <f>Q3/R3</f>
        <v>0.0642012962817877</v>
      </c>
      <c r="T3" s="20">
        <v>31979038</v>
      </c>
      <c r="U3" s="20">
        <v>8000000</v>
      </c>
      <c r="V3" s="38">
        <f>T3/U3</f>
        <v>3.99737975</v>
      </c>
      <c r="W3" s="20">
        <v>-55878189</v>
      </c>
      <c r="X3" s="20">
        <v>6875000</v>
      </c>
      <c r="Y3" s="39">
        <f>W3/X3</f>
        <v>-8.12773658181818</v>
      </c>
      <c r="Z3" s="20">
        <v>1438864</v>
      </c>
      <c r="AA3" s="20">
        <v>9675000</v>
      </c>
      <c r="AB3" s="43">
        <f>Z3/AA3</f>
        <v>0.148719793281654</v>
      </c>
      <c r="AC3" s="20">
        <v>61923919</v>
      </c>
      <c r="AD3" s="20">
        <v>3207169</v>
      </c>
      <c r="AE3" s="38">
        <f>AC3/AD3</f>
        <v>19.3079688036396</v>
      </c>
    </row>
    <row r="4" spans="1:31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8"/>
      <c r="N4" s="20"/>
      <c r="O4" s="20"/>
      <c r="P4" s="38"/>
      <c r="Q4" s="20"/>
      <c r="R4" s="20"/>
      <c r="S4" s="43"/>
      <c r="T4" s="20"/>
      <c r="U4" s="20"/>
      <c r="V4" s="38"/>
      <c r="W4" s="20"/>
      <c r="X4" s="20"/>
      <c r="Y4" s="39"/>
      <c r="Z4" s="20"/>
      <c r="AA4" s="20"/>
      <c r="AB4" s="43"/>
      <c r="AC4" s="20"/>
      <c r="AD4" s="20"/>
      <c r="AE4" s="38"/>
    </row>
    <row r="5" hidden="1" spans="1:31">
      <c r="E5" s="68" t="s">
        <v>756</v>
      </c>
      <c r="F5" s="6"/>
      <c r="G5" s="40"/>
      <c r="H5" s="6"/>
      <c r="I5" s="6"/>
      <c r="J5" s="40"/>
      <c r="K5" s="6"/>
      <c r="L5" s="6"/>
      <c r="M5" s="40"/>
      <c r="N5" s="6"/>
      <c r="O5" s="6"/>
      <c r="P5" s="40"/>
      <c r="Q5" s="69">
        <v>130908</v>
      </c>
      <c r="R5" s="6"/>
      <c r="S5" s="40"/>
      <c r="T5" s="69"/>
      <c r="U5" s="6"/>
      <c r="V5" s="40"/>
      <c r="W5" s="6"/>
      <c r="X5" s="6"/>
      <c r="Y5" s="40"/>
      <c r="Z5" s="6"/>
      <c r="AA5" s="6"/>
      <c r="AB5" s="40"/>
      <c r="AC5" s="6"/>
      <c r="AD5" s="6"/>
      <c r="AE5" s="40"/>
    </row>
    <row r="6" spans="1:31">
      <c r="A6" s="2">
        <v>2</v>
      </c>
      <c r="B6" s="41" t="s">
        <v>166</v>
      </c>
      <c r="C6" s="37" t="s">
        <v>167</v>
      </c>
      <c r="D6" s="2" t="s">
        <v>168</v>
      </c>
      <c r="E6" s="20">
        <v>760</v>
      </c>
      <c r="F6" s="42">
        <f>G3</f>
        <v>3.96873446182802</v>
      </c>
      <c r="G6" s="43">
        <f>E6/F6</f>
        <v>191.496812727033</v>
      </c>
      <c r="H6" s="20">
        <v>877.27</v>
      </c>
      <c r="I6" s="42">
        <f>J3</f>
        <v>14.8232888888889</v>
      </c>
      <c r="J6" s="38">
        <f>H6/I6</f>
        <v>59.1818729686619</v>
      </c>
      <c r="K6" s="20">
        <v>922.78</v>
      </c>
      <c r="L6" s="42">
        <f>M3</f>
        <v>12.7926863452337</v>
      </c>
      <c r="M6" s="38">
        <f>K6/L6</f>
        <v>72.1334030317884</v>
      </c>
      <c r="N6" s="20">
        <v>1694</v>
      </c>
      <c r="O6" s="42">
        <f>P3</f>
        <v>14.3618448571429</v>
      </c>
      <c r="P6" s="70">
        <f>N6/O6</f>
        <v>117.951420367662</v>
      </c>
      <c r="Q6" s="20">
        <v>1694</v>
      </c>
      <c r="R6" s="42">
        <f>S3</f>
        <v>0.0642012962817877</v>
      </c>
      <c r="S6" s="43">
        <f>Q6/R6</f>
        <v>26385.7600719589</v>
      </c>
      <c r="T6" s="20">
        <v>871.71</v>
      </c>
      <c r="U6" s="42">
        <f>V3</f>
        <v>3.99737975</v>
      </c>
      <c r="V6" s="43">
        <f>T6/U6</f>
        <v>218.070349708456</v>
      </c>
      <c r="W6" s="20">
        <v>922.39</v>
      </c>
      <c r="X6" s="42">
        <f>Y3</f>
        <v>-8.12773658181818</v>
      </c>
      <c r="Y6" s="39">
        <f>W6/X6</f>
        <v>-113.48669961369</v>
      </c>
      <c r="Z6" s="20">
        <v>454.1</v>
      </c>
      <c r="AA6" s="42">
        <f>AB3</f>
        <v>0.148719793281654</v>
      </c>
      <c r="AB6" s="49">
        <f>Z6/AA6</f>
        <v>3053.39316293965</v>
      </c>
      <c r="AC6" s="20">
        <v>5290</v>
      </c>
      <c r="AD6" s="42">
        <f>AE3</f>
        <v>19.3079688036396</v>
      </c>
      <c r="AE6" s="43">
        <f>AC6/AD6</f>
        <v>273.980140210441</v>
      </c>
    </row>
    <row r="7" spans="1:31">
      <c r="A7" s="2"/>
      <c r="B7" s="41"/>
      <c r="C7" s="2" t="s">
        <v>169</v>
      </c>
      <c r="D7" s="2"/>
      <c r="E7" s="20"/>
      <c r="F7" s="42"/>
      <c r="G7" s="43"/>
      <c r="H7" s="20"/>
      <c r="I7" s="42"/>
      <c r="J7" s="38"/>
      <c r="K7" s="20"/>
      <c r="L7" s="42"/>
      <c r="M7" s="38"/>
      <c r="N7" s="20"/>
      <c r="O7" s="42"/>
      <c r="P7" s="70"/>
      <c r="Q7" s="20"/>
      <c r="R7" s="42"/>
      <c r="S7" s="43"/>
      <c r="T7" s="20"/>
      <c r="U7" s="42"/>
      <c r="V7" s="43"/>
      <c r="W7" s="20"/>
      <c r="X7" s="42"/>
      <c r="Y7" s="39"/>
      <c r="Z7" s="20"/>
      <c r="AA7" s="42"/>
      <c r="AB7" s="49"/>
      <c r="AC7" s="20"/>
      <c r="AD7" s="42"/>
      <c r="AE7" s="43"/>
    </row>
    <row r="8" hidden="1" spans="1:31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  <c r="W8" s="20"/>
      <c r="X8" s="42"/>
      <c r="Y8" s="38"/>
      <c r="Z8" s="20"/>
      <c r="AA8" s="42"/>
      <c r="AB8" s="38"/>
      <c r="AC8" s="20"/>
      <c r="AD8" s="42"/>
      <c r="AE8" s="38"/>
    </row>
    <row r="9" spans="1:31">
      <c r="A9" s="2">
        <v>3</v>
      </c>
      <c r="B9" s="2" t="s">
        <v>170</v>
      </c>
      <c r="C9" s="2" t="s">
        <v>491</v>
      </c>
      <c r="D9" s="2" t="s">
        <v>175</v>
      </c>
      <c r="E9" s="20">
        <f>E3</f>
        <v>532690961</v>
      </c>
      <c r="F9" s="20">
        <v>337758676</v>
      </c>
      <c r="G9" s="44">
        <f>((E9-F9)/F9)</f>
        <v>0.577134797271647</v>
      </c>
      <c r="H9" s="20">
        <f>H3</f>
        <v>2668192000</v>
      </c>
      <c r="I9" s="20">
        <v>6235502000</v>
      </c>
      <c r="J9" s="44">
        <f>((H9-I9)/I9)</f>
        <v>-0.572096681229515</v>
      </c>
      <c r="K9" s="20">
        <f>K3</f>
        <v>1390309152</v>
      </c>
      <c r="L9" s="20">
        <v>1313540024</v>
      </c>
      <c r="M9" s="44">
        <f>((K9-L9)/L9)</f>
        <v>0.0584444528505665</v>
      </c>
      <c r="N9" s="20">
        <f>N3</f>
        <v>100532914</v>
      </c>
      <c r="O9" s="20">
        <v>21735897</v>
      </c>
      <c r="P9" s="44">
        <f>((N9-O9)/O9)</f>
        <v>3.62520198729319</v>
      </c>
      <c r="Q9" s="20">
        <f>Q3</f>
        <v>523632</v>
      </c>
      <c r="R9" s="20">
        <v>21337244</v>
      </c>
      <c r="S9" s="44">
        <f>((Q9-R9)/R9)</f>
        <v>-0.975459248626486</v>
      </c>
      <c r="T9" s="20">
        <f>T3</f>
        <v>31979038</v>
      </c>
      <c r="U9" s="20">
        <v>-17580246</v>
      </c>
      <c r="V9" s="44">
        <f>((T9-U9)/-U9)</f>
        <v>2.81903245267444</v>
      </c>
      <c r="W9" s="20">
        <f>W3</f>
        <v>-55878189</v>
      </c>
      <c r="X9" s="20">
        <v>-58570530</v>
      </c>
      <c r="Y9" s="44">
        <f>((W9-X9)/-X9)</f>
        <v>0.0459675027697376</v>
      </c>
      <c r="Z9" s="20">
        <f>Z3</f>
        <v>1438864</v>
      </c>
      <c r="AA9" s="20">
        <v>2072902</v>
      </c>
      <c r="AB9" s="44">
        <f>((Z9-AA9)/AA9)</f>
        <v>-0.30586974203315</v>
      </c>
      <c r="AC9" s="20">
        <f>AC3</f>
        <v>61923919</v>
      </c>
      <c r="AD9" s="20">
        <v>63218453</v>
      </c>
      <c r="AE9" s="44">
        <f>((AC9-AD9)/AD9)</f>
        <v>-0.0204771540360217</v>
      </c>
    </row>
    <row r="10" hidden="1" spans="1:31">
      <c r="A10" s="45"/>
      <c r="E10" s="45"/>
      <c r="G10" s="48"/>
      <c r="H10" s="45"/>
      <c r="J10" s="48"/>
      <c r="K10" s="45"/>
      <c r="M10" s="48"/>
      <c r="N10" s="45"/>
      <c r="P10" s="48"/>
      <c r="Q10" s="45"/>
      <c r="S10" s="48"/>
      <c r="T10" s="45"/>
      <c r="V10" s="71" t="s">
        <v>492</v>
      </c>
      <c r="W10" s="45"/>
      <c r="Y10" s="71"/>
      <c r="Z10" s="45"/>
      <c r="AB10" s="71"/>
      <c r="AC10" s="45"/>
      <c r="AE10" s="71"/>
    </row>
    <row r="11" spans="1:31">
      <c r="A11" s="2">
        <v>4</v>
      </c>
      <c r="B11" s="2" t="s">
        <v>94</v>
      </c>
      <c r="C11" s="37" t="s">
        <v>161</v>
      </c>
      <c r="D11" s="2" t="s">
        <v>175</v>
      </c>
      <c r="E11" s="20">
        <f>E3</f>
        <v>532690961</v>
      </c>
      <c r="F11" s="20">
        <v>19993674338</v>
      </c>
      <c r="G11" s="44">
        <f>E11/F11</f>
        <v>0.0266429747726543</v>
      </c>
      <c r="H11" s="20">
        <f>H3</f>
        <v>2668192000</v>
      </c>
      <c r="I11" s="20">
        <v>89115120000</v>
      </c>
      <c r="J11" s="44">
        <f>H11/I11</f>
        <v>0.029940957269653</v>
      </c>
      <c r="K11" s="20">
        <f>K3</f>
        <v>1390309152</v>
      </c>
      <c r="L11" s="20">
        <v>16798401952</v>
      </c>
      <c r="M11" s="44">
        <f>K11/L11</f>
        <v>0.0827643698473634</v>
      </c>
      <c r="N11" s="20">
        <f>N3</f>
        <v>100532914</v>
      </c>
      <c r="O11" s="20">
        <v>763211749</v>
      </c>
      <c r="P11" s="44">
        <f>N11/O11</f>
        <v>0.131723488444358</v>
      </c>
      <c r="Q11" s="20">
        <f>Q3</f>
        <v>523632</v>
      </c>
      <c r="R11" s="20">
        <v>863940884</v>
      </c>
      <c r="S11" s="44">
        <f>Q11/R11</f>
        <v>0.000606097025499722</v>
      </c>
      <c r="T11" s="20">
        <f>T3</f>
        <v>31979038</v>
      </c>
      <c r="U11" s="20">
        <v>803837901</v>
      </c>
      <c r="V11" s="44">
        <f>T11/U11</f>
        <v>0.0397829437504963</v>
      </c>
      <c r="W11" s="20">
        <f>W3</f>
        <v>-55878189</v>
      </c>
      <c r="X11" s="20">
        <v>510883448</v>
      </c>
      <c r="Y11" s="72">
        <f>W11/X11</f>
        <v>-0.109375610462134</v>
      </c>
      <c r="Z11" s="20">
        <f>Z3</f>
        <v>1438864</v>
      </c>
      <c r="AA11" s="20">
        <v>858184665</v>
      </c>
      <c r="AB11" s="44">
        <f>Z11/AA11</f>
        <v>0.00167663681102948</v>
      </c>
      <c r="AC11" s="20">
        <f>AC3</f>
        <v>61923919</v>
      </c>
      <c r="AD11" s="20">
        <v>1779491467</v>
      </c>
      <c r="AE11" s="44">
        <f>AC11/AD11</f>
        <v>0.0347986602624153</v>
      </c>
    </row>
    <row r="12" spans="1:31">
      <c r="A12" s="2"/>
      <c r="B12" s="2"/>
      <c r="C12" s="2" t="s">
        <v>176</v>
      </c>
      <c r="D12" s="2"/>
      <c r="E12" s="20"/>
      <c r="F12" s="2"/>
      <c r="G12" s="44"/>
      <c r="H12" s="20"/>
      <c r="I12" s="2"/>
      <c r="J12" s="44"/>
      <c r="K12" s="20"/>
      <c r="L12" s="2"/>
      <c r="M12" s="44"/>
      <c r="N12" s="20"/>
      <c r="O12" s="2"/>
      <c r="P12" s="44"/>
      <c r="Q12" s="20"/>
      <c r="R12" s="2"/>
      <c r="S12" s="44"/>
      <c r="T12" s="20"/>
      <c r="U12" s="2"/>
      <c r="V12" s="44"/>
      <c r="W12" s="20"/>
      <c r="X12" s="2"/>
      <c r="Y12" s="72"/>
      <c r="Z12" s="20"/>
      <c r="AA12" s="2"/>
      <c r="AB12" s="44"/>
      <c r="AC12" s="20"/>
      <c r="AD12" s="2"/>
      <c r="AE12" s="44"/>
    </row>
    <row r="13" hidden="1" spans="1:31">
      <c r="A13" s="2"/>
      <c r="B13" s="2"/>
      <c r="C13" s="2"/>
      <c r="D13" s="2"/>
      <c r="E13" s="20"/>
      <c r="F13" s="2"/>
      <c r="G13" s="38"/>
      <c r="H13" s="20"/>
      <c r="I13" s="2"/>
      <c r="J13" s="38"/>
      <c r="K13" s="20"/>
      <c r="L13" s="2"/>
      <c r="M13" s="38"/>
      <c r="N13" s="20"/>
      <c r="O13" s="2"/>
      <c r="P13" s="38"/>
      <c r="Q13" s="20"/>
      <c r="R13" s="2"/>
      <c r="S13" s="38"/>
      <c r="T13" s="20"/>
      <c r="U13" s="2"/>
      <c r="V13" s="38"/>
      <c r="W13" s="20"/>
      <c r="X13" s="2"/>
      <c r="Y13" s="38"/>
      <c r="Z13" s="20"/>
      <c r="AA13" s="2"/>
      <c r="AB13" s="38"/>
      <c r="AC13" s="20"/>
      <c r="AD13" s="2"/>
      <c r="AE13" s="38"/>
    </row>
    <row r="14" spans="1:31">
      <c r="A14" s="2">
        <v>5</v>
      </c>
      <c r="B14" s="2" t="s">
        <v>180</v>
      </c>
      <c r="C14" s="37" t="s">
        <v>176</v>
      </c>
      <c r="D14" s="2" t="s">
        <v>181</v>
      </c>
      <c r="E14" s="20">
        <f>F11</f>
        <v>19993674338</v>
      </c>
      <c r="F14" s="20">
        <f>F3</f>
        <v>134221870</v>
      </c>
      <c r="G14" s="38">
        <f>E14/F14</f>
        <v>148.959885136454</v>
      </c>
      <c r="H14" s="20">
        <f>I11</f>
        <v>89115120000</v>
      </c>
      <c r="I14" s="20">
        <f>I3</f>
        <v>180000000</v>
      </c>
      <c r="J14" s="38">
        <f>H14/I14</f>
        <v>495.084</v>
      </c>
      <c r="K14" s="20">
        <f>L11</f>
        <v>16798401952</v>
      </c>
      <c r="L14" s="20">
        <f>L3</f>
        <v>108680000</v>
      </c>
      <c r="M14" s="38">
        <f>K14/L14</f>
        <v>154.567555686419</v>
      </c>
      <c r="N14" s="20">
        <f>O11</f>
        <v>763211749</v>
      </c>
      <c r="O14" s="20">
        <f>O3</f>
        <v>7000000</v>
      </c>
      <c r="P14" s="38">
        <f>N14/O14</f>
        <v>109.030249857143</v>
      </c>
      <c r="Q14" s="20">
        <f>R11</f>
        <v>863940884</v>
      </c>
      <c r="R14" s="20">
        <f>R3</f>
        <v>8156097</v>
      </c>
      <c r="S14" s="38">
        <f>Q14/R14</f>
        <v>105.925773565469</v>
      </c>
      <c r="T14" s="20">
        <f>U11</f>
        <v>803837901</v>
      </c>
      <c r="U14" s="20">
        <f>U3</f>
        <v>8000000</v>
      </c>
      <c r="V14" s="38">
        <f>T14/U14</f>
        <v>100.479737625</v>
      </c>
      <c r="W14" s="20">
        <f>X11</f>
        <v>510883448</v>
      </c>
      <c r="X14" s="20">
        <f>X3</f>
        <v>6875000</v>
      </c>
      <c r="Y14" s="38">
        <f>W14/X14</f>
        <v>74.3103197090909</v>
      </c>
      <c r="Z14" s="20">
        <f>AA11</f>
        <v>858184665</v>
      </c>
      <c r="AA14" s="20">
        <f>AA3</f>
        <v>9675000</v>
      </c>
      <c r="AB14" s="38">
        <f>Z14/AA14</f>
        <v>88.7012573643411</v>
      </c>
      <c r="AC14" s="20">
        <f>AD11</f>
        <v>1779491467</v>
      </c>
      <c r="AD14" s="20">
        <f>AD3</f>
        <v>3207169</v>
      </c>
      <c r="AE14" s="38">
        <f>AC14/AD14</f>
        <v>554.848050414556</v>
      </c>
    </row>
    <row r="15" spans="1:31">
      <c r="A15" s="2"/>
      <c r="B15" s="2"/>
      <c r="C15" s="6" t="s">
        <v>163</v>
      </c>
      <c r="D15" s="2"/>
      <c r="E15" s="20"/>
      <c r="F15" s="20"/>
      <c r="G15" s="38"/>
      <c r="H15" s="20"/>
      <c r="I15" s="20"/>
      <c r="J15" s="38"/>
      <c r="K15" s="20"/>
      <c r="L15" s="20"/>
      <c r="M15" s="38"/>
      <c r="N15" s="20"/>
      <c r="O15" s="20"/>
      <c r="P15" s="38"/>
      <c r="Q15" s="20"/>
      <c r="R15" s="20"/>
      <c r="S15" s="38"/>
      <c r="T15" s="20"/>
      <c r="U15" s="20"/>
      <c r="V15" s="38"/>
      <c r="W15" s="20"/>
      <c r="X15" s="20"/>
      <c r="Y15" s="38"/>
      <c r="Z15" s="20"/>
      <c r="AA15" s="20"/>
      <c r="AB15" s="38"/>
      <c r="AC15" s="20"/>
      <c r="AD15" s="20"/>
      <c r="AE15" s="38"/>
    </row>
    <row r="16" hidden="1" spans="1:31">
      <c r="A16" s="2"/>
      <c r="B16" s="2"/>
      <c r="C16" s="6"/>
      <c r="D16" s="2"/>
      <c r="E16" s="20"/>
      <c r="F16" s="20"/>
      <c r="G16" s="38"/>
      <c r="H16" s="20"/>
      <c r="I16" s="20"/>
      <c r="J16" s="38"/>
      <c r="K16" s="20"/>
      <c r="L16" s="20"/>
      <c r="M16" s="38"/>
      <c r="N16" s="20"/>
      <c r="O16" s="20"/>
      <c r="P16" s="38"/>
      <c r="Q16" s="20"/>
      <c r="R16" s="20"/>
      <c r="S16" s="38"/>
      <c r="T16" s="20"/>
      <c r="U16" s="20"/>
      <c r="V16" s="38"/>
      <c r="W16" s="20"/>
      <c r="X16" s="20"/>
      <c r="Y16" s="38"/>
      <c r="Z16" s="20"/>
      <c r="AA16" s="20"/>
      <c r="AB16" s="38"/>
      <c r="AC16" s="20"/>
      <c r="AD16" s="20"/>
      <c r="AE16" s="38"/>
    </row>
    <row r="17" spans="1:31">
      <c r="A17" s="2">
        <v>6</v>
      </c>
      <c r="B17" s="2" t="s">
        <v>182</v>
      </c>
      <c r="C17" s="37" t="s">
        <v>183</v>
      </c>
      <c r="D17" s="50" t="s">
        <v>184</v>
      </c>
      <c r="E17" s="20">
        <f>E6</f>
        <v>760</v>
      </c>
      <c r="F17" s="42">
        <f>G14</f>
        <v>148.959885136454</v>
      </c>
      <c r="G17" s="38">
        <f>E17/F17</f>
        <v>5.10204475053004</v>
      </c>
      <c r="H17" s="20">
        <f>H6</f>
        <v>877.27</v>
      </c>
      <c r="I17" s="42">
        <f>J14</f>
        <v>495.084</v>
      </c>
      <c r="J17" s="38">
        <f>H17/I17</f>
        <v>1.77196192969274</v>
      </c>
      <c r="K17" s="20">
        <f>K6</f>
        <v>922.78</v>
      </c>
      <c r="L17" s="42">
        <f>M14</f>
        <v>154.567555686419</v>
      </c>
      <c r="M17" s="38">
        <f>K17/L17</f>
        <v>5.97007564687186</v>
      </c>
      <c r="N17" s="20">
        <f>N6</f>
        <v>1694</v>
      </c>
      <c r="O17" s="42">
        <f>P14</f>
        <v>109.030249857143</v>
      </c>
      <c r="P17" s="38">
        <f>N17/O17</f>
        <v>15.5369725577954</v>
      </c>
      <c r="Q17" s="20">
        <f>Q6</f>
        <v>1694</v>
      </c>
      <c r="R17" s="42">
        <f>S14</f>
        <v>105.925773565469</v>
      </c>
      <c r="S17" s="38">
        <f>Q17/R17</f>
        <v>15.9923306951636</v>
      </c>
      <c r="T17" s="20">
        <f>T6</f>
        <v>871.71</v>
      </c>
      <c r="U17" s="42">
        <f>V14</f>
        <v>100.479737625</v>
      </c>
      <c r="V17" s="38">
        <f>T17/U17</f>
        <v>8.67548045610256</v>
      </c>
      <c r="W17" s="20">
        <f>W6</f>
        <v>922.39</v>
      </c>
      <c r="X17" s="42">
        <f>Y14</f>
        <v>74.3103197090909</v>
      </c>
      <c r="Y17" s="38">
        <f>W17/X17</f>
        <v>12.4126770495802</v>
      </c>
      <c r="Z17" s="20">
        <f>Z6</f>
        <v>454.1</v>
      </c>
      <c r="AA17" s="42">
        <f>AB14</f>
        <v>88.7012573643411</v>
      </c>
      <c r="AB17" s="38">
        <f>Z17/AA17</f>
        <v>5.11943137553035</v>
      </c>
      <c r="AC17" s="20">
        <f>AC6</f>
        <v>5290</v>
      </c>
      <c r="AD17" s="42">
        <f>AE14</f>
        <v>554.848050414556</v>
      </c>
      <c r="AE17" s="38">
        <f>AC17/AD17</f>
        <v>9.53414181783205</v>
      </c>
    </row>
    <row r="18" spans="1:31">
      <c r="A18" s="2"/>
      <c r="B18" s="2"/>
      <c r="C18" s="2" t="s">
        <v>185</v>
      </c>
      <c r="D18" s="2"/>
      <c r="E18" s="20"/>
      <c r="F18" s="42"/>
      <c r="G18" s="38"/>
      <c r="H18" s="20"/>
      <c r="I18" s="42"/>
      <c r="J18" s="38"/>
      <c r="K18" s="20"/>
      <c r="L18" s="42"/>
      <c r="M18" s="38"/>
      <c r="N18" s="20"/>
      <c r="O18" s="42"/>
      <c r="P18" s="38"/>
      <c r="Q18" s="20"/>
      <c r="R18" s="42"/>
      <c r="S18" s="38"/>
      <c r="T18" s="20"/>
      <c r="U18" s="42"/>
      <c r="V18" s="38"/>
      <c r="W18" s="20"/>
      <c r="X18" s="42"/>
      <c r="Y18" s="38"/>
      <c r="Z18" s="20"/>
      <c r="AA18" s="42"/>
      <c r="AB18" s="38"/>
      <c r="AC18" s="20"/>
      <c r="AD18" s="42"/>
      <c r="AE18" s="38"/>
    </row>
    <row r="19" hidden="1" spans="1:31">
      <c r="A19" s="2"/>
      <c r="B19" s="2"/>
      <c r="C19" s="2"/>
      <c r="D19" s="2"/>
      <c r="E19" s="20"/>
      <c r="F19" s="42"/>
      <c r="G19" s="38"/>
      <c r="H19" s="20"/>
      <c r="I19" s="42"/>
      <c r="J19" s="38"/>
      <c r="K19" s="20"/>
      <c r="L19" s="42"/>
      <c r="M19" s="38"/>
      <c r="N19" s="20"/>
      <c r="O19" s="42"/>
      <c r="P19" s="38"/>
      <c r="Q19" s="20"/>
      <c r="R19" s="42"/>
      <c r="S19" s="38"/>
      <c r="T19" s="20"/>
      <c r="U19" s="42"/>
      <c r="V19" s="38"/>
      <c r="W19" s="20"/>
      <c r="X19" s="42"/>
      <c r="Y19" s="38"/>
      <c r="Z19" s="20"/>
      <c r="AA19" s="42"/>
      <c r="AB19" s="38"/>
      <c r="AC19" s="20"/>
      <c r="AD19" s="42"/>
      <c r="AE19" s="38"/>
    </row>
    <row r="20" spans="1:31">
      <c r="A20" s="2">
        <v>7</v>
      </c>
      <c r="B20" s="2" t="s">
        <v>186</v>
      </c>
      <c r="C20" s="37" t="s">
        <v>187</v>
      </c>
      <c r="D20" s="41" t="s">
        <v>295</v>
      </c>
      <c r="E20" s="42">
        <v>0</v>
      </c>
      <c r="F20" s="20">
        <f>E6</f>
        <v>760</v>
      </c>
      <c r="G20" s="38">
        <f>(E20/F20)*100</f>
        <v>0</v>
      </c>
      <c r="H20" s="42">
        <v>30</v>
      </c>
      <c r="I20" s="20">
        <f>H6</f>
        <v>877.27</v>
      </c>
      <c r="J20" s="38">
        <f>(H20/I20)*100</f>
        <v>3.41969975036192</v>
      </c>
      <c r="K20" s="42">
        <v>4.74</v>
      </c>
      <c r="L20" s="20">
        <f>K6</f>
        <v>922.78</v>
      </c>
      <c r="M20" s="38">
        <f>(K20/L20)*100</f>
        <v>0.513665228981989</v>
      </c>
      <c r="N20" s="42">
        <v>0</v>
      </c>
      <c r="O20" s="20">
        <f>N6</f>
        <v>1694</v>
      </c>
      <c r="P20" s="38">
        <f>(N20/O20)*100</f>
        <v>0</v>
      </c>
      <c r="Q20" s="42">
        <v>0</v>
      </c>
      <c r="R20" s="20">
        <f>Q6</f>
        <v>1694</v>
      </c>
      <c r="S20" s="38">
        <f>(Q20/R20)*100</f>
        <v>0</v>
      </c>
      <c r="T20" s="42">
        <v>0</v>
      </c>
      <c r="U20" s="20">
        <f>T6</f>
        <v>871.71</v>
      </c>
      <c r="V20" s="38">
        <f>(T20/U20)*100</f>
        <v>0</v>
      </c>
      <c r="W20" s="42">
        <v>0</v>
      </c>
      <c r="X20" s="20">
        <f>W6</f>
        <v>922.39</v>
      </c>
      <c r="Y20" s="38">
        <f>(W20/X20)*100</f>
        <v>0</v>
      </c>
      <c r="Z20" s="42">
        <v>0</v>
      </c>
      <c r="AA20" s="20">
        <f>Z6</f>
        <v>454.1</v>
      </c>
      <c r="AB20" s="38">
        <f>(Z20/AA20)*100</f>
        <v>0</v>
      </c>
      <c r="AC20" s="42">
        <v>10</v>
      </c>
      <c r="AD20" s="20">
        <f>AC6</f>
        <v>5290</v>
      </c>
      <c r="AE20" s="38">
        <f>(AC20/AD20)*100</f>
        <v>0.189035916824197</v>
      </c>
    </row>
    <row r="21" ht="10" customHeight="1" spans="1:31">
      <c r="A21" s="2"/>
      <c r="B21" s="2"/>
      <c r="C21" s="2" t="s">
        <v>189</v>
      </c>
      <c r="D21" s="41"/>
      <c r="E21" s="42"/>
      <c r="F21" s="20"/>
      <c r="G21" s="38"/>
      <c r="H21" s="42"/>
      <c r="I21" s="20"/>
      <c r="J21" s="38"/>
      <c r="K21" s="42"/>
      <c r="L21" s="20"/>
      <c r="M21" s="38"/>
      <c r="N21" s="42"/>
      <c r="O21" s="20"/>
      <c r="P21" s="38"/>
      <c r="Q21" s="42"/>
      <c r="R21" s="20"/>
      <c r="S21" s="38"/>
      <c r="T21" s="42"/>
      <c r="U21" s="20"/>
      <c r="V21" s="38"/>
      <c r="W21" s="42"/>
      <c r="X21" s="20"/>
      <c r="Y21" s="38"/>
      <c r="Z21" s="42"/>
      <c r="AA21" s="20"/>
      <c r="AB21" s="38"/>
      <c r="AC21" s="42"/>
      <c r="AD21" s="20"/>
      <c r="AE21" s="38"/>
    </row>
    <row r="22" hidden="1" spans="1:31">
      <c r="A22" s="2"/>
      <c r="B22" s="2"/>
      <c r="C22" s="2"/>
      <c r="D22" s="2"/>
      <c r="E22" s="20"/>
      <c r="F22" s="42"/>
      <c r="G22" s="38"/>
      <c r="H22" s="20"/>
      <c r="I22" s="42"/>
      <c r="J22" s="38"/>
      <c r="K22" s="20"/>
      <c r="L22" s="42"/>
      <c r="M22" s="38"/>
      <c r="N22" s="20"/>
      <c r="O22" s="42"/>
      <c r="P22" s="38"/>
      <c r="Q22" s="20"/>
      <c r="R22" s="42"/>
      <c r="S22" s="38"/>
      <c r="T22" s="20"/>
      <c r="U22" s="42"/>
      <c r="V22" s="38"/>
      <c r="W22" s="20"/>
      <c r="X22" s="42"/>
      <c r="Y22" s="38"/>
      <c r="Z22" s="20"/>
      <c r="AA22" s="42"/>
      <c r="AB22" s="38"/>
      <c r="AC22" s="20"/>
      <c r="AD22" s="42"/>
      <c r="AE22" s="38"/>
    </row>
    <row r="23" spans="1:31">
      <c r="A23" s="2">
        <v>8</v>
      </c>
      <c r="B23" s="2" t="s">
        <v>202</v>
      </c>
      <c r="C23" s="37" t="s">
        <v>203</v>
      </c>
      <c r="D23" s="2" t="s">
        <v>172</v>
      </c>
      <c r="E23" s="20">
        <v>34502894024</v>
      </c>
      <c r="F23" s="46">
        <f>F3</f>
        <v>134221870</v>
      </c>
      <c r="G23" s="55">
        <f>E23/F23</f>
        <v>257.058659844331</v>
      </c>
      <c r="H23" s="20">
        <v>120928243000</v>
      </c>
      <c r="I23" s="46">
        <f>I3</f>
        <v>180000000</v>
      </c>
      <c r="J23" s="55">
        <f>H23/I23</f>
        <v>671.823572222222</v>
      </c>
      <c r="K23" s="20">
        <v>23782535426</v>
      </c>
      <c r="L23" s="46">
        <f>L3</f>
        <v>108680000</v>
      </c>
      <c r="M23" s="55">
        <f>K23/L23</f>
        <v>218.830837559809</v>
      </c>
      <c r="N23" s="20">
        <v>23782535426</v>
      </c>
      <c r="O23" s="46">
        <f>O3</f>
        <v>7000000</v>
      </c>
      <c r="P23" s="55">
        <f>N23/O23</f>
        <v>3397.50506085714</v>
      </c>
      <c r="Q23" s="20">
        <v>1355792694</v>
      </c>
      <c r="R23" s="46">
        <f>R3</f>
        <v>8156097</v>
      </c>
      <c r="S23" s="55">
        <f>Q23/R23</f>
        <v>166.230574991935</v>
      </c>
      <c r="T23" s="20">
        <v>2320310537</v>
      </c>
      <c r="U23" s="46">
        <f>U3</f>
        <v>8000000</v>
      </c>
      <c r="V23" s="55">
        <f>T23/U23</f>
        <v>290.038817125</v>
      </c>
      <c r="W23" s="20">
        <v>1717363728</v>
      </c>
      <c r="X23" s="46">
        <f>X3</f>
        <v>6875000</v>
      </c>
      <c r="Y23" s="55">
        <f>W23/X23</f>
        <v>249.798360436364</v>
      </c>
      <c r="Z23" s="20">
        <v>1225262587</v>
      </c>
      <c r="AA23" s="46">
        <f>AA3</f>
        <v>9675000</v>
      </c>
      <c r="AB23" s="55">
        <f>Z23/AA23</f>
        <v>126.642127855297</v>
      </c>
      <c r="AC23" s="20">
        <v>7637601013</v>
      </c>
      <c r="AD23" s="46">
        <f>AD3</f>
        <v>3207169</v>
      </c>
      <c r="AE23" s="55">
        <f>AC23/AD23</f>
        <v>2381.41520231706</v>
      </c>
    </row>
    <row r="24" ht="9.5" customHeight="1" spans="1:31">
      <c r="A24" s="2"/>
      <c r="B24" s="2"/>
      <c r="C24" s="6" t="s">
        <v>163</v>
      </c>
      <c r="D24" s="2"/>
      <c r="E24" s="20"/>
      <c r="F24" s="46"/>
      <c r="G24" s="55"/>
      <c r="H24" s="20"/>
      <c r="I24" s="46"/>
      <c r="J24" s="55"/>
      <c r="K24" s="20"/>
      <c r="L24" s="46"/>
      <c r="M24" s="55"/>
      <c r="N24" s="20"/>
      <c r="O24" s="46"/>
      <c r="P24" s="55"/>
      <c r="Q24" s="20"/>
      <c r="R24" s="46"/>
      <c r="S24" s="55"/>
      <c r="T24" s="20"/>
      <c r="U24" s="46"/>
      <c r="V24" s="55"/>
      <c r="W24" s="20"/>
      <c r="X24" s="46"/>
      <c r="Y24" s="55"/>
      <c r="Z24" s="20"/>
      <c r="AA24" s="46"/>
      <c r="AB24" s="55"/>
      <c r="AC24" s="20"/>
      <c r="AD24" s="46"/>
      <c r="AE24" s="55"/>
    </row>
    <row r="25" hidden="1" spans="1:31">
      <c r="A25" s="2"/>
      <c r="C25" s="2"/>
      <c r="D25" s="2"/>
      <c r="E25" s="20"/>
      <c r="F25" s="42"/>
      <c r="G25" s="38"/>
      <c r="H25" s="20"/>
      <c r="I25" s="42"/>
      <c r="J25" s="38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38"/>
      <c r="W25" s="20"/>
      <c r="X25" s="42"/>
      <c r="Y25" s="38"/>
      <c r="Z25" s="20"/>
      <c r="AA25" s="42"/>
      <c r="AB25" s="38"/>
      <c r="AC25" s="20"/>
      <c r="AD25" s="42"/>
      <c r="AE25" s="38"/>
    </row>
    <row r="26" spans="1:31">
      <c r="A26" s="2">
        <v>9</v>
      </c>
      <c r="B26" s="2" t="s">
        <v>743</v>
      </c>
      <c r="C26" s="37" t="s">
        <v>744</v>
      </c>
      <c r="D26" s="2" t="s">
        <v>172</v>
      </c>
      <c r="E26" s="20">
        <f>E3</f>
        <v>532690961</v>
      </c>
      <c r="F26" s="46">
        <f>E23</f>
        <v>34502894024</v>
      </c>
      <c r="G26" s="47">
        <f>E26/F26</f>
        <v>0.015439022611537</v>
      </c>
      <c r="H26" s="20">
        <f>H3</f>
        <v>2668192000</v>
      </c>
      <c r="I26" s="46">
        <f>H23</f>
        <v>120928243000</v>
      </c>
      <c r="J26" s="47">
        <f>H26/I26</f>
        <v>0.0220642583883403</v>
      </c>
      <c r="K26" s="20">
        <f>K3</f>
        <v>1390309152</v>
      </c>
      <c r="L26" s="46">
        <f>K23</f>
        <v>23782535426</v>
      </c>
      <c r="M26" s="47">
        <f>K26/L26</f>
        <v>0.0584592486501695</v>
      </c>
      <c r="N26" s="20">
        <f>N3</f>
        <v>100532914</v>
      </c>
      <c r="O26" s="46">
        <f>N23</f>
        <v>23782535426</v>
      </c>
      <c r="P26" s="47">
        <f>N26/O26</f>
        <v>0.00422717394084457</v>
      </c>
      <c r="Q26" s="20">
        <f>Q3</f>
        <v>523632</v>
      </c>
      <c r="R26" s="46">
        <f>Q23</f>
        <v>1355792694</v>
      </c>
      <c r="S26" s="47">
        <f>Q26/R26</f>
        <v>0.000386218337299876</v>
      </c>
      <c r="T26" s="20">
        <f>T3</f>
        <v>31979038</v>
      </c>
      <c r="U26" s="46">
        <f>T23</f>
        <v>2320310537</v>
      </c>
      <c r="V26" s="47">
        <f>T26/U26</f>
        <v>0.0137822233231534</v>
      </c>
      <c r="W26" s="20">
        <f>W3</f>
        <v>-55878189</v>
      </c>
      <c r="X26" s="46">
        <f>W23</f>
        <v>1717363728</v>
      </c>
      <c r="Y26" s="47">
        <f>W26/X26</f>
        <v>-0.0325371894660163</v>
      </c>
      <c r="Z26" s="20">
        <f>Z3</f>
        <v>1438864</v>
      </c>
      <c r="AA26" s="46">
        <f>Z23</f>
        <v>1225262587</v>
      </c>
      <c r="AB26" s="47">
        <f>Z26/AA26</f>
        <v>0.00117433113135609</v>
      </c>
      <c r="AC26" s="20">
        <f>AC3</f>
        <v>61923919</v>
      </c>
      <c r="AD26" s="46">
        <f>AC23</f>
        <v>7637601013</v>
      </c>
      <c r="AE26" s="47">
        <f>AC26/AD26</f>
        <v>0.00810777086870589</v>
      </c>
    </row>
    <row r="27" ht="10.5" customHeight="1" spans="1:31">
      <c r="A27" s="2"/>
      <c r="B27" s="2"/>
      <c r="C27" s="2" t="s">
        <v>741</v>
      </c>
      <c r="D27" s="2"/>
      <c r="E27" s="20"/>
      <c r="F27" s="46"/>
      <c r="G27" s="47"/>
      <c r="H27" s="20"/>
      <c r="I27" s="46"/>
      <c r="J27" s="47"/>
      <c r="K27" s="20"/>
      <c r="L27" s="46"/>
      <c r="M27" s="47"/>
      <c r="N27" s="20"/>
      <c r="O27" s="46"/>
      <c r="P27" s="47"/>
      <c r="Q27" s="20"/>
      <c r="R27" s="46"/>
      <c r="S27" s="47"/>
      <c r="T27" s="20"/>
      <c r="U27" s="46"/>
      <c r="V27" s="47"/>
      <c r="W27" s="20"/>
      <c r="X27" s="46"/>
      <c r="Y27" s="47"/>
      <c r="Z27" s="20"/>
      <c r="AA27" s="46"/>
      <c r="AB27" s="47"/>
      <c r="AC27" s="20"/>
      <c r="AD27" s="46"/>
      <c r="AE27" s="47"/>
    </row>
    <row r="28" hidden="1" spans="1:31">
      <c r="G28" s="38"/>
      <c r="J28" s="48"/>
      <c r="M28" s="48"/>
      <c r="P28" s="48"/>
      <c r="S28" s="48"/>
      <c r="V28" s="48"/>
      <c r="Y28" s="48"/>
      <c r="AB28" s="48"/>
      <c r="AE28" s="48"/>
    </row>
    <row r="29" spans="1:31">
      <c r="A29" s="2">
        <v>10</v>
      </c>
      <c r="B29" s="41" t="s">
        <v>455</v>
      </c>
      <c r="C29" s="37" t="s">
        <v>456</v>
      </c>
      <c r="D29" s="41" t="s">
        <v>237</v>
      </c>
      <c r="E29" s="20"/>
      <c r="F29" s="46" t="s">
        <v>757</v>
      </c>
      <c r="G29" s="55">
        <v>0</v>
      </c>
      <c r="H29" s="20">
        <v>44927445000</v>
      </c>
      <c r="I29" s="46">
        <v>18811702000</v>
      </c>
      <c r="J29" s="55">
        <f>H29/I29</f>
        <v>2.38827114101637</v>
      </c>
      <c r="K29" s="20"/>
      <c r="L29" s="46" t="s">
        <v>757</v>
      </c>
      <c r="M29" s="47">
        <v>3.52</v>
      </c>
      <c r="N29" s="20">
        <v>809717962</v>
      </c>
      <c r="O29" s="46">
        <v>363618904</v>
      </c>
      <c r="P29" s="53">
        <f>N29/O29</f>
        <v>2.22683131457874</v>
      </c>
      <c r="Q29" s="20">
        <v>170975571</v>
      </c>
      <c r="R29" s="46">
        <v>295043904</v>
      </c>
      <c r="S29" s="53">
        <f>Q29/R29</f>
        <v>0.579491962660581</v>
      </c>
      <c r="T29" s="20">
        <v>59906984</v>
      </c>
      <c r="U29" s="46">
        <v>122515181</v>
      </c>
      <c r="V29" s="53">
        <f>T29/U29</f>
        <v>0.488976006981535</v>
      </c>
      <c r="W29" s="20">
        <v>148952396</v>
      </c>
      <c r="X29" s="46">
        <v>212242091</v>
      </c>
      <c r="Y29" s="53">
        <f>W29/X29</f>
        <v>0.701804224120653</v>
      </c>
      <c r="Z29" s="20">
        <v>526836128</v>
      </c>
      <c r="AA29" s="46">
        <v>211464606</v>
      </c>
      <c r="AB29" s="53">
        <f>Z29/AA29</f>
        <v>2.49136788404202</v>
      </c>
      <c r="AC29" s="20">
        <v>5379136774</v>
      </c>
      <c r="AD29" s="46">
        <v>5835609546</v>
      </c>
      <c r="AE29" s="53">
        <f>AC29/AD29</f>
        <v>0.921778047622654</v>
      </c>
    </row>
    <row r="30" ht="8" customHeight="1" spans="1:31">
      <c r="A30" s="2"/>
      <c r="B30" s="41"/>
      <c r="C30" s="2" t="s">
        <v>457</v>
      </c>
      <c r="D30" s="41"/>
      <c r="E30" s="20"/>
      <c r="F30" s="46"/>
      <c r="G30" s="55"/>
      <c r="H30" s="20"/>
      <c r="I30" s="46"/>
      <c r="J30" s="55"/>
      <c r="K30" s="20"/>
      <c r="L30" s="46"/>
      <c r="M30" s="47"/>
      <c r="N30" s="20"/>
      <c r="O30" s="46"/>
      <c r="P30" s="53"/>
      <c r="Q30" s="20"/>
      <c r="R30" s="46"/>
      <c r="S30" s="53"/>
      <c r="T30" s="20"/>
      <c r="U30" s="46"/>
      <c r="V30" s="53"/>
      <c r="W30" s="20"/>
      <c r="X30" s="46"/>
      <c r="Y30" s="53"/>
      <c r="Z30" s="20"/>
      <c r="AA30" s="46"/>
      <c r="AB30" s="53"/>
      <c r="AC30" s="20"/>
      <c r="AD30" s="46"/>
      <c r="AE30" s="53"/>
    </row>
  </sheetData>
  <mergeCells count="280">
    <mergeCell ref="A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3:A4"/>
    <mergeCell ref="A6:A7"/>
    <mergeCell ref="A11:A12"/>
    <mergeCell ref="A14:A15"/>
    <mergeCell ref="A17:A18"/>
    <mergeCell ref="A20:A21"/>
    <mergeCell ref="A23:A24"/>
    <mergeCell ref="A26:A27"/>
    <mergeCell ref="A29:A30"/>
    <mergeCell ref="B3:B4"/>
    <mergeCell ref="B6:B7"/>
    <mergeCell ref="B11:B12"/>
    <mergeCell ref="B14:B15"/>
    <mergeCell ref="B17:B18"/>
    <mergeCell ref="B20:B21"/>
    <mergeCell ref="B23:B24"/>
    <mergeCell ref="B26:B27"/>
    <mergeCell ref="B29:B30"/>
    <mergeCell ref="D3:D4"/>
    <mergeCell ref="D6:D7"/>
    <mergeCell ref="D11:D12"/>
    <mergeCell ref="D14:D15"/>
    <mergeCell ref="D17:D18"/>
    <mergeCell ref="D20:D21"/>
    <mergeCell ref="D23:D24"/>
    <mergeCell ref="D26:D27"/>
    <mergeCell ref="D29:D30"/>
    <mergeCell ref="E3:E4"/>
    <mergeCell ref="E6:E7"/>
    <mergeCell ref="E11:E12"/>
    <mergeCell ref="E14:E15"/>
    <mergeCell ref="E17:E18"/>
    <mergeCell ref="E20:E21"/>
    <mergeCell ref="E23:E24"/>
    <mergeCell ref="E26:E27"/>
    <mergeCell ref="E29:E30"/>
    <mergeCell ref="F3:F4"/>
    <mergeCell ref="F6:F7"/>
    <mergeCell ref="F11:F12"/>
    <mergeCell ref="F14:F15"/>
    <mergeCell ref="F17:F18"/>
    <mergeCell ref="F20:F21"/>
    <mergeCell ref="F23:F24"/>
    <mergeCell ref="F26:F27"/>
    <mergeCell ref="F29:F30"/>
    <mergeCell ref="G3:G4"/>
    <mergeCell ref="G6:G7"/>
    <mergeCell ref="G11:G12"/>
    <mergeCell ref="G14:G15"/>
    <mergeCell ref="G17:G18"/>
    <mergeCell ref="G20:G21"/>
    <mergeCell ref="G23:G24"/>
    <mergeCell ref="G26:G27"/>
    <mergeCell ref="G29:G30"/>
    <mergeCell ref="H3:H4"/>
    <mergeCell ref="H6:H7"/>
    <mergeCell ref="H11:H12"/>
    <mergeCell ref="H14:H15"/>
    <mergeCell ref="H17:H18"/>
    <mergeCell ref="H20:H21"/>
    <mergeCell ref="H23:H24"/>
    <mergeCell ref="H26:H27"/>
    <mergeCell ref="H29:H30"/>
    <mergeCell ref="I3:I4"/>
    <mergeCell ref="I6:I7"/>
    <mergeCell ref="I11:I12"/>
    <mergeCell ref="I14:I15"/>
    <mergeCell ref="I17:I18"/>
    <mergeCell ref="I20:I21"/>
    <mergeCell ref="I23:I24"/>
    <mergeCell ref="I26:I27"/>
    <mergeCell ref="I29:I30"/>
    <mergeCell ref="J3:J4"/>
    <mergeCell ref="J6:J7"/>
    <mergeCell ref="J11:J12"/>
    <mergeCell ref="J14:J15"/>
    <mergeCell ref="J17:J18"/>
    <mergeCell ref="J20:J21"/>
    <mergeCell ref="J23:J24"/>
    <mergeCell ref="J26:J27"/>
    <mergeCell ref="J29:J30"/>
    <mergeCell ref="K3:K4"/>
    <mergeCell ref="K6:K7"/>
    <mergeCell ref="K11:K12"/>
    <mergeCell ref="K14:K15"/>
    <mergeCell ref="K17:K18"/>
    <mergeCell ref="K20:K21"/>
    <mergeCell ref="K23:K24"/>
    <mergeCell ref="K26:K27"/>
    <mergeCell ref="K29:K30"/>
    <mergeCell ref="L3:L4"/>
    <mergeCell ref="L6:L7"/>
    <mergeCell ref="L11:L12"/>
    <mergeCell ref="L14:L15"/>
    <mergeCell ref="L17:L18"/>
    <mergeCell ref="L20:L21"/>
    <mergeCell ref="L23:L24"/>
    <mergeCell ref="L26:L27"/>
    <mergeCell ref="L29:L30"/>
    <mergeCell ref="M3:M4"/>
    <mergeCell ref="M6:M7"/>
    <mergeCell ref="M11:M12"/>
    <mergeCell ref="M14:M15"/>
    <mergeCell ref="M17:M18"/>
    <mergeCell ref="M20:M21"/>
    <mergeCell ref="M23:M24"/>
    <mergeCell ref="M26:M27"/>
    <mergeCell ref="M29:M30"/>
    <mergeCell ref="N3:N4"/>
    <mergeCell ref="N6:N7"/>
    <mergeCell ref="N11:N12"/>
    <mergeCell ref="N14:N15"/>
    <mergeCell ref="N17:N18"/>
    <mergeCell ref="N20:N21"/>
    <mergeCell ref="N23:N24"/>
    <mergeCell ref="N26:N27"/>
    <mergeCell ref="N29:N30"/>
    <mergeCell ref="O3:O4"/>
    <mergeCell ref="O6:O7"/>
    <mergeCell ref="O11:O12"/>
    <mergeCell ref="O14:O15"/>
    <mergeCell ref="O17:O18"/>
    <mergeCell ref="O20:O21"/>
    <mergeCell ref="O23:O24"/>
    <mergeCell ref="O26:O27"/>
    <mergeCell ref="O29:O30"/>
    <mergeCell ref="P3:P4"/>
    <mergeCell ref="P6:P7"/>
    <mergeCell ref="P11:P12"/>
    <mergeCell ref="P14:P15"/>
    <mergeCell ref="P17:P18"/>
    <mergeCell ref="P20:P21"/>
    <mergeCell ref="P23:P24"/>
    <mergeCell ref="P26:P27"/>
    <mergeCell ref="P29:P30"/>
    <mergeCell ref="Q3:Q4"/>
    <mergeCell ref="Q6:Q7"/>
    <mergeCell ref="Q11:Q12"/>
    <mergeCell ref="Q14:Q15"/>
    <mergeCell ref="Q17:Q18"/>
    <mergeCell ref="Q20:Q21"/>
    <mergeCell ref="Q23:Q24"/>
    <mergeCell ref="Q26:Q27"/>
    <mergeCell ref="Q29:Q30"/>
    <mergeCell ref="R3:R4"/>
    <mergeCell ref="R6:R7"/>
    <mergeCell ref="R11:R12"/>
    <mergeCell ref="R14:R15"/>
    <mergeCell ref="R17:R18"/>
    <mergeCell ref="R20:R21"/>
    <mergeCell ref="R23:R24"/>
    <mergeCell ref="R26:R27"/>
    <mergeCell ref="R29:R30"/>
    <mergeCell ref="S3:S4"/>
    <mergeCell ref="S6:S7"/>
    <mergeCell ref="S11:S12"/>
    <mergeCell ref="S14:S15"/>
    <mergeCell ref="S17:S18"/>
    <mergeCell ref="S20:S21"/>
    <mergeCell ref="S23:S24"/>
    <mergeCell ref="S26:S27"/>
    <mergeCell ref="S29:S30"/>
    <mergeCell ref="T3:T4"/>
    <mergeCell ref="T6:T7"/>
    <mergeCell ref="T11:T12"/>
    <mergeCell ref="T14:T15"/>
    <mergeCell ref="T17:T18"/>
    <mergeCell ref="T20:T21"/>
    <mergeCell ref="T23:T24"/>
    <mergeCell ref="T26:T27"/>
    <mergeCell ref="T29:T30"/>
    <mergeCell ref="U3:U4"/>
    <mergeCell ref="U6:U7"/>
    <mergeCell ref="U11:U12"/>
    <mergeCell ref="U14:U15"/>
    <mergeCell ref="U17:U18"/>
    <mergeCell ref="U20:U21"/>
    <mergeCell ref="U23:U24"/>
    <mergeCell ref="U26:U27"/>
    <mergeCell ref="U29:U30"/>
    <mergeCell ref="V3:V4"/>
    <mergeCell ref="V6:V7"/>
    <mergeCell ref="V11:V12"/>
    <mergeCell ref="V14:V15"/>
    <mergeCell ref="V17:V18"/>
    <mergeCell ref="V20:V21"/>
    <mergeCell ref="V23:V24"/>
    <mergeCell ref="V26:V27"/>
    <mergeCell ref="V29:V30"/>
    <mergeCell ref="W3:W4"/>
    <mergeCell ref="W6:W7"/>
    <mergeCell ref="W11:W12"/>
    <mergeCell ref="W14:W15"/>
    <mergeCell ref="W17:W18"/>
    <mergeCell ref="W20:W21"/>
    <mergeCell ref="W23:W24"/>
    <mergeCell ref="W26:W27"/>
    <mergeCell ref="W29:W30"/>
    <mergeCell ref="X3:X4"/>
    <mergeCell ref="X6:X7"/>
    <mergeCell ref="X11:X12"/>
    <mergeCell ref="X14:X15"/>
    <mergeCell ref="X17:X18"/>
    <mergeCell ref="X20:X21"/>
    <mergeCell ref="X23:X24"/>
    <mergeCell ref="X26:X27"/>
    <mergeCell ref="X29:X30"/>
    <mergeCell ref="Y3:Y4"/>
    <mergeCell ref="Y6:Y7"/>
    <mergeCell ref="Y11:Y12"/>
    <mergeCell ref="Y14:Y15"/>
    <mergeCell ref="Y17:Y18"/>
    <mergeCell ref="Y20:Y21"/>
    <mergeCell ref="Y23:Y24"/>
    <mergeCell ref="Y26:Y27"/>
    <mergeCell ref="Y29:Y30"/>
    <mergeCell ref="Z3:Z4"/>
    <mergeCell ref="Z6:Z7"/>
    <mergeCell ref="Z11:Z12"/>
    <mergeCell ref="Z14:Z15"/>
    <mergeCell ref="Z17:Z18"/>
    <mergeCell ref="Z20:Z21"/>
    <mergeCell ref="Z23:Z24"/>
    <mergeCell ref="Z26:Z27"/>
    <mergeCell ref="Z29:Z30"/>
    <mergeCell ref="AA3:AA4"/>
    <mergeCell ref="AA6:AA7"/>
    <mergeCell ref="AA11:AA12"/>
    <mergeCell ref="AA14:AA15"/>
    <mergeCell ref="AA17:AA18"/>
    <mergeCell ref="AA20:AA21"/>
    <mergeCell ref="AA23:AA24"/>
    <mergeCell ref="AA26:AA27"/>
    <mergeCell ref="AA29:AA30"/>
    <mergeCell ref="AB3:AB4"/>
    <mergeCell ref="AB6:AB7"/>
    <mergeCell ref="AB11:AB12"/>
    <mergeCell ref="AB14:AB15"/>
    <mergeCell ref="AB17:AB18"/>
    <mergeCell ref="AB20:AB21"/>
    <mergeCell ref="AB23:AB24"/>
    <mergeCell ref="AB26:AB27"/>
    <mergeCell ref="AB29:AB30"/>
    <mergeCell ref="AC3:AC4"/>
    <mergeCell ref="AC6:AC7"/>
    <mergeCell ref="AC11:AC12"/>
    <mergeCell ref="AC14:AC15"/>
    <mergeCell ref="AC17:AC18"/>
    <mergeCell ref="AC20:AC21"/>
    <mergeCell ref="AC23:AC24"/>
    <mergeCell ref="AC26:AC27"/>
    <mergeCell ref="AC29:AC30"/>
    <mergeCell ref="AD3:AD4"/>
    <mergeCell ref="AD6:AD7"/>
    <mergeCell ref="AD11:AD12"/>
    <mergeCell ref="AD14:AD15"/>
    <mergeCell ref="AD17:AD18"/>
    <mergeCell ref="AD20:AD21"/>
    <mergeCell ref="AD23:AD24"/>
    <mergeCell ref="AD26:AD27"/>
    <mergeCell ref="AD29:AD30"/>
    <mergeCell ref="AE3:AE4"/>
    <mergeCell ref="AE6:AE7"/>
    <mergeCell ref="AE11:AE12"/>
    <mergeCell ref="AE14:AE15"/>
    <mergeCell ref="AE17:AE18"/>
    <mergeCell ref="AE20:AE21"/>
    <mergeCell ref="AE23:AE24"/>
    <mergeCell ref="AE26:AE27"/>
    <mergeCell ref="AE29:AE30"/>
  </mergeCells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46"/>
  <sheetViews>
    <sheetView workbookViewId="0">
      <selection activeCell="I29" sqref="I29"/>
    </sheetView>
  </sheetViews>
  <sheetFormatPr defaultColWidth="9" defaultRowHeight="15"/>
  <cols>
    <col min="1" max="1" width="4.26666666666667" customWidth="1"/>
    <col min="2" max="2" width="22.6285714285714" customWidth="1"/>
    <col min="3" max="3" width="21" customWidth="1"/>
    <col min="4" max="4" width="9.90476190476191" customWidth="1"/>
    <col min="5" max="5" width="14.2666666666667" customWidth="1"/>
    <col min="6" max="6" width="13.8190476190476" customWidth="1"/>
    <col min="7" max="7" width="9.90476190476191" customWidth="1"/>
    <col min="8" max="8" width="14.2666666666667" customWidth="1"/>
    <col min="9" max="9" width="13.8190476190476" customWidth="1"/>
    <col min="10" max="10" width="12.5428571428571" customWidth="1"/>
    <col min="11" max="11" width="14.2666666666667" customWidth="1"/>
    <col min="12" max="12" width="13.8190476190476" customWidth="1"/>
    <col min="13" max="13" width="9.90476190476191" customWidth="1"/>
    <col min="14" max="14" width="14.2666666666667" customWidth="1"/>
    <col min="15" max="15" width="13.8190476190476" customWidth="1"/>
    <col min="16" max="16" width="9.90476190476191" customWidth="1"/>
    <col min="17" max="17" width="14.2666666666667" customWidth="1"/>
    <col min="18" max="18" width="13.8190476190476" customWidth="1"/>
    <col min="19" max="19" width="9.90476190476191" customWidth="1"/>
    <col min="20" max="20" width="14.2666666666667" customWidth="1"/>
    <col min="21" max="21" width="13.8190476190476" customWidth="1"/>
    <col min="22" max="22" width="9.90476190476191" customWidth="1"/>
  </cols>
  <sheetData>
    <row r="1" ht="18.75" spans="1:22">
      <c r="A1" s="58" t="s">
        <v>758</v>
      </c>
      <c r="B1" s="59"/>
      <c r="C1" s="59"/>
      <c r="D1" s="60"/>
      <c r="E1" s="61" t="s">
        <v>759</v>
      </c>
      <c r="F1" s="62"/>
      <c r="G1" s="63"/>
      <c r="H1" s="61" t="s">
        <v>760</v>
      </c>
      <c r="I1" s="62"/>
      <c r="J1" s="63"/>
      <c r="K1" s="61" t="s">
        <v>761</v>
      </c>
      <c r="L1" s="62"/>
      <c r="M1" s="63"/>
      <c r="N1" s="61" t="s">
        <v>762</v>
      </c>
      <c r="O1" s="62"/>
      <c r="P1" s="63"/>
      <c r="Q1" s="61" t="s">
        <v>763</v>
      </c>
      <c r="R1" s="62"/>
      <c r="S1" s="63"/>
      <c r="T1" s="61" t="s">
        <v>764</v>
      </c>
      <c r="U1" s="62"/>
      <c r="V1" s="63"/>
    </row>
    <row r="2" ht="15.75" spans="1:22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5" t="s">
        <v>160</v>
      </c>
      <c r="H2" s="35" t="s">
        <v>158</v>
      </c>
      <c r="I2" s="35" t="s">
        <v>159</v>
      </c>
      <c r="J2" s="35" t="s">
        <v>160</v>
      </c>
      <c r="K2" s="35" t="s">
        <v>158</v>
      </c>
      <c r="L2" s="35" t="s">
        <v>159</v>
      </c>
      <c r="M2" s="35" t="s">
        <v>160</v>
      </c>
      <c r="N2" s="35" t="s">
        <v>158</v>
      </c>
      <c r="O2" s="35" t="s">
        <v>159</v>
      </c>
      <c r="P2" s="35" t="s">
        <v>160</v>
      </c>
      <c r="Q2" s="35" t="s">
        <v>158</v>
      </c>
      <c r="R2" s="35" t="s">
        <v>159</v>
      </c>
      <c r="S2" s="35" t="s">
        <v>160</v>
      </c>
      <c r="T2" s="35" t="s">
        <v>158</v>
      </c>
      <c r="U2" s="35" t="s">
        <v>159</v>
      </c>
      <c r="V2" s="35" t="s">
        <v>160</v>
      </c>
    </row>
    <row r="3" spans="1:22">
      <c r="A3" s="2">
        <v>1</v>
      </c>
      <c r="B3" s="2" t="s">
        <v>65</v>
      </c>
      <c r="C3" s="37" t="s">
        <v>161</v>
      </c>
      <c r="D3" s="2" t="s">
        <v>162</v>
      </c>
      <c r="E3" s="20">
        <v>670709971</v>
      </c>
      <c r="F3" s="20">
        <v>102186269</v>
      </c>
      <c r="G3" s="38">
        <f>E3/F3</f>
        <v>6.56360172030549</v>
      </c>
      <c r="H3" s="20">
        <v>515433967</v>
      </c>
      <c r="I3" s="20">
        <v>19621201</v>
      </c>
      <c r="J3" s="38">
        <f>H3/I3</f>
        <v>26.2692363734513</v>
      </c>
      <c r="K3" s="20">
        <v>-198965878</v>
      </c>
      <c r="L3" s="20">
        <v>16740000</v>
      </c>
      <c r="M3" s="39">
        <f>K3/L3</f>
        <v>-11.8856557945042</v>
      </c>
      <c r="N3" s="20">
        <v>210895504</v>
      </c>
      <c r="O3" s="20">
        <v>15340910</v>
      </c>
      <c r="P3" s="38">
        <f>N3/O3</f>
        <v>13.7472616683104</v>
      </c>
      <c r="Q3" s="20">
        <v>29552588</v>
      </c>
      <c r="R3" s="20">
        <v>11844949</v>
      </c>
      <c r="S3" s="38">
        <f>Q3/R3</f>
        <v>2.49495274314816</v>
      </c>
      <c r="T3" s="20">
        <v>27802863</v>
      </c>
      <c r="U3" s="20">
        <v>6000000</v>
      </c>
      <c r="V3" s="38">
        <f>T3/U3</f>
        <v>4.6338105</v>
      </c>
    </row>
    <row r="4" spans="1:22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9"/>
      <c r="N4" s="20"/>
      <c r="O4" s="20"/>
      <c r="P4" s="38"/>
      <c r="Q4" s="20"/>
      <c r="R4" s="20"/>
      <c r="S4" s="38"/>
      <c r="T4" s="20"/>
      <c r="U4" s="20"/>
      <c r="V4" s="38"/>
    </row>
    <row r="5" spans="1:22">
      <c r="E5" s="6"/>
      <c r="F5" s="6"/>
      <c r="G5" s="40"/>
      <c r="H5" s="6"/>
      <c r="I5" s="6"/>
      <c r="J5" s="40"/>
      <c r="K5" s="6"/>
      <c r="L5" s="6"/>
      <c r="M5" s="40"/>
      <c r="N5" s="6"/>
      <c r="O5" s="6"/>
      <c r="P5" s="40"/>
      <c r="Q5" s="6"/>
      <c r="R5" s="6"/>
      <c r="S5" s="40"/>
      <c r="T5" s="6"/>
      <c r="U5" s="6"/>
      <c r="V5" s="40"/>
    </row>
    <row r="6" spans="1:22">
      <c r="A6" s="2">
        <v>2</v>
      </c>
      <c r="B6" s="41" t="s">
        <v>166</v>
      </c>
      <c r="C6" s="37" t="s">
        <v>167</v>
      </c>
      <c r="D6" s="2" t="s">
        <v>168</v>
      </c>
      <c r="E6" s="20">
        <v>557</v>
      </c>
      <c r="F6" s="42">
        <f>G3</f>
        <v>6.56360172030549</v>
      </c>
      <c r="G6" s="38">
        <f>E6/F6</f>
        <v>84.8619437521378</v>
      </c>
      <c r="H6" s="20">
        <v>646.12</v>
      </c>
      <c r="I6" s="42">
        <f>J3</f>
        <v>26.2692363734513</v>
      </c>
      <c r="J6" s="38">
        <f>H6/I6</f>
        <v>24.5960708874276</v>
      </c>
      <c r="K6" s="20">
        <v>915</v>
      </c>
      <c r="L6" s="42">
        <f>M3</f>
        <v>-11.8856557945042</v>
      </c>
      <c r="M6" s="39">
        <f>K6/L6</f>
        <v>-76.9835519234107</v>
      </c>
      <c r="N6" s="20">
        <v>956</v>
      </c>
      <c r="O6" s="42">
        <f>P3</f>
        <v>13.7472616683104</v>
      </c>
      <c r="P6" s="38">
        <f>N6/O6</f>
        <v>69.5411219387588</v>
      </c>
      <c r="Q6" s="20">
        <v>880.45</v>
      </c>
      <c r="R6" s="42">
        <f>S3</f>
        <v>2.49495274314816</v>
      </c>
      <c r="S6" s="43">
        <f>Q6/R6</f>
        <v>352.892455545687</v>
      </c>
      <c r="T6" s="20">
        <v>1057.21</v>
      </c>
      <c r="U6" s="42">
        <f>V3</f>
        <v>4.6338105</v>
      </c>
      <c r="V6" s="43">
        <f>T6/U6</f>
        <v>228.151323840282</v>
      </c>
    </row>
    <row r="7" spans="1:22">
      <c r="A7" s="2"/>
      <c r="B7" s="41"/>
      <c r="C7" s="2" t="s">
        <v>169</v>
      </c>
      <c r="D7" s="2"/>
      <c r="E7" s="20"/>
      <c r="F7" s="42"/>
      <c r="G7" s="38"/>
      <c r="H7" s="20"/>
      <c r="I7" s="42"/>
      <c r="J7" s="38"/>
      <c r="K7" s="20"/>
      <c r="L7" s="42"/>
      <c r="M7" s="39"/>
      <c r="N7" s="20"/>
      <c r="O7" s="42"/>
      <c r="P7" s="38"/>
      <c r="Q7" s="20"/>
      <c r="R7" s="42"/>
      <c r="S7" s="43"/>
      <c r="T7" s="20"/>
      <c r="U7" s="42"/>
      <c r="V7" s="43"/>
    </row>
    <row r="8" spans="1:22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</row>
    <row r="9" spans="1:22">
      <c r="A9" s="2">
        <v>3</v>
      </c>
      <c r="B9" s="2" t="s">
        <v>170</v>
      </c>
      <c r="C9" s="2" t="s">
        <v>491</v>
      </c>
      <c r="D9" s="2" t="s">
        <v>175</v>
      </c>
      <c r="E9" s="20">
        <f>E3</f>
        <v>670709971</v>
      </c>
      <c r="F9" s="20">
        <v>600042463</v>
      </c>
      <c r="G9" s="44">
        <f>((E9-F9)/F9)</f>
        <v>0.117770845161003</v>
      </c>
      <c r="H9" s="20">
        <f>H3</f>
        <v>515433967</v>
      </c>
      <c r="I9" s="20">
        <v>518268720</v>
      </c>
      <c r="J9" s="44">
        <f>((H9-I9)/I9)</f>
        <v>-0.00546965867436491</v>
      </c>
      <c r="K9" s="20">
        <f>K3</f>
        <v>-198965878</v>
      </c>
      <c r="L9" s="20">
        <v>-203224990</v>
      </c>
      <c r="M9" s="44">
        <f>((K9-L9)/L9)</f>
        <v>-0.0209576194344997</v>
      </c>
      <c r="N9" s="20">
        <f>N3</f>
        <v>210895504</v>
      </c>
      <c r="O9" s="20">
        <v>199974656</v>
      </c>
      <c r="P9" s="44">
        <f>((N9-O9)/O9)</f>
        <v>0.0546111603262365</v>
      </c>
      <c r="Q9" s="20">
        <f>Q3</f>
        <v>29552588</v>
      </c>
      <c r="R9" s="20">
        <v>123998946</v>
      </c>
      <c r="S9" s="44">
        <f>((Q9-R9)/R9)</f>
        <v>-0.761670651619894</v>
      </c>
      <c r="T9" s="20">
        <f>T3</f>
        <v>27802863</v>
      </c>
      <c r="U9" s="20">
        <v>18902563</v>
      </c>
      <c r="V9" s="44">
        <f>((T9-U9)/U9)</f>
        <v>0.470851492466921</v>
      </c>
    </row>
    <row r="10" spans="1:22">
      <c r="A10" s="45"/>
      <c r="B10" s="2"/>
      <c r="C10" s="2"/>
      <c r="D10" s="2"/>
      <c r="E10" s="20"/>
      <c r="F10" s="42"/>
      <c r="G10" s="38"/>
      <c r="H10" s="20"/>
      <c r="I10" s="42"/>
      <c r="J10" s="38"/>
      <c r="K10" s="20"/>
      <c r="L10" s="42"/>
      <c r="M10" s="38"/>
      <c r="N10" s="20"/>
      <c r="O10" s="42"/>
      <c r="P10" s="38"/>
      <c r="Q10" s="20"/>
      <c r="R10" s="42"/>
      <c r="S10" s="38"/>
      <c r="T10" s="20"/>
      <c r="U10" s="42"/>
      <c r="V10" s="38"/>
    </row>
    <row r="11" spans="1:22">
      <c r="A11" s="2">
        <v>4</v>
      </c>
      <c r="B11" s="2" t="s">
        <v>437</v>
      </c>
      <c r="C11" s="37" t="s">
        <v>438</v>
      </c>
      <c r="D11" s="2" t="s">
        <v>172</v>
      </c>
      <c r="E11" s="20">
        <f>E3</f>
        <v>670709971</v>
      </c>
      <c r="F11" s="46">
        <v>2770089629</v>
      </c>
      <c r="G11" s="47">
        <f>E11/F11</f>
        <v>0.242125729066076</v>
      </c>
      <c r="H11" s="20">
        <f>H3</f>
        <v>515433967</v>
      </c>
      <c r="I11" s="46">
        <v>1735956820</v>
      </c>
      <c r="J11" s="47">
        <f>H11/I11</f>
        <v>0.296916352447061</v>
      </c>
      <c r="K11" s="20">
        <f>K3</f>
        <v>-198965878</v>
      </c>
      <c r="L11" s="46">
        <v>522315412</v>
      </c>
      <c r="M11" s="47">
        <f>K11/L11</f>
        <v>-0.380930513304478</v>
      </c>
      <c r="N11" s="20">
        <f>N3</f>
        <v>210895504</v>
      </c>
      <c r="O11" s="46">
        <v>902416567</v>
      </c>
      <c r="P11" s="47">
        <f>N11/O11</f>
        <v>0.233700833641721</v>
      </c>
      <c r="Q11" s="20">
        <f>Q3</f>
        <v>29552588</v>
      </c>
      <c r="R11" s="46">
        <v>1075688857</v>
      </c>
      <c r="S11" s="47">
        <f>Q11/R11</f>
        <v>0.0274731748011405</v>
      </c>
      <c r="T11" s="20">
        <f>T3</f>
        <v>27802863</v>
      </c>
      <c r="U11" s="46">
        <v>76361434</v>
      </c>
      <c r="V11" s="47">
        <f>T11/U11</f>
        <v>0.364095611405097</v>
      </c>
    </row>
    <row r="12" spans="1:22">
      <c r="A12" s="2"/>
      <c r="B12" s="2"/>
      <c r="C12" s="6" t="s">
        <v>503</v>
      </c>
      <c r="D12" s="2"/>
      <c r="E12" s="20"/>
      <c r="F12" s="46"/>
      <c r="G12" s="47"/>
      <c r="H12" s="20"/>
      <c r="I12" s="46"/>
      <c r="J12" s="47"/>
      <c r="K12" s="20"/>
      <c r="L12" s="46"/>
      <c r="M12" s="47"/>
      <c r="N12" s="20"/>
      <c r="O12" s="46"/>
      <c r="P12" s="47"/>
      <c r="Q12" s="20"/>
      <c r="R12" s="46"/>
      <c r="S12" s="47"/>
      <c r="T12" s="20"/>
      <c r="U12" s="46"/>
      <c r="V12" s="47"/>
    </row>
    <row r="13" spans="1:22">
      <c r="A13" s="45"/>
      <c r="E13" s="45"/>
      <c r="G13" s="48"/>
      <c r="H13" s="45"/>
      <c r="J13" s="48"/>
      <c r="K13" s="45"/>
      <c r="M13" s="48"/>
      <c r="N13" s="45"/>
      <c r="P13" s="48"/>
      <c r="Q13" s="45"/>
      <c r="S13" s="48"/>
      <c r="T13" s="45"/>
      <c r="V13" s="48"/>
    </row>
    <row r="14" spans="1:22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670709971</v>
      </c>
      <c r="F14" s="20">
        <v>2774836998</v>
      </c>
      <c r="G14" s="44">
        <f>E14/F14</f>
        <v>0.241711484848812</v>
      </c>
      <c r="H14" s="20">
        <f>H3</f>
        <v>515433967</v>
      </c>
      <c r="I14" s="20">
        <v>3171806451</v>
      </c>
      <c r="J14" s="44">
        <f>H14/I14</f>
        <v>0.162504861176979</v>
      </c>
      <c r="K14" s="20">
        <f>K3</f>
        <v>-198965878</v>
      </c>
      <c r="L14" s="20">
        <v>1353093336</v>
      </c>
      <c r="M14" s="44">
        <f>K14/L14</f>
        <v>-0.147045198366124</v>
      </c>
      <c r="N14" s="20">
        <f>N3</f>
        <v>210895504</v>
      </c>
      <c r="O14" s="20">
        <v>1650895025</v>
      </c>
      <c r="P14" s="44">
        <f>N14/O14</f>
        <v>0.127746162418776</v>
      </c>
      <c r="Q14" s="20">
        <f>Q3</f>
        <v>29552588</v>
      </c>
      <c r="R14" s="20">
        <v>3902299064</v>
      </c>
      <c r="S14" s="44">
        <f>Q14/R14</f>
        <v>0.00757312228389474</v>
      </c>
      <c r="T14" s="20">
        <f>T3</f>
        <v>27802863</v>
      </c>
      <c r="U14" s="20">
        <v>639483258</v>
      </c>
      <c r="V14" s="44">
        <f>T14/U14</f>
        <v>0.043477077237259</v>
      </c>
    </row>
    <row r="15" spans="1:22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44"/>
      <c r="K15" s="20"/>
      <c r="L15" s="2"/>
      <c r="M15" s="44"/>
      <c r="N15" s="20"/>
      <c r="O15" s="2"/>
      <c r="P15" s="44"/>
      <c r="Q15" s="20"/>
      <c r="R15" s="2"/>
      <c r="S15" s="44"/>
      <c r="T15" s="20"/>
      <c r="U15" s="2"/>
      <c r="V15" s="44"/>
    </row>
    <row r="16" spans="1:22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</row>
    <row r="17" spans="1:22">
      <c r="A17" s="2">
        <v>6</v>
      </c>
      <c r="B17" s="2" t="s">
        <v>180</v>
      </c>
      <c r="C17" s="37" t="s">
        <v>176</v>
      </c>
      <c r="D17" s="2" t="s">
        <v>181</v>
      </c>
      <c r="E17" s="20">
        <f>F14</f>
        <v>2774836998</v>
      </c>
      <c r="F17" s="20">
        <f>F3</f>
        <v>102186269</v>
      </c>
      <c r="G17" s="38">
        <f>E17/F17</f>
        <v>27.1546952947269</v>
      </c>
      <c r="H17" s="20">
        <f>I14</f>
        <v>3171806451</v>
      </c>
      <c r="I17" s="20">
        <f>I3</f>
        <v>19621201</v>
      </c>
      <c r="J17" s="38">
        <f>H17/I17</f>
        <v>161.652003412024</v>
      </c>
      <c r="K17" s="20">
        <f>L14</f>
        <v>1353093336</v>
      </c>
      <c r="L17" s="20">
        <f>L3</f>
        <v>16740000</v>
      </c>
      <c r="M17" s="49">
        <f>K17/L17</f>
        <v>80.8299483870968</v>
      </c>
      <c r="N17" s="20">
        <f>O14</f>
        <v>1650895025</v>
      </c>
      <c r="O17" s="20">
        <f>O3</f>
        <v>15340910</v>
      </c>
      <c r="P17" s="38">
        <f>N17/O17</f>
        <v>107.613891548806</v>
      </c>
      <c r="Q17" s="20">
        <f>R14</f>
        <v>3902299064</v>
      </c>
      <c r="R17" s="20">
        <f>R3</f>
        <v>11844949</v>
      </c>
      <c r="S17" s="38">
        <f>Q17/R17</f>
        <v>329.448363517648</v>
      </c>
      <c r="T17" s="20">
        <f>U14</f>
        <v>639483258</v>
      </c>
      <c r="U17" s="20">
        <f>U3</f>
        <v>6000000</v>
      </c>
      <c r="V17" s="38">
        <f>T17/U17</f>
        <v>106.580543</v>
      </c>
    </row>
    <row r="18" spans="1:22">
      <c r="A18" s="2"/>
      <c r="B18" s="2"/>
      <c r="C18" s="6" t="s">
        <v>163</v>
      </c>
      <c r="D18" s="2"/>
      <c r="E18" s="20"/>
      <c r="F18" s="20"/>
      <c r="G18" s="38"/>
      <c r="H18" s="20"/>
      <c r="I18" s="20"/>
      <c r="J18" s="38"/>
      <c r="K18" s="20"/>
      <c r="L18" s="20"/>
      <c r="M18" s="49"/>
      <c r="N18" s="20"/>
      <c r="O18" s="20"/>
      <c r="P18" s="38"/>
      <c r="Q18" s="20"/>
      <c r="R18" s="20"/>
      <c r="S18" s="38"/>
      <c r="T18" s="20"/>
      <c r="U18" s="20"/>
      <c r="V18" s="38"/>
    </row>
    <row r="19" spans="1:22">
      <c r="A19" s="2"/>
      <c r="B19" s="2"/>
      <c r="C19" s="6"/>
      <c r="D19" s="2"/>
      <c r="E19" s="20"/>
      <c r="F19" s="20"/>
      <c r="G19" s="38" t="s">
        <v>765</v>
      </c>
      <c r="H19" s="20"/>
      <c r="I19" s="20"/>
      <c r="J19" s="38"/>
      <c r="K19" s="20"/>
      <c r="L19" s="20"/>
      <c r="M19" s="38"/>
      <c r="N19" s="20"/>
      <c r="O19" s="20"/>
      <c r="P19" s="38"/>
      <c r="Q19" s="20"/>
      <c r="R19" s="20"/>
      <c r="S19" s="38"/>
      <c r="T19" s="20"/>
      <c r="U19" s="20"/>
      <c r="V19" s="38"/>
    </row>
    <row r="20" spans="1:22">
      <c r="A20" s="2">
        <v>7</v>
      </c>
      <c r="B20" s="2" t="s">
        <v>182</v>
      </c>
      <c r="C20" s="37" t="s">
        <v>183</v>
      </c>
      <c r="D20" s="50" t="s">
        <v>184</v>
      </c>
      <c r="E20" s="20">
        <f>E6</f>
        <v>557</v>
      </c>
      <c r="F20" s="42">
        <f>G17</f>
        <v>27.1546952947269</v>
      </c>
      <c r="G20" s="38">
        <f>E20/F20</f>
        <v>20.5121064314856</v>
      </c>
      <c r="H20" s="20">
        <f>H6</f>
        <v>646.12</v>
      </c>
      <c r="I20" s="42">
        <f>J17</f>
        <v>161.652003412024</v>
      </c>
      <c r="J20" s="38">
        <f>H20/I20</f>
        <v>3.99698108506054</v>
      </c>
      <c r="K20" s="20">
        <f>K6</f>
        <v>915</v>
      </c>
      <c r="L20" s="42">
        <f>M17</f>
        <v>80.8299483870968</v>
      </c>
      <c r="M20" s="38">
        <f>K20/L20</f>
        <v>11.3200616635067</v>
      </c>
      <c r="N20" s="20">
        <f>N6</f>
        <v>956</v>
      </c>
      <c r="O20" s="42">
        <f>P17</f>
        <v>107.613891548806</v>
      </c>
      <c r="P20" s="38">
        <f>N20/O20</f>
        <v>8.88361145797262</v>
      </c>
      <c r="Q20" s="20">
        <f>Q6</f>
        <v>880.45</v>
      </c>
      <c r="R20" s="42">
        <f>S17</f>
        <v>329.448363517648</v>
      </c>
      <c r="S20" s="38">
        <f>Q20/R20</f>
        <v>2.67249771891138</v>
      </c>
      <c r="T20" s="20">
        <f>T6</f>
        <v>1057.21</v>
      </c>
      <c r="U20" s="42">
        <f>V17</f>
        <v>106.580543</v>
      </c>
      <c r="V20" s="38">
        <f>T20/U20</f>
        <v>9.91935272838683</v>
      </c>
    </row>
    <row r="21" spans="1:22">
      <c r="A21" s="2"/>
      <c r="B21" s="2"/>
      <c r="C21" s="2" t="s">
        <v>185</v>
      </c>
      <c r="D21" s="2"/>
      <c r="E21" s="20"/>
      <c r="F21" s="42"/>
      <c r="G21" s="38"/>
      <c r="H21" s="20"/>
      <c r="I21" s="42"/>
      <c r="J21" s="38"/>
      <c r="K21" s="20"/>
      <c r="L21" s="42"/>
      <c r="M21" s="38"/>
      <c r="N21" s="20"/>
      <c r="O21" s="42"/>
      <c r="P21" s="38"/>
      <c r="Q21" s="20"/>
      <c r="R21" s="42"/>
      <c r="S21" s="38"/>
      <c r="T21" s="20"/>
      <c r="U21" s="42"/>
      <c r="V21" s="38"/>
    </row>
    <row r="22" spans="1:22">
      <c r="A22" s="2"/>
      <c r="B22" s="2"/>
      <c r="C22" s="2"/>
      <c r="D22" s="2"/>
      <c r="E22" s="20"/>
      <c r="F22" s="42"/>
      <c r="G22" s="38"/>
      <c r="H22" s="20"/>
      <c r="I22" s="42"/>
      <c r="J22" s="38"/>
      <c r="K22" s="20"/>
      <c r="L22" s="42"/>
      <c r="M22" s="38"/>
      <c r="N22" s="20"/>
      <c r="O22" s="42"/>
      <c r="P22" s="38"/>
      <c r="Q22" s="20"/>
      <c r="R22" s="42"/>
      <c r="S22" s="38"/>
      <c r="T22" s="20"/>
      <c r="U22" s="42"/>
      <c r="V22" s="38"/>
    </row>
    <row r="23" spans="1:22">
      <c r="A23" s="2">
        <v>8</v>
      </c>
      <c r="B23" s="2" t="s">
        <v>186</v>
      </c>
      <c r="C23" s="37" t="s">
        <v>187</v>
      </c>
      <c r="D23" s="41" t="s">
        <v>295</v>
      </c>
      <c r="E23" s="42">
        <v>36.84</v>
      </c>
      <c r="F23" s="20">
        <f>E6</f>
        <v>557</v>
      </c>
      <c r="G23" s="38">
        <f>(E23/F23)*100</f>
        <v>6.61400359066427</v>
      </c>
      <c r="H23" s="42">
        <v>11</v>
      </c>
      <c r="I23" s="20">
        <f>H6</f>
        <v>646.12</v>
      </c>
      <c r="J23" s="38">
        <f>(H23/I23)*100</f>
        <v>1.70247012938773</v>
      </c>
      <c r="K23" s="42">
        <v>0</v>
      </c>
      <c r="L23" s="20">
        <f>K6</f>
        <v>915</v>
      </c>
      <c r="M23" s="38">
        <f>(K23/L23)*100</f>
        <v>0</v>
      </c>
      <c r="N23" s="42">
        <v>0</v>
      </c>
      <c r="O23" s="20">
        <f>N6</f>
        <v>956</v>
      </c>
      <c r="P23" s="38">
        <f>(N23/O23)*100</f>
        <v>0</v>
      </c>
      <c r="Q23" s="42">
        <v>5.26</v>
      </c>
      <c r="R23" s="20">
        <f>Q6</f>
        <v>880.45</v>
      </c>
      <c r="S23" s="38">
        <f>(Q23/R23)*100</f>
        <v>0.59742177295701</v>
      </c>
      <c r="T23" s="42">
        <v>0</v>
      </c>
      <c r="U23" s="20">
        <f>T6</f>
        <v>1057.21</v>
      </c>
      <c r="V23" s="38">
        <f>(T23/U23)*100</f>
        <v>0</v>
      </c>
    </row>
    <row r="24" spans="1:22">
      <c r="A24" s="2"/>
      <c r="B24" s="2"/>
      <c r="C24" s="2" t="s">
        <v>189</v>
      </c>
      <c r="D24" s="41"/>
      <c r="E24" s="42"/>
      <c r="F24" s="20"/>
      <c r="G24" s="38"/>
      <c r="H24" s="42"/>
      <c r="I24" s="20"/>
      <c r="J24" s="38"/>
      <c r="K24" s="42"/>
      <c r="L24" s="20"/>
      <c r="M24" s="38"/>
      <c r="N24" s="42"/>
      <c r="O24" s="20"/>
      <c r="P24" s="38"/>
      <c r="Q24" s="42"/>
      <c r="R24" s="20"/>
      <c r="S24" s="38"/>
      <c r="T24" s="42"/>
      <c r="U24" s="20"/>
      <c r="V24" s="38"/>
    </row>
    <row r="25" spans="1:22">
      <c r="A25" s="2"/>
      <c r="B25" s="2"/>
      <c r="C25" s="2"/>
      <c r="D25" s="2"/>
      <c r="E25" s="20"/>
      <c r="F25" s="42"/>
      <c r="G25" s="38"/>
      <c r="H25" s="20"/>
      <c r="I25" s="42"/>
      <c r="J25" s="38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38"/>
    </row>
    <row r="26" spans="1:22">
      <c r="A26" s="2">
        <v>9</v>
      </c>
      <c r="B26" s="41" t="s">
        <v>766</v>
      </c>
      <c r="C26" s="37" t="s">
        <v>767</v>
      </c>
      <c r="D26" s="2" t="s">
        <v>172</v>
      </c>
      <c r="E26" s="20">
        <v>828475116</v>
      </c>
      <c r="F26" s="46">
        <f>F11</f>
        <v>2770089629</v>
      </c>
      <c r="G26" s="47">
        <f>E26/F26</f>
        <v>0.299078812225682</v>
      </c>
      <c r="H26" s="20">
        <v>654519323</v>
      </c>
      <c r="I26" s="46">
        <f>I11</f>
        <v>1735956820</v>
      </c>
      <c r="J26" s="47">
        <f>H26/I26</f>
        <v>0.377036637927434</v>
      </c>
      <c r="K26" s="20">
        <f>L28+L29</f>
        <v>15308139</v>
      </c>
      <c r="L26" s="46">
        <f>L11</f>
        <v>522315412</v>
      </c>
      <c r="M26" s="47">
        <f>K26/L26</f>
        <v>0.0293082276500009</v>
      </c>
      <c r="N26" s="20">
        <f>O28+O29</f>
        <v>211175784</v>
      </c>
      <c r="O26" s="46">
        <f>O11</f>
        <v>902416567</v>
      </c>
      <c r="P26" s="47">
        <f>N26/O26</f>
        <v>0.234011421911318</v>
      </c>
      <c r="Q26" s="20">
        <f>R28+R29</f>
        <v>135737941</v>
      </c>
      <c r="R26" s="46">
        <f>R11</f>
        <v>1075688857</v>
      </c>
      <c r="S26" s="47">
        <f>Q26/R26</f>
        <v>0.126186991820814</v>
      </c>
      <c r="T26" s="20">
        <v>37418273</v>
      </c>
      <c r="U26" s="46">
        <f>U11</f>
        <v>76361434</v>
      </c>
      <c r="V26" s="47">
        <f>T26/U26</f>
        <v>0.490015326322971</v>
      </c>
    </row>
    <row r="27" spans="1:22">
      <c r="A27" s="2"/>
      <c r="B27" s="41"/>
      <c r="C27" s="6" t="s">
        <v>503</v>
      </c>
      <c r="D27" s="2"/>
      <c r="E27" s="20"/>
      <c r="F27" s="46"/>
      <c r="G27" s="47"/>
      <c r="H27" s="20"/>
      <c r="I27" s="46"/>
      <c r="J27" s="47"/>
      <c r="K27" s="20"/>
      <c r="L27" s="46"/>
      <c r="M27" s="47"/>
      <c r="N27" s="20"/>
      <c r="O27" s="46"/>
      <c r="P27" s="47"/>
      <c r="Q27" s="20"/>
      <c r="R27" s="46"/>
      <c r="S27" s="47"/>
      <c r="T27" s="20"/>
      <c r="U27" s="46"/>
      <c r="V27" s="47"/>
    </row>
    <row r="28" spans="1:22">
      <c r="A28" s="2"/>
      <c r="B28" s="51"/>
      <c r="C28" s="52"/>
      <c r="D28" s="2"/>
      <c r="E28" s="20"/>
      <c r="F28" s="42"/>
      <c r="G28" s="38"/>
      <c r="H28" s="20"/>
      <c r="I28" s="42"/>
      <c r="J28" s="38"/>
      <c r="K28" s="51" t="s">
        <v>768</v>
      </c>
      <c r="L28" s="52">
        <f>L31</f>
        <v>264393366</v>
      </c>
      <c r="M28" s="38"/>
      <c r="N28" s="51" t="s">
        <v>768</v>
      </c>
      <c r="O28" s="52">
        <f>O31</f>
        <v>156512146</v>
      </c>
      <c r="P28" s="38"/>
      <c r="Q28" s="51" t="s">
        <v>768</v>
      </c>
      <c r="R28" s="52">
        <f>R31</f>
        <v>97887635</v>
      </c>
      <c r="S28" s="38"/>
      <c r="T28" s="51"/>
      <c r="U28" s="52"/>
      <c r="V28" s="38"/>
    </row>
    <row r="29" spans="1:22">
      <c r="A29" s="2"/>
      <c r="C29" s="51"/>
      <c r="D29" s="2"/>
      <c r="E29" s="20"/>
      <c r="F29" s="42"/>
      <c r="G29" s="38"/>
      <c r="H29" s="20"/>
      <c r="I29" s="42"/>
      <c r="J29" s="38"/>
      <c r="K29" s="51" t="s">
        <v>498</v>
      </c>
      <c r="L29" s="52">
        <v>-249085227</v>
      </c>
      <c r="M29" s="38"/>
      <c r="N29" s="51" t="s">
        <v>498</v>
      </c>
      <c r="O29" s="52">
        <v>54663638</v>
      </c>
      <c r="P29" s="38"/>
      <c r="Q29" s="51" t="s">
        <v>498</v>
      </c>
      <c r="R29" s="52">
        <v>37850306</v>
      </c>
      <c r="S29" s="38"/>
      <c r="T29" s="51"/>
      <c r="U29" s="52"/>
      <c r="V29" s="38"/>
    </row>
    <row r="30" spans="1:22">
      <c r="A30" s="2"/>
      <c r="C30" s="51"/>
      <c r="D30" s="2"/>
      <c r="E30" s="20"/>
      <c r="F30" s="42"/>
      <c r="G30" s="38"/>
      <c r="H30" s="20"/>
      <c r="I30" s="42"/>
      <c r="J30" s="38"/>
      <c r="K30" s="51"/>
      <c r="L30" s="52"/>
      <c r="M30" s="38"/>
      <c r="N30" s="51"/>
      <c r="O30" s="52"/>
      <c r="P30" s="38"/>
      <c r="Q30" s="51"/>
      <c r="R30" s="52"/>
      <c r="S30" s="38"/>
      <c r="T30" s="51"/>
      <c r="U30" s="52"/>
      <c r="V30" s="38"/>
    </row>
    <row r="31" spans="1:22">
      <c r="A31" s="2">
        <v>10</v>
      </c>
      <c r="B31" s="41" t="s">
        <v>769</v>
      </c>
      <c r="C31" s="37" t="s">
        <v>495</v>
      </c>
      <c r="D31" s="2" t="s">
        <v>770</v>
      </c>
      <c r="E31" s="20">
        <f>E26</f>
        <v>828475116</v>
      </c>
      <c r="F31" s="46">
        <v>3857590</v>
      </c>
      <c r="G31" s="53">
        <f>E31/F31</f>
        <v>214.764948063428</v>
      </c>
      <c r="H31" s="20">
        <f>H26</f>
        <v>654519323</v>
      </c>
      <c r="I31" s="46">
        <v>1</v>
      </c>
      <c r="J31" s="53">
        <f>H31/I31</f>
        <v>654519323</v>
      </c>
      <c r="K31" s="20">
        <f>K26</f>
        <v>15308139</v>
      </c>
      <c r="L31" s="46">
        <v>264393366</v>
      </c>
      <c r="M31" s="54">
        <f>K31/L31</f>
        <v>0.0578991040191228</v>
      </c>
      <c r="N31" s="20">
        <f>N26</f>
        <v>211175784</v>
      </c>
      <c r="O31" s="46">
        <v>156512146</v>
      </c>
      <c r="P31" s="53">
        <f>N31/O31</f>
        <v>1.34926131547644</v>
      </c>
      <c r="Q31" s="20">
        <f>Q26</f>
        <v>135737941</v>
      </c>
      <c r="R31" s="46">
        <v>97887635</v>
      </c>
      <c r="S31" s="53">
        <f>Q31/R31</f>
        <v>1.38667096206789</v>
      </c>
      <c r="T31" s="20">
        <f>T26</f>
        <v>37418273</v>
      </c>
      <c r="U31" s="46">
        <v>9244219</v>
      </c>
      <c r="V31" s="53">
        <f>T31/U31</f>
        <v>4.04774843607664</v>
      </c>
    </row>
    <row r="32" spans="1:22">
      <c r="A32" s="2"/>
      <c r="B32" s="41"/>
      <c r="C32" s="6" t="s">
        <v>771</v>
      </c>
      <c r="D32" s="2"/>
      <c r="E32" s="20"/>
      <c r="F32" s="46"/>
      <c r="G32" s="53"/>
      <c r="H32" s="20"/>
      <c r="I32" s="46"/>
      <c r="J32" s="53"/>
      <c r="K32" s="20"/>
      <c r="L32" s="46"/>
      <c r="M32" s="54"/>
      <c r="N32" s="20"/>
      <c r="O32" s="46"/>
      <c r="P32" s="53"/>
      <c r="Q32" s="20"/>
      <c r="R32" s="46"/>
      <c r="S32" s="53"/>
      <c r="T32" s="20"/>
      <c r="U32" s="46"/>
      <c r="V32" s="53"/>
    </row>
    <row r="33" spans="1:22">
      <c r="A33" s="2"/>
      <c r="B33" s="41"/>
      <c r="C33" s="6"/>
      <c r="D33" s="2"/>
      <c r="E33" s="20"/>
      <c r="F33" s="46"/>
      <c r="G33" s="55"/>
      <c r="H33" s="20"/>
      <c r="I33" s="46"/>
      <c r="J33" s="55"/>
      <c r="K33" s="20"/>
      <c r="L33" s="46"/>
      <c r="M33" s="38"/>
      <c r="N33" s="20"/>
      <c r="O33" s="46"/>
      <c r="P33" s="38"/>
      <c r="Q33" s="20"/>
      <c r="R33" s="46"/>
      <c r="S33" s="38"/>
      <c r="T33" s="20"/>
      <c r="U33" s="46"/>
      <c r="V33" s="38"/>
    </row>
    <row r="34" spans="1:22">
      <c r="A34" s="2">
        <v>11</v>
      </c>
      <c r="B34" s="41" t="s">
        <v>772</v>
      </c>
      <c r="C34" s="37" t="s">
        <v>773</v>
      </c>
      <c r="D34" s="2" t="s">
        <v>448</v>
      </c>
      <c r="E34" s="20">
        <v>51361890</v>
      </c>
      <c r="F34" s="46">
        <f>F14</f>
        <v>2774836998</v>
      </c>
      <c r="G34" s="55">
        <f>E34/F34</f>
        <v>0.0185098764493265</v>
      </c>
      <c r="H34" s="20">
        <v>28012562</v>
      </c>
      <c r="I34" s="46">
        <f>I14</f>
        <v>3171806451</v>
      </c>
      <c r="J34" s="55">
        <f>H34/I34</f>
        <v>0.00883173750755449</v>
      </c>
      <c r="K34" s="20">
        <v>3356475101</v>
      </c>
      <c r="L34" s="46">
        <f>L14</f>
        <v>1353093336</v>
      </c>
      <c r="M34" s="56">
        <f>K34/L34</f>
        <v>2.48059391891056</v>
      </c>
      <c r="N34" s="20">
        <v>1719327866</v>
      </c>
      <c r="O34" s="46">
        <f>O14</f>
        <v>1650895025</v>
      </c>
      <c r="P34" s="55">
        <f>N34/O34</f>
        <v>1.04145196391273</v>
      </c>
      <c r="Q34" s="20">
        <v>1276495040</v>
      </c>
      <c r="R34" s="46">
        <f>R14</f>
        <v>3902299064</v>
      </c>
      <c r="S34" s="55">
        <f>Q34/R34</f>
        <v>0.327113585879691</v>
      </c>
      <c r="T34" s="20">
        <v>43015896</v>
      </c>
      <c r="U34" s="46">
        <f>U14</f>
        <v>639483258</v>
      </c>
      <c r="V34" s="55">
        <f>T34/U34</f>
        <v>0.0672666492232077</v>
      </c>
    </row>
    <row r="35" spans="1:22">
      <c r="A35" s="2"/>
      <c r="B35" s="41"/>
      <c r="C35" s="6" t="s">
        <v>120</v>
      </c>
      <c r="D35" s="2"/>
      <c r="E35" s="20"/>
      <c r="F35" s="46"/>
      <c r="G35" s="55"/>
      <c r="H35" s="20"/>
      <c r="I35" s="46"/>
      <c r="J35" s="55"/>
      <c r="K35" s="20"/>
      <c r="L35" s="46"/>
      <c r="M35" s="56"/>
      <c r="N35" s="20"/>
      <c r="O35" s="46"/>
      <c r="P35" s="55"/>
      <c r="Q35" s="20"/>
      <c r="R35" s="46"/>
      <c r="S35" s="55"/>
      <c r="T35" s="20"/>
      <c r="U35" s="46"/>
      <c r="V35" s="55"/>
    </row>
    <row r="36" spans="1:22">
      <c r="G36" s="38"/>
      <c r="J36" s="38"/>
      <c r="K36" s="57" t="s">
        <v>774</v>
      </c>
      <c r="M36" s="38"/>
      <c r="N36" s="57" t="s">
        <v>774</v>
      </c>
      <c r="P36" s="38"/>
      <c r="Q36" s="57" t="s">
        <v>774</v>
      </c>
      <c r="S36" s="38"/>
      <c r="T36" s="57" t="s">
        <v>774</v>
      </c>
      <c r="V36" s="38"/>
    </row>
    <row r="37" spans="1:22">
      <c r="A37" s="2">
        <v>12</v>
      </c>
      <c r="B37" s="2" t="s">
        <v>743</v>
      </c>
      <c r="C37" s="37" t="s">
        <v>744</v>
      </c>
      <c r="D37" s="2" t="s">
        <v>172</v>
      </c>
      <c r="E37" s="20">
        <f>E3</f>
        <v>670709971</v>
      </c>
      <c r="F37" s="46">
        <v>3488210387</v>
      </c>
      <c r="G37" s="47">
        <f>E37/F37</f>
        <v>0.192279104924298</v>
      </c>
      <c r="H37" s="20">
        <f>H3</f>
        <v>515433967</v>
      </c>
      <c r="I37" s="46">
        <v>4604126049</v>
      </c>
      <c r="J37" s="47">
        <f>H37/I37</f>
        <v>0.111950446515675</v>
      </c>
      <c r="K37" s="20">
        <f>K3</f>
        <v>-198965878</v>
      </c>
      <c r="L37" s="46">
        <v>5560623702</v>
      </c>
      <c r="M37" s="47">
        <f>K37/L37</f>
        <v>-0.0357812160402866</v>
      </c>
      <c r="N37" s="20">
        <f>N3</f>
        <v>210895504</v>
      </c>
      <c r="O37" s="46">
        <v>3701440774</v>
      </c>
      <c r="P37" s="47">
        <f>N37/O37</f>
        <v>0.0569765982698931</v>
      </c>
      <c r="Q37" s="20">
        <f>Q3</f>
        <v>29552588</v>
      </c>
      <c r="R37" s="46">
        <v>6093506505</v>
      </c>
      <c r="S37" s="47">
        <f>Q37/R37</f>
        <v>0.00484984925768944</v>
      </c>
      <c r="T37" s="20">
        <f>T3</f>
        <v>27802863</v>
      </c>
      <c r="U37" s="46">
        <v>6093506505</v>
      </c>
      <c r="V37" s="47">
        <f>T37/U37</f>
        <v>0.00456270342489771</v>
      </c>
    </row>
    <row r="38" spans="1:22">
      <c r="A38" s="2"/>
      <c r="B38" s="2"/>
      <c r="C38" s="2" t="s">
        <v>741</v>
      </c>
      <c r="D38" s="2"/>
      <c r="E38" s="20"/>
      <c r="F38" s="46"/>
      <c r="G38" s="47"/>
      <c r="H38" s="20"/>
      <c r="I38" s="46"/>
      <c r="J38" s="47"/>
      <c r="K38" s="20"/>
      <c r="L38" s="46"/>
      <c r="M38" s="47"/>
      <c r="N38" s="20"/>
      <c r="O38" s="46"/>
      <c r="P38" s="47"/>
      <c r="Q38" s="20"/>
      <c r="R38" s="46"/>
      <c r="S38" s="47"/>
      <c r="T38" s="20"/>
      <c r="U38" s="46"/>
      <c r="V38" s="47"/>
    </row>
    <row r="41" ht="15.75" spans="1:22">
      <c r="B41" s="64" t="s">
        <v>505</v>
      </c>
      <c r="C41" s="65"/>
      <c r="D41" s="65"/>
      <c r="E41" s="65"/>
      <c r="F41" s="65"/>
      <c r="G41" s="65"/>
      <c r="L41" s="66"/>
      <c r="O41" s="66"/>
      <c r="R41" s="66"/>
      <c r="U41" s="66"/>
    </row>
    <row r="42" spans="1:22">
      <c r="B42" t="s">
        <v>17</v>
      </c>
      <c r="C42" s="67" t="s">
        <v>775</v>
      </c>
      <c r="D42" s="67"/>
      <c r="E42" s="67"/>
      <c r="F42" s="67"/>
      <c r="G42" s="67"/>
    </row>
    <row r="43" s="6" customFormat="1" spans="1:22">
      <c r="B43" s="3" t="s">
        <v>771</v>
      </c>
      <c r="C43" s="3" t="s">
        <v>768</v>
      </c>
      <c r="D43" s="3"/>
      <c r="E43" s="3"/>
      <c r="F43" s="3"/>
      <c r="G43" s="3"/>
    </row>
    <row r="44" spans="1:22">
      <c r="B44" s="3" t="s">
        <v>776</v>
      </c>
      <c r="C44" s="3"/>
      <c r="D44" s="3"/>
      <c r="E44" s="3"/>
    </row>
    <row r="45" spans="1:22">
      <c r="B45" s="3" t="s">
        <v>777</v>
      </c>
      <c r="C45" s="3"/>
      <c r="D45" s="3"/>
      <c r="E45" s="3"/>
    </row>
    <row r="46" spans="1:22">
      <c r="B46" s="3" t="s">
        <v>778</v>
      </c>
      <c r="C46" s="3"/>
      <c r="D46" s="3"/>
      <c r="E46" s="3"/>
    </row>
  </sheetData>
  <mergeCells count="244">
    <mergeCell ref="A1:D1"/>
    <mergeCell ref="E1:G1"/>
    <mergeCell ref="H1:J1"/>
    <mergeCell ref="K1:M1"/>
    <mergeCell ref="N1:P1"/>
    <mergeCell ref="Q1:S1"/>
    <mergeCell ref="T1:V1"/>
    <mergeCell ref="B41:G41"/>
    <mergeCell ref="C42:G42"/>
    <mergeCell ref="C43:G43"/>
    <mergeCell ref="B44:E44"/>
    <mergeCell ref="B45:E45"/>
    <mergeCell ref="B46:E46"/>
    <mergeCell ref="A3:A4"/>
    <mergeCell ref="A6:A7"/>
    <mergeCell ref="A11:A12"/>
    <mergeCell ref="A14:A15"/>
    <mergeCell ref="A17:A18"/>
    <mergeCell ref="A20:A21"/>
    <mergeCell ref="A23:A24"/>
    <mergeCell ref="A26:A27"/>
    <mergeCell ref="A31:A32"/>
    <mergeCell ref="A34:A35"/>
    <mergeCell ref="A37:A38"/>
    <mergeCell ref="B3:B4"/>
    <mergeCell ref="B6:B7"/>
    <mergeCell ref="B11:B12"/>
    <mergeCell ref="B14:B15"/>
    <mergeCell ref="B17:B18"/>
    <mergeCell ref="B20:B21"/>
    <mergeCell ref="B23:B24"/>
    <mergeCell ref="B26:B27"/>
    <mergeCell ref="B31:B32"/>
    <mergeCell ref="B34:B35"/>
    <mergeCell ref="B37:B38"/>
    <mergeCell ref="D3:D4"/>
    <mergeCell ref="D6:D7"/>
    <mergeCell ref="D11:D12"/>
    <mergeCell ref="D14:D15"/>
    <mergeCell ref="D17:D18"/>
    <mergeCell ref="D20:D21"/>
    <mergeCell ref="D23:D24"/>
    <mergeCell ref="D26:D27"/>
    <mergeCell ref="D31:D32"/>
    <mergeCell ref="D34:D35"/>
    <mergeCell ref="D37:D38"/>
    <mergeCell ref="E3:E4"/>
    <mergeCell ref="E6:E7"/>
    <mergeCell ref="E11:E12"/>
    <mergeCell ref="E14:E15"/>
    <mergeCell ref="E17:E18"/>
    <mergeCell ref="E20:E21"/>
    <mergeCell ref="E23:E24"/>
    <mergeCell ref="E26:E27"/>
    <mergeCell ref="E31:E32"/>
    <mergeCell ref="E34:E35"/>
    <mergeCell ref="E37:E38"/>
    <mergeCell ref="F3:F4"/>
    <mergeCell ref="F6:F7"/>
    <mergeCell ref="F11:F12"/>
    <mergeCell ref="F14:F15"/>
    <mergeCell ref="F17:F18"/>
    <mergeCell ref="F20:F21"/>
    <mergeCell ref="F23:F24"/>
    <mergeCell ref="F26:F27"/>
    <mergeCell ref="F31:F32"/>
    <mergeCell ref="F34:F35"/>
    <mergeCell ref="F37:F38"/>
    <mergeCell ref="G3:G4"/>
    <mergeCell ref="G6:G7"/>
    <mergeCell ref="G11:G12"/>
    <mergeCell ref="G14:G15"/>
    <mergeCell ref="G17:G18"/>
    <mergeCell ref="G20:G21"/>
    <mergeCell ref="G23:G24"/>
    <mergeCell ref="G26:G27"/>
    <mergeCell ref="G31:G32"/>
    <mergeCell ref="G34:G35"/>
    <mergeCell ref="G37:G38"/>
    <mergeCell ref="H3:H4"/>
    <mergeCell ref="H6:H7"/>
    <mergeCell ref="H11:H12"/>
    <mergeCell ref="H14:H15"/>
    <mergeCell ref="H17:H18"/>
    <mergeCell ref="H20:H21"/>
    <mergeCell ref="H23:H24"/>
    <mergeCell ref="H26:H27"/>
    <mergeCell ref="H31:H32"/>
    <mergeCell ref="H34:H35"/>
    <mergeCell ref="H37:H38"/>
    <mergeCell ref="I3:I4"/>
    <mergeCell ref="I6:I7"/>
    <mergeCell ref="I11:I12"/>
    <mergeCell ref="I14:I15"/>
    <mergeCell ref="I17:I18"/>
    <mergeCell ref="I20:I21"/>
    <mergeCell ref="I23:I24"/>
    <mergeCell ref="I26:I27"/>
    <mergeCell ref="I31:I32"/>
    <mergeCell ref="I34:I35"/>
    <mergeCell ref="I37:I38"/>
    <mergeCell ref="J3:J4"/>
    <mergeCell ref="J6:J7"/>
    <mergeCell ref="J11:J12"/>
    <mergeCell ref="J14:J15"/>
    <mergeCell ref="J17:J18"/>
    <mergeCell ref="J20:J21"/>
    <mergeCell ref="J23:J24"/>
    <mergeCell ref="J26:J27"/>
    <mergeCell ref="J31:J32"/>
    <mergeCell ref="J34:J35"/>
    <mergeCell ref="J37:J38"/>
    <mergeCell ref="K3:K4"/>
    <mergeCell ref="K6:K7"/>
    <mergeCell ref="K11:K12"/>
    <mergeCell ref="K14:K15"/>
    <mergeCell ref="K17:K18"/>
    <mergeCell ref="K20:K21"/>
    <mergeCell ref="K23:K24"/>
    <mergeCell ref="K26:K27"/>
    <mergeCell ref="K31:K32"/>
    <mergeCell ref="K34:K35"/>
    <mergeCell ref="K37:K38"/>
    <mergeCell ref="L3:L4"/>
    <mergeCell ref="L6:L7"/>
    <mergeCell ref="L11:L12"/>
    <mergeCell ref="L14:L15"/>
    <mergeCell ref="L17:L18"/>
    <mergeCell ref="L20:L21"/>
    <mergeCell ref="L23:L24"/>
    <mergeCell ref="L26:L27"/>
    <mergeCell ref="L31:L32"/>
    <mergeCell ref="L34:L35"/>
    <mergeCell ref="L37:L38"/>
    <mergeCell ref="M3:M4"/>
    <mergeCell ref="M6:M7"/>
    <mergeCell ref="M11:M12"/>
    <mergeCell ref="M14:M15"/>
    <mergeCell ref="M17:M18"/>
    <mergeCell ref="M20:M21"/>
    <mergeCell ref="M23:M24"/>
    <mergeCell ref="M26:M27"/>
    <mergeCell ref="M31:M32"/>
    <mergeCell ref="M34:M35"/>
    <mergeCell ref="M37:M38"/>
    <mergeCell ref="N3:N4"/>
    <mergeCell ref="N6:N7"/>
    <mergeCell ref="N11:N12"/>
    <mergeCell ref="N14:N15"/>
    <mergeCell ref="N17:N18"/>
    <mergeCell ref="N20:N21"/>
    <mergeCell ref="N23:N24"/>
    <mergeCell ref="N26:N27"/>
    <mergeCell ref="N31:N32"/>
    <mergeCell ref="N34:N35"/>
    <mergeCell ref="N37:N38"/>
    <mergeCell ref="O3:O4"/>
    <mergeCell ref="O6:O7"/>
    <mergeCell ref="O11:O12"/>
    <mergeCell ref="O14:O15"/>
    <mergeCell ref="O17:O18"/>
    <mergeCell ref="O20:O21"/>
    <mergeCell ref="O23:O24"/>
    <mergeCell ref="O26:O27"/>
    <mergeCell ref="O31:O32"/>
    <mergeCell ref="O34:O35"/>
    <mergeCell ref="O37:O38"/>
    <mergeCell ref="P3:P4"/>
    <mergeCell ref="P6:P7"/>
    <mergeCell ref="P11:P12"/>
    <mergeCell ref="P14:P15"/>
    <mergeCell ref="P17:P18"/>
    <mergeCell ref="P20:P21"/>
    <mergeCell ref="P23:P24"/>
    <mergeCell ref="P26:P27"/>
    <mergeCell ref="P31:P32"/>
    <mergeCell ref="P34:P35"/>
    <mergeCell ref="P37:P38"/>
    <mergeCell ref="Q3:Q4"/>
    <mergeCell ref="Q6:Q7"/>
    <mergeCell ref="Q11:Q12"/>
    <mergeCell ref="Q14:Q15"/>
    <mergeCell ref="Q17:Q18"/>
    <mergeCell ref="Q20:Q21"/>
    <mergeCell ref="Q23:Q24"/>
    <mergeCell ref="Q26:Q27"/>
    <mergeCell ref="Q31:Q32"/>
    <mergeCell ref="Q34:Q35"/>
    <mergeCell ref="Q37:Q38"/>
    <mergeCell ref="R3:R4"/>
    <mergeCell ref="R6:R7"/>
    <mergeCell ref="R11:R12"/>
    <mergeCell ref="R14:R15"/>
    <mergeCell ref="R17:R18"/>
    <mergeCell ref="R20:R21"/>
    <mergeCell ref="R23:R24"/>
    <mergeCell ref="R26:R27"/>
    <mergeCell ref="R31:R32"/>
    <mergeCell ref="R34:R35"/>
    <mergeCell ref="R37:R38"/>
    <mergeCell ref="S3:S4"/>
    <mergeCell ref="S6:S7"/>
    <mergeCell ref="S11:S12"/>
    <mergeCell ref="S14:S15"/>
    <mergeCell ref="S17:S18"/>
    <mergeCell ref="S20:S21"/>
    <mergeCell ref="S23:S24"/>
    <mergeCell ref="S26:S27"/>
    <mergeCell ref="S31:S32"/>
    <mergeCell ref="S34:S35"/>
    <mergeCell ref="S37:S38"/>
    <mergeCell ref="T3:T4"/>
    <mergeCell ref="T6:T7"/>
    <mergeCell ref="T11:T12"/>
    <mergeCell ref="T14:T15"/>
    <mergeCell ref="T17:T18"/>
    <mergeCell ref="T20:T21"/>
    <mergeCell ref="T23:T24"/>
    <mergeCell ref="T26:T27"/>
    <mergeCell ref="T31:T32"/>
    <mergeCell ref="T34:T35"/>
    <mergeCell ref="T37:T38"/>
    <mergeCell ref="U3:U4"/>
    <mergeCell ref="U6:U7"/>
    <mergeCell ref="U11:U12"/>
    <mergeCell ref="U14:U15"/>
    <mergeCell ref="U17:U18"/>
    <mergeCell ref="U20:U21"/>
    <mergeCell ref="U23:U24"/>
    <mergeCell ref="U26:U27"/>
    <mergeCell ref="U31:U32"/>
    <mergeCell ref="U34:U35"/>
    <mergeCell ref="U37:U38"/>
    <mergeCell ref="V3:V4"/>
    <mergeCell ref="V6:V7"/>
    <mergeCell ref="V11:V12"/>
    <mergeCell ref="V14:V15"/>
    <mergeCell ref="V17:V18"/>
    <mergeCell ref="V20:V21"/>
    <mergeCell ref="V23:V24"/>
    <mergeCell ref="V26:V27"/>
    <mergeCell ref="V31:V32"/>
    <mergeCell ref="V34:V35"/>
    <mergeCell ref="V37:V38"/>
  </mergeCells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38"/>
  <sheetViews>
    <sheetView topLeftCell="B1" workbookViewId="0">
      <selection activeCell="AB15" sqref="AB15"/>
    </sheetView>
  </sheetViews>
  <sheetFormatPr defaultColWidth="9" defaultRowHeight="15"/>
  <cols>
    <col min="1" max="1" width="4.26666666666667" hidden="1" customWidth="1"/>
    <col min="2" max="2" width="22.6285714285714" customWidth="1"/>
    <col min="3" max="3" width="21" hidden="1" customWidth="1"/>
    <col min="4" max="4" width="9.90476190476191" hidden="1" customWidth="1"/>
    <col min="5" max="5" width="14.2666666666667" hidden="1" customWidth="1"/>
    <col min="6" max="6" width="13.8190476190476" hidden="1" customWidth="1"/>
    <col min="7" max="7" width="9.90476190476191" customWidth="1"/>
    <col min="8" max="8" width="14.2666666666667" hidden="1" customWidth="1"/>
    <col min="9" max="9" width="13.8190476190476" hidden="1" customWidth="1"/>
    <col min="10" max="10" width="9.90476190476191" customWidth="1"/>
    <col min="11" max="11" width="14.2666666666667" hidden="1" customWidth="1"/>
    <col min="12" max="12" width="13.8190476190476" hidden="1" customWidth="1"/>
    <col min="13" max="13" width="9.90476190476191" customWidth="1"/>
    <col min="14" max="14" width="14.2666666666667" hidden="1" customWidth="1"/>
    <col min="15" max="15" width="13.8190476190476" hidden="1" customWidth="1"/>
    <col min="16" max="16" width="9.90476190476191" customWidth="1"/>
    <col min="17" max="17" width="14.2666666666667" hidden="1" customWidth="1"/>
    <col min="18" max="18" width="0.542857142857143" hidden="1" customWidth="1"/>
    <col min="19" max="19" width="9.90476190476191" customWidth="1"/>
    <col min="20" max="20" width="14.2666666666667" hidden="1" customWidth="1"/>
    <col min="21" max="21" width="13.8190476190476" hidden="1" customWidth="1"/>
    <col min="22" max="22" width="11.3619047619048" customWidth="1"/>
  </cols>
  <sheetData>
    <row r="1" s="27" customFormat="1" ht="78.5" customHeight="1" spans="1:22">
      <c r="A1" s="28" t="s">
        <v>758</v>
      </c>
      <c r="B1" s="29"/>
      <c r="C1" s="29"/>
      <c r="D1" s="30"/>
      <c r="E1" s="31" t="s">
        <v>759</v>
      </c>
      <c r="F1" s="32"/>
      <c r="G1" s="33"/>
      <c r="H1" s="31" t="s">
        <v>760</v>
      </c>
      <c r="I1" s="32"/>
      <c r="J1" s="33"/>
      <c r="K1" s="31" t="s">
        <v>761</v>
      </c>
      <c r="L1" s="32"/>
      <c r="M1" s="33"/>
      <c r="N1" s="31" t="s">
        <v>762</v>
      </c>
      <c r="O1" s="32"/>
      <c r="P1" s="33"/>
      <c r="Q1" s="31" t="s">
        <v>763</v>
      </c>
      <c r="R1" s="32"/>
      <c r="S1" s="33"/>
      <c r="T1" s="31" t="s">
        <v>764</v>
      </c>
      <c r="U1" s="32"/>
      <c r="V1" s="33"/>
    </row>
    <row r="2" ht="15.75" spans="1:22">
      <c r="A2" s="34" t="s">
        <v>0</v>
      </c>
      <c r="B2" s="34" t="s">
        <v>155</v>
      </c>
      <c r="C2" s="34" t="s">
        <v>156</v>
      </c>
      <c r="D2" s="34" t="s">
        <v>157</v>
      </c>
      <c r="E2" s="35" t="s">
        <v>158</v>
      </c>
      <c r="F2" s="35" t="s">
        <v>159</v>
      </c>
      <c r="G2" s="36" t="s">
        <v>779</v>
      </c>
      <c r="H2" s="36"/>
      <c r="I2" s="36"/>
      <c r="J2" s="36">
        <v>1</v>
      </c>
      <c r="K2" s="36"/>
      <c r="L2" s="36"/>
      <c r="M2" s="36"/>
      <c r="N2" s="36"/>
      <c r="O2" s="36"/>
      <c r="P2" s="36"/>
      <c r="Q2" s="36"/>
      <c r="R2" s="36"/>
      <c r="S2" s="36"/>
      <c r="T2" s="36"/>
      <c r="U2" s="36"/>
      <c r="V2" s="36"/>
    </row>
    <row r="3" spans="1:22">
      <c r="A3" s="2">
        <v>1</v>
      </c>
      <c r="B3" s="2" t="s">
        <v>65</v>
      </c>
      <c r="C3" s="37" t="s">
        <v>161</v>
      </c>
      <c r="D3" s="2" t="s">
        <v>162</v>
      </c>
      <c r="E3" s="20">
        <v>670709971</v>
      </c>
      <c r="F3" s="20">
        <v>102186269</v>
      </c>
      <c r="G3" s="38">
        <f>E3/F3</f>
        <v>6.56360172030549</v>
      </c>
      <c r="H3" s="20">
        <v>515433967</v>
      </c>
      <c r="I3" s="20">
        <v>19621201</v>
      </c>
      <c r="J3" s="38">
        <f>H3/I3</f>
        <v>26.2692363734513</v>
      </c>
      <c r="K3" s="20">
        <v>-198965878</v>
      </c>
      <c r="L3" s="20">
        <v>16740000</v>
      </c>
      <c r="M3" s="39">
        <f>K3/L3</f>
        <v>-11.8856557945042</v>
      </c>
      <c r="N3" s="20">
        <v>210895504</v>
      </c>
      <c r="O3" s="20">
        <v>15340910</v>
      </c>
      <c r="P3" s="38">
        <f>N3/O3</f>
        <v>13.7472616683104</v>
      </c>
      <c r="Q3" s="20">
        <v>29552588</v>
      </c>
      <c r="R3" s="20">
        <v>11844949</v>
      </c>
      <c r="S3" s="38">
        <f>Q3/R3</f>
        <v>2.49495274314816</v>
      </c>
      <c r="T3" s="20">
        <v>27802863</v>
      </c>
      <c r="U3" s="20">
        <v>6000000</v>
      </c>
      <c r="V3" s="38">
        <f>T3/U3</f>
        <v>4.6338105</v>
      </c>
    </row>
    <row r="4" ht="11" customHeight="1" spans="1:22">
      <c r="A4" s="2"/>
      <c r="B4" s="2"/>
      <c r="C4" s="2" t="s">
        <v>163</v>
      </c>
      <c r="D4" s="2"/>
      <c r="E4" s="20"/>
      <c r="F4" s="20"/>
      <c r="G4" s="38"/>
      <c r="H4" s="20"/>
      <c r="I4" s="20"/>
      <c r="J4" s="38"/>
      <c r="K4" s="20"/>
      <c r="L4" s="20"/>
      <c r="M4" s="39"/>
      <c r="N4" s="20"/>
      <c r="O4" s="20"/>
      <c r="P4" s="38"/>
      <c r="Q4" s="20"/>
      <c r="R4" s="20"/>
      <c r="S4" s="38"/>
      <c r="T4" s="20"/>
      <c r="U4" s="20"/>
      <c r="V4" s="38"/>
    </row>
    <row r="5" hidden="1" spans="1:22">
      <c r="E5" s="6"/>
      <c r="F5" s="6"/>
      <c r="G5" s="40"/>
      <c r="H5" s="6"/>
      <c r="I5" s="6"/>
      <c r="J5" s="40"/>
      <c r="K5" s="6"/>
      <c r="L5" s="6"/>
      <c r="M5" s="40"/>
      <c r="N5" s="6"/>
      <c r="O5" s="6"/>
      <c r="P5" s="40"/>
      <c r="Q5" s="6"/>
      <c r="R5" s="6"/>
      <c r="S5" s="40"/>
      <c r="T5" s="6"/>
      <c r="U5" s="6"/>
      <c r="V5" s="40"/>
    </row>
    <row r="6" spans="1:22">
      <c r="A6" s="2">
        <v>2</v>
      </c>
      <c r="B6" s="41" t="s">
        <v>166</v>
      </c>
      <c r="C6" s="37" t="s">
        <v>167</v>
      </c>
      <c r="D6" s="2" t="s">
        <v>168</v>
      </c>
      <c r="E6" s="20">
        <v>557</v>
      </c>
      <c r="F6" s="42">
        <f>G3</f>
        <v>6.56360172030549</v>
      </c>
      <c r="G6" s="38">
        <f>E6/F6</f>
        <v>84.8619437521378</v>
      </c>
      <c r="H6" s="20">
        <v>646.12</v>
      </c>
      <c r="I6" s="42">
        <f>J3</f>
        <v>26.2692363734513</v>
      </c>
      <c r="J6" s="38">
        <f>H6/I6</f>
        <v>24.5960708874276</v>
      </c>
      <c r="K6" s="20">
        <v>915</v>
      </c>
      <c r="L6" s="42">
        <f>M3</f>
        <v>-11.8856557945042</v>
      </c>
      <c r="M6" s="39">
        <f>K6/L6</f>
        <v>-76.9835519234107</v>
      </c>
      <c r="N6" s="20">
        <v>956</v>
      </c>
      <c r="O6" s="42">
        <f>P3</f>
        <v>13.7472616683104</v>
      </c>
      <c r="P6" s="38">
        <f>N6/O6</f>
        <v>69.5411219387588</v>
      </c>
      <c r="Q6" s="20">
        <v>880.45</v>
      </c>
      <c r="R6" s="42">
        <f>S3</f>
        <v>2.49495274314816</v>
      </c>
      <c r="S6" s="43">
        <f>Q6/R6</f>
        <v>352.892455545687</v>
      </c>
      <c r="T6" s="20">
        <v>1057.21</v>
      </c>
      <c r="U6" s="42">
        <f>V3</f>
        <v>4.6338105</v>
      </c>
      <c r="V6" s="43">
        <f>T6/U6</f>
        <v>228.151323840282</v>
      </c>
    </row>
    <row r="7" ht="9" customHeight="1" spans="1:22">
      <c r="A7" s="2"/>
      <c r="B7" s="41"/>
      <c r="C7" s="2" t="s">
        <v>169</v>
      </c>
      <c r="D7" s="2"/>
      <c r="E7" s="20"/>
      <c r="F7" s="42"/>
      <c r="G7" s="38"/>
      <c r="H7" s="20"/>
      <c r="I7" s="42"/>
      <c r="J7" s="38"/>
      <c r="K7" s="20"/>
      <c r="L7" s="42"/>
      <c r="M7" s="39"/>
      <c r="N7" s="20"/>
      <c r="O7" s="42"/>
      <c r="P7" s="38"/>
      <c r="Q7" s="20"/>
      <c r="R7" s="42"/>
      <c r="S7" s="43"/>
      <c r="T7" s="20"/>
      <c r="U7" s="42"/>
      <c r="V7" s="43"/>
    </row>
    <row r="8" ht="3" customHeight="1" spans="1:22">
      <c r="A8" s="2"/>
      <c r="B8" s="2"/>
      <c r="C8" s="2"/>
      <c r="D8" s="2"/>
      <c r="E8" s="20"/>
      <c r="F8" s="42"/>
      <c r="G8" s="38"/>
      <c r="H8" s="20"/>
      <c r="I8" s="42"/>
      <c r="J8" s="38"/>
      <c r="K8" s="20"/>
      <c r="L8" s="42"/>
      <c r="M8" s="38"/>
      <c r="N8" s="20"/>
      <c r="O8" s="42"/>
      <c r="P8" s="38"/>
      <c r="Q8" s="20"/>
      <c r="R8" s="42"/>
      <c r="S8" s="38"/>
      <c r="T8" s="20"/>
      <c r="U8" s="42"/>
      <c r="V8" s="38"/>
    </row>
    <row r="9" spans="1:22">
      <c r="A9" s="2">
        <v>3</v>
      </c>
      <c r="B9" s="2" t="s">
        <v>170</v>
      </c>
      <c r="C9" s="2" t="s">
        <v>491</v>
      </c>
      <c r="D9" s="2" t="s">
        <v>175</v>
      </c>
      <c r="E9" s="20">
        <f>E3</f>
        <v>670709971</v>
      </c>
      <c r="F9" s="20">
        <v>600042463</v>
      </c>
      <c r="G9" s="44">
        <f>((E9-F9)/F9)</f>
        <v>0.117770845161003</v>
      </c>
      <c r="H9" s="20">
        <f>H3</f>
        <v>515433967</v>
      </c>
      <c r="I9" s="20">
        <v>518268720</v>
      </c>
      <c r="J9" s="44">
        <f>((H9-I9)/I9)</f>
        <v>-0.00546965867436491</v>
      </c>
      <c r="K9" s="20">
        <f>K3</f>
        <v>-198965878</v>
      </c>
      <c r="L9" s="20">
        <v>-203224990</v>
      </c>
      <c r="M9" s="44">
        <f>((K9-L9)/L9)</f>
        <v>-0.0209576194344997</v>
      </c>
      <c r="N9" s="20">
        <f>N3</f>
        <v>210895504</v>
      </c>
      <c r="O9" s="20">
        <v>199974656</v>
      </c>
      <c r="P9" s="44">
        <f>((N9-O9)/O9)</f>
        <v>0.0546111603262365</v>
      </c>
      <c r="Q9" s="20">
        <f>Q3</f>
        <v>29552588</v>
      </c>
      <c r="R9" s="20">
        <v>123998946</v>
      </c>
      <c r="S9" s="44">
        <f>((Q9-R9)/R9)</f>
        <v>-0.761670651619894</v>
      </c>
      <c r="T9" s="20">
        <f>T3</f>
        <v>27802863</v>
      </c>
      <c r="U9" s="20">
        <v>18902563</v>
      </c>
      <c r="V9" s="44">
        <f>((T9-U9)/U9)</f>
        <v>0.470851492466921</v>
      </c>
    </row>
    <row r="10" hidden="1" spans="1:22">
      <c r="A10" s="45"/>
      <c r="B10" s="2"/>
      <c r="C10" s="2"/>
      <c r="D10" s="2"/>
      <c r="E10" s="20"/>
      <c r="F10" s="42"/>
      <c r="G10" s="38"/>
      <c r="H10" s="20"/>
      <c r="I10" s="42"/>
      <c r="J10" s="38"/>
      <c r="K10" s="20"/>
      <c r="L10" s="42"/>
      <c r="M10" s="38"/>
      <c r="N10" s="20"/>
      <c r="O10" s="42"/>
      <c r="P10" s="38"/>
      <c r="Q10" s="20"/>
      <c r="R10" s="42"/>
      <c r="S10" s="38"/>
      <c r="T10" s="20"/>
      <c r="U10" s="42"/>
      <c r="V10" s="38"/>
    </row>
    <row r="11" spans="1:22">
      <c r="A11" s="2">
        <v>4</v>
      </c>
      <c r="B11" s="2" t="s">
        <v>437</v>
      </c>
      <c r="C11" s="37" t="s">
        <v>438</v>
      </c>
      <c r="D11" s="2" t="s">
        <v>172</v>
      </c>
      <c r="E11" s="20">
        <f>E3</f>
        <v>670709971</v>
      </c>
      <c r="F11" s="46">
        <v>2770089629</v>
      </c>
      <c r="G11" s="47">
        <f>E11/F11</f>
        <v>0.242125729066076</v>
      </c>
      <c r="H11" s="20">
        <f>H3</f>
        <v>515433967</v>
      </c>
      <c r="I11" s="46">
        <v>1735956820</v>
      </c>
      <c r="J11" s="47">
        <f>H11/I11</f>
        <v>0.296916352447061</v>
      </c>
      <c r="K11" s="20">
        <f>K3</f>
        <v>-198965878</v>
      </c>
      <c r="L11" s="46">
        <v>522315412</v>
      </c>
      <c r="M11" s="47">
        <f>K11/L11</f>
        <v>-0.380930513304478</v>
      </c>
      <c r="N11" s="20">
        <f>N3</f>
        <v>210895504</v>
      </c>
      <c r="O11" s="46">
        <v>902416567</v>
      </c>
      <c r="P11" s="47">
        <f>N11/O11</f>
        <v>0.233700833641721</v>
      </c>
      <c r="Q11" s="20">
        <f>Q3</f>
        <v>29552588</v>
      </c>
      <c r="R11" s="46">
        <v>1075688857</v>
      </c>
      <c r="S11" s="47">
        <f>Q11/R11</f>
        <v>0.0274731748011405</v>
      </c>
      <c r="T11" s="20">
        <f>T3</f>
        <v>27802863</v>
      </c>
      <c r="U11" s="46">
        <v>76361434</v>
      </c>
      <c r="V11" s="47">
        <f>T11/U11</f>
        <v>0.364095611405097</v>
      </c>
    </row>
    <row r="12" ht="6" customHeight="1" spans="1:22">
      <c r="A12" s="2"/>
      <c r="B12" s="2"/>
      <c r="C12" s="6" t="s">
        <v>503</v>
      </c>
      <c r="D12" s="2"/>
      <c r="E12" s="20"/>
      <c r="F12" s="46"/>
      <c r="G12" s="47"/>
      <c r="H12" s="20"/>
      <c r="I12" s="46"/>
      <c r="J12" s="47"/>
      <c r="K12" s="20"/>
      <c r="L12" s="46"/>
      <c r="M12" s="47"/>
      <c r="N12" s="20"/>
      <c r="O12" s="46"/>
      <c r="P12" s="47"/>
      <c r="Q12" s="20"/>
      <c r="R12" s="46"/>
      <c r="S12" s="47"/>
      <c r="T12" s="20"/>
      <c r="U12" s="46"/>
      <c r="V12" s="47"/>
    </row>
    <row r="13" hidden="1" spans="1:22">
      <c r="A13" s="45"/>
      <c r="E13" s="45"/>
      <c r="G13" s="48"/>
      <c r="H13" s="45"/>
      <c r="J13" s="48"/>
      <c r="K13" s="45"/>
      <c r="M13" s="48"/>
      <c r="N13" s="45"/>
      <c r="P13" s="48"/>
      <c r="Q13" s="45"/>
      <c r="S13" s="48"/>
      <c r="T13" s="45"/>
      <c r="V13" s="48"/>
    </row>
    <row r="14" spans="1:22">
      <c r="A14" s="2">
        <v>5</v>
      </c>
      <c r="B14" s="2" t="s">
        <v>94</v>
      </c>
      <c r="C14" s="37" t="s">
        <v>161</v>
      </c>
      <c r="D14" s="2" t="s">
        <v>175</v>
      </c>
      <c r="E14" s="20">
        <f>E3</f>
        <v>670709971</v>
      </c>
      <c r="F14" s="20">
        <v>2774836998</v>
      </c>
      <c r="G14" s="44">
        <f>E14/F14</f>
        <v>0.241711484848812</v>
      </c>
      <c r="H14" s="20">
        <f>H3</f>
        <v>515433967</v>
      </c>
      <c r="I14" s="20">
        <v>3171806451</v>
      </c>
      <c r="J14" s="44">
        <f>H14/I14</f>
        <v>0.162504861176979</v>
      </c>
      <c r="K14" s="20">
        <f>K3</f>
        <v>-198965878</v>
      </c>
      <c r="L14" s="20">
        <v>1353093336</v>
      </c>
      <c r="M14" s="44">
        <f>K14/L14</f>
        <v>-0.147045198366124</v>
      </c>
      <c r="N14" s="20">
        <f>N3</f>
        <v>210895504</v>
      </c>
      <c r="O14" s="20">
        <v>1650895025</v>
      </c>
      <c r="P14" s="44">
        <f>N14/O14</f>
        <v>0.127746162418776</v>
      </c>
      <c r="Q14" s="20">
        <f>Q3</f>
        <v>29552588</v>
      </c>
      <c r="R14" s="20">
        <v>3902299064</v>
      </c>
      <c r="S14" s="44">
        <f>Q14/R14</f>
        <v>0.00757312228389474</v>
      </c>
      <c r="T14" s="20">
        <f>T3</f>
        <v>27802863</v>
      </c>
      <c r="U14" s="20">
        <v>639483258</v>
      </c>
      <c r="V14" s="44">
        <f>T14/U14</f>
        <v>0.043477077237259</v>
      </c>
    </row>
    <row r="15" ht="9.5" customHeight="1" spans="1:22">
      <c r="A15" s="2"/>
      <c r="B15" s="2"/>
      <c r="C15" s="2" t="s">
        <v>176</v>
      </c>
      <c r="D15" s="2"/>
      <c r="E15" s="20"/>
      <c r="F15" s="2"/>
      <c r="G15" s="44"/>
      <c r="H15" s="20"/>
      <c r="I15" s="2"/>
      <c r="J15" s="44"/>
      <c r="K15" s="20"/>
      <c r="L15" s="2"/>
      <c r="M15" s="44"/>
      <c r="N15" s="20"/>
      <c r="O15" s="2"/>
      <c r="P15" s="44"/>
      <c r="Q15" s="20"/>
      <c r="R15" s="2"/>
      <c r="S15" s="44"/>
      <c r="T15" s="20"/>
      <c r="U15" s="2"/>
      <c r="V15" s="44"/>
    </row>
    <row r="16" hidden="1" spans="1:22">
      <c r="A16" s="2"/>
      <c r="B16" s="2"/>
      <c r="C16" s="2"/>
      <c r="D16" s="2"/>
      <c r="E16" s="20"/>
      <c r="F16" s="2"/>
      <c r="G16" s="38"/>
      <c r="H16" s="20"/>
      <c r="I16" s="2"/>
      <c r="J16" s="38"/>
      <c r="K16" s="20"/>
      <c r="L16" s="2"/>
      <c r="M16" s="38"/>
      <c r="N16" s="20"/>
      <c r="O16" s="2"/>
      <c r="P16" s="38"/>
      <c r="Q16" s="20"/>
      <c r="R16" s="2"/>
      <c r="S16" s="38"/>
      <c r="T16" s="20"/>
      <c r="U16" s="2"/>
      <c r="V16" s="38"/>
    </row>
    <row r="17" spans="1:22">
      <c r="A17" s="2">
        <v>6</v>
      </c>
      <c r="B17" s="2" t="s">
        <v>180</v>
      </c>
      <c r="C17" s="37" t="s">
        <v>176</v>
      </c>
      <c r="D17" s="2" t="s">
        <v>181</v>
      </c>
      <c r="E17" s="20">
        <f>F14</f>
        <v>2774836998</v>
      </c>
      <c r="F17" s="20">
        <f>F3</f>
        <v>102186269</v>
      </c>
      <c r="G17" s="38">
        <f>E17/F17</f>
        <v>27.1546952947269</v>
      </c>
      <c r="H17" s="20">
        <f>I14</f>
        <v>3171806451</v>
      </c>
      <c r="I17" s="20">
        <f>I3</f>
        <v>19621201</v>
      </c>
      <c r="J17" s="38">
        <f>H17/I17</f>
        <v>161.652003412024</v>
      </c>
      <c r="K17" s="20">
        <f>L14</f>
        <v>1353093336</v>
      </c>
      <c r="L17" s="20">
        <f>L3</f>
        <v>16740000</v>
      </c>
      <c r="M17" s="49">
        <f>K17/L17</f>
        <v>80.8299483870968</v>
      </c>
      <c r="N17" s="20">
        <f>O14</f>
        <v>1650895025</v>
      </c>
      <c r="O17" s="20">
        <f>O3</f>
        <v>15340910</v>
      </c>
      <c r="P17" s="38">
        <f>N17/O17</f>
        <v>107.613891548806</v>
      </c>
      <c r="Q17" s="20">
        <f>R14</f>
        <v>3902299064</v>
      </c>
      <c r="R17" s="20">
        <f>R3</f>
        <v>11844949</v>
      </c>
      <c r="S17" s="38">
        <f>Q17/R17</f>
        <v>329.448363517648</v>
      </c>
      <c r="T17" s="20">
        <f>U14</f>
        <v>639483258</v>
      </c>
      <c r="U17" s="20">
        <f>U3</f>
        <v>6000000</v>
      </c>
      <c r="V17" s="38">
        <f>T17/U17</f>
        <v>106.580543</v>
      </c>
    </row>
    <row r="18" ht="8" customHeight="1" spans="1:22">
      <c r="A18" s="2"/>
      <c r="B18" s="2"/>
      <c r="C18" s="6" t="s">
        <v>163</v>
      </c>
      <c r="D18" s="2"/>
      <c r="E18" s="20"/>
      <c r="F18" s="20"/>
      <c r="G18" s="38"/>
      <c r="H18" s="20"/>
      <c r="I18" s="20"/>
      <c r="J18" s="38"/>
      <c r="K18" s="20"/>
      <c r="L18" s="20"/>
      <c r="M18" s="49"/>
      <c r="N18" s="20"/>
      <c r="O18" s="20"/>
      <c r="P18" s="38"/>
      <c r="Q18" s="20"/>
      <c r="R18" s="20"/>
      <c r="S18" s="38"/>
      <c r="T18" s="20"/>
      <c r="U18" s="20"/>
      <c r="V18" s="38"/>
    </row>
    <row r="19" hidden="1" spans="1:22">
      <c r="A19" s="2"/>
      <c r="B19" s="2"/>
      <c r="C19" s="6"/>
      <c r="D19" s="2"/>
      <c r="E19" s="20"/>
      <c r="F19" s="20"/>
      <c r="G19" s="38" t="s">
        <v>765</v>
      </c>
      <c r="H19" s="20"/>
      <c r="I19" s="20"/>
      <c r="J19" s="38"/>
      <c r="K19" s="20"/>
      <c r="L19" s="20"/>
      <c r="M19" s="38"/>
      <c r="N19" s="20"/>
      <c r="O19" s="20"/>
      <c r="P19" s="38"/>
      <c r="Q19" s="20"/>
      <c r="R19" s="20"/>
      <c r="S19" s="38"/>
      <c r="T19" s="20"/>
      <c r="U19" s="20"/>
      <c r="V19" s="38"/>
    </row>
    <row r="20" spans="1:22">
      <c r="A20" s="2">
        <v>7</v>
      </c>
      <c r="B20" s="2" t="s">
        <v>182</v>
      </c>
      <c r="C20" s="37" t="s">
        <v>183</v>
      </c>
      <c r="D20" s="50" t="s">
        <v>184</v>
      </c>
      <c r="E20" s="20">
        <f>E6</f>
        <v>557</v>
      </c>
      <c r="F20" s="42">
        <f>G17</f>
        <v>27.1546952947269</v>
      </c>
      <c r="G20" s="38">
        <f>E20/F20</f>
        <v>20.5121064314856</v>
      </c>
      <c r="H20" s="20">
        <f>H6</f>
        <v>646.12</v>
      </c>
      <c r="I20" s="42">
        <f>J17</f>
        <v>161.652003412024</v>
      </c>
      <c r="J20" s="38">
        <f>H20/I20</f>
        <v>3.99698108506054</v>
      </c>
      <c r="K20" s="20">
        <f>K6</f>
        <v>915</v>
      </c>
      <c r="L20" s="42">
        <f>M17</f>
        <v>80.8299483870968</v>
      </c>
      <c r="M20" s="38">
        <f>K20/L20</f>
        <v>11.3200616635067</v>
      </c>
      <c r="N20" s="20">
        <f>N6</f>
        <v>956</v>
      </c>
      <c r="O20" s="42">
        <f>P17</f>
        <v>107.613891548806</v>
      </c>
      <c r="P20" s="38">
        <f>N20/O20</f>
        <v>8.88361145797262</v>
      </c>
      <c r="Q20" s="20">
        <f>Q6</f>
        <v>880.45</v>
      </c>
      <c r="R20" s="42">
        <f>S17</f>
        <v>329.448363517648</v>
      </c>
      <c r="S20" s="38">
        <f>Q20/R20</f>
        <v>2.67249771891138</v>
      </c>
      <c r="T20" s="20">
        <f>T6</f>
        <v>1057.21</v>
      </c>
      <c r="U20" s="42">
        <f>V17</f>
        <v>106.580543</v>
      </c>
      <c r="V20" s="38">
        <f>T20/U20</f>
        <v>9.91935272838683</v>
      </c>
    </row>
    <row r="21" spans="1:22">
      <c r="A21" s="2"/>
      <c r="B21" s="2"/>
      <c r="C21" s="2" t="s">
        <v>185</v>
      </c>
      <c r="D21" s="2"/>
      <c r="E21" s="20"/>
      <c r="F21" s="42"/>
      <c r="G21" s="38"/>
      <c r="H21" s="20"/>
      <c r="I21" s="42"/>
      <c r="J21" s="38"/>
      <c r="K21" s="20"/>
      <c r="L21" s="42"/>
      <c r="M21" s="38"/>
      <c r="N21" s="20"/>
      <c r="O21" s="42"/>
      <c r="P21" s="38"/>
      <c r="Q21" s="20"/>
      <c r="R21" s="42"/>
      <c r="S21" s="38"/>
      <c r="T21" s="20"/>
      <c r="U21" s="42"/>
      <c r="V21" s="38"/>
    </row>
    <row r="22" hidden="1" spans="1:22">
      <c r="A22" s="2"/>
      <c r="B22" s="2"/>
      <c r="C22" s="2"/>
      <c r="D22" s="2"/>
      <c r="E22" s="20"/>
      <c r="F22" s="42"/>
      <c r="G22" s="38"/>
      <c r="H22" s="20"/>
      <c r="I22" s="42"/>
      <c r="J22" s="38"/>
      <c r="K22" s="20"/>
      <c r="L22" s="42"/>
      <c r="M22" s="38"/>
      <c r="N22" s="20"/>
      <c r="O22" s="42"/>
      <c r="P22" s="38"/>
      <c r="Q22" s="20"/>
      <c r="R22" s="42"/>
      <c r="S22" s="38"/>
      <c r="T22" s="20"/>
      <c r="U22" s="42"/>
      <c r="V22" s="38"/>
    </row>
    <row r="23" spans="1:22">
      <c r="A23" s="2">
        <v>8</v>
      </c>
      <c r="B23" s="2" t="s">
        <v>186</v>
      </c>
      <c r="C23" s="37" t="s">
        <v>187</v>
      </c>
      <c r="D23" s="41" t="s">
        <v>295</v>
      </c>
      <c r="E23" s="42">
        <v>36.84</v>
      </c>
      <c r="F23" s="20">
        <f>E6</f>
        <v>557</v>
      </c>
      <c r="G23" s="38">
        <f>(E23/F23)*100</f>
        <v>6.61400359066427</v>
      </c>
      <c r="H23" s="42">
        <v>11</v>
      </c>
      <c r="I23" s="20">
        <f>H6</f>
        <v>646.12</v>
      </c>
      <c r="J23" s="38">
        <f>(H23/I23)*100</f>
        <v>1.70247012938773</v>
      </c>
      <c r="K23" s="42">
        <v>0</v>
      </c>
      <c r="L23" s="20">
        <f>K6</f>
        <v>915</v>
      </c>
      <c r="M23" s="38">
        <f>(K23/L23)*100</f>
        <v>0</v>
      </c>
      <c r="N23" s="42">
        <v>0</v>
      </c>
      <c r="O23" s="20">
        <f>N6</f>
        <v>956</v>
      </c>
      <c r="P23" s="38">
        <f>(N23/O23)*100</f>
        <v>0</v>
      </c>
      <c r="Q23" s="42">
        <v>5.26</v>
      </c>
      <c r="R23" s="20">
        <f>Q6</f>
        <v>880.45</v>
      </c>
      <c r="S23" s="38">
        <f>(Q23/R23)*100</f>
        <v>0.59742177295701</v>
      </c>
      <c r="T23" s="42">
        <v>0</v>
      </c>
      <c r="U23" s="20">
        <f>T6</f>
        <v>1057.21</v>
      </c>
      <c r="V23" s="38">
        <f>(T23/U23)*100</f>
        <v>0</v>
      </c>
    </row>
    <row r="24" ht="5.5" customHeight="1" spans="1:22">
      <c r="A24" s="2"/>
      <c r="B24" s="2"/>
      <c r="C24" s="2" t="s">
        <v>189</v>
      </c>
      <c r="D24" s="41"/>
      <c r="E24" s="42"/>
      <c r="F24" s="20"/>
      <c r="G24" s="38"/>
      <c r="H24" s="42"/>
      <c r="I24" s="20"/>
      <c r="J24" s="38"/>
      <c r="K24" s="42"/>
      <c r="L24" s="20"/>
      <c r="M24" s="38"/>
      <c r="N24" s="42"/>
      <c r="O24" s="20"/>
      <c r="P24" s="38"/>
      <c r="Q24" s="42"/>
      <c r="R24" s="20"/>
      <c r="S24" s="38"/>
      <c r="T24" s="42"/>
      <c r="U24" s="20"/>
      <c r="V24" s="38"/>
    </row>
    <row r="25" hidden="1" spans="1:22">
      <c r="A25" s="2"/>
      <c r="B25" s="2"/>
      <c r="C25" s="2"/>
      <c r="D25" s="2"/>
      <c r="E25" s="20"/>
      <c r="F25" s="42"/>
      <c r="G25" s="38"/>
      <c r="H25" s="20"/>
      <c r="I25" s="42"/>
      <c r="J25" s="38"/>
      <c r="K25" s="20"/>
      <c r="L25" s="42"/>
      <c r="M25" s="38"/>
      <c r="N25" s="20"/>
      <c r="O25" s="42"/>
      <c r="P25" s="38"/>
      <c r="Q25" s="20"/>
      <c r="R25" s="42"/>
      <c r="S25" s="38"/>
      <c r="T25" s="20"/>
      <c r="U25" s="42"/>
      <c r="V25" s="38"/>
    </row>
    <row r="26" spans="1:22">
      <c r="A26" s="2">
        <v>9</v>
      </c>
      <c r="B26" s="41" t="s">
        <v>780</v>
      </c>
      <c r="C26" s="37" t="s">
        <v>767</v>
      </c>
      <c r="D26" s="2" t="s">
        <v>172</v>
      </c>
      <c r="E26" s="20">
        <v>828475116</v>
      </c>
      <c r="F26" s="46">
        <f>F11</f>
        <v>2770089629</v>
      </c>
      <c r="G26" s="47">
        <f>E26/F26</f>
        <v>0.299078812225682</v>
      </c>
      <c r="H26" s="20">
        <v>654519323</v>
      </c>
      <c r="I26" s="46">
        <f>I11</f>
        <v>1735956820</v>
      </c>
      <c r="J26" s="47">
        <f>H26/I26</f>
        <v>0.377036637927434</v>
      </c>
      <c r="K26" s="20">
        <f>L28+L29</f>
        <v>15308139</v>
      </c>
      <c r="L26" s="46">
        <f>L11</f>
        <v>522315412</v>
      </c>
      <c r="M26" s="47">
        <f>K26/L26</f>
        <v>0.0293082276500009</v>
      </c>
      <c r="N26" s="20">
        <f>O28+O29</f>
        <v>211175784</v>
      </c>
      <c r="O26" s="46">
        <f>O11</f>
        <v>902416567</v>
      </c>
      <c r="P26" s="47">
        <f>N26/O26</f>
        <v>0.234011421911318</v>
      </c>
      <c r="Q26" s="20">
        <f>R28+R29</f>
        <v>135737941</v>
      </c>
      <c r="R26" s="46">
        <f>R11</f>
        <v>1075688857</v>
      </c>
      <c r="S26" s="47">
        <f>Q26/R26</f>
        <v>0.126186991820814</v>
      </c>
      <c r="T26" s="20">
        <v>37418273</v>
      </c>
      <c r="U26" s="46">
        <f>U11</f>
        <v>76361434</v>
      </c>
      <c r="V26" s="47">
        <f>T26/U26</f>
        <v>0.490015326322971</v>
      </c>
    </row>
    <row r="27" ht="8" customHeight="1" spans="1:22">
      <c r="A27" s="2"/>
      <c r="B27" s="41"/>
      <c r="C27" s="6" t="s">
        <v>503</v>
      </c>
      <c r="D27" s="2"/>
      <c r="E27" s="20"/>
      <c r="F27" s="46"/>
      <c r="G27" s="47"/>
      <c r="H27" s="20"/>
      <c r="I27" s="46"/>
      <c r="J27" s="47"/>
      <c r="K27" s="20"/>
      <c r="L27" s="46"/>
      <c r="M27" s="47"/>
      <c r="N27" s="20"/>
      <c r="O27" s="46"/>
      <c r="P27" s="47"/>
      <c r="Q27" s="20"/>
      <c r="R27" s="46"/>
      <c r="S27" s="47"/>
      <c r="T27" s="20"/>
      <c r="U27" s="46"/>
      <c r="V27" s="47"/>
    </row>
    <row r="28" hidden="1" spans="1:22">
      <c r="A28" s="2"/>
      <c r="B28" s="51"/>
      <c r="C28" s="52"/>
      <c r="D28" s="2"/>
      <c r="E28" s="20"/>
      <c r="F28" s="42"/>
      <c r="G28" s="38"/>
      <c r="H28" s="20"/>
      <c r="I28" s="42"/>
      <c r="J28" s="38"/>
      <c r="K28" s="51" t="s">
        <v>768</v>
      </c>
      <c r="L28" s="52">
        <f>L31</f>
        <v>264393366</v>
      </c>
      <c r="M28" s="38"/>
      <c r="N28" s="51" t="s">
        <v>768</v>
      </c>
      <c r="O28" s="52">
        <f>O31</f>
        <v>156512146</v>
      </c>
      <c r="P28" s="38"/>
      <c r="Q28" s="51" t="s">
        <v>768</v>
      </c>
      <c r="R28" s="52">
        <f>R31</f>
        <v>97887635</v>
      </c>
      <c r="S28" s="38"/>
      <c r="T28" s="51"/>
      <c r="U28" s="52"/>
      <c r="V28" s="38"/>
    </row>
    <row r="29" hidden="1" spans="1:22">
      <c r="A29" s="2"/>
      <c r="C29" s="51"/>
      <c r="D29" s="2"/>
      <c r="E29" s="20"/>
      <c r="F29" s="42"/>
      <c r="G29" s="38"/>
      <c r="H29" s="20"/>
      <c r="I29" s="42"/>
      <c r="J29" s="38"/>
      <c r="K29" s="51" t="s">
        <v>498</v>
      </c>
      <c r="L29" s="52">
        <v>-249085227</v>
      </c>
      <c r="M29" s="38"/>
      <c r="N29" s="51" t="s">
        <v>498</v>
      </c>
      <c r="O29" s="52">
        <v>54663638</v>
      </c>
      <c r="P29" s="38"/>
      <c r="Q29" s="51" t="s">
        <v>498</v>
      </c>
      <c r="R29" s="52">
        <v>37850306</v>
      </c>
      <c r="S29" s="38"/>
      <c r="T29" s="51"/>
      <c r="U29" s="52"/>
      <c r="V29" s="38"/>
    </row>
    <row r="30" hidden="1" spans="1:22">
      <c r="A30" s="2"/>
      <c r="C30" s="51"/>
      <c r="D30" s="2"/>
      <c r="E30" s="20"/>
      <c r="F30" s="42"/>
      <c r="G30" s="38"/>
      <c r="H30" s="20"/>
      <c r="I30" s="42"/>
      <c r="J30" s="38"/>
      <c r="K30" s="51"/>
      <c r="L30" s="52"/>
      <c r="M30" s="38"/>
      <c r="N30" s="51"/>
      <c r="O30" s="52"/>
      <c r="P30" s="38"/>
      <c r="Q30" s="51"/>
      <c r="R30" s="52"/>
      <c r="S30" s="38"/>
      <c r="T30" s="51"/>
      <c r="U30" s="52"/>
      <c r="V30" s="38"/>
    </row>
    <row r="31" spans="1:22">
      <c r="A31" s="2">
        <v>10</v>
      </c>
      <c r="B31" s="41" t="s">
        <v>769</v>
      </c>
      <c r="C31" s="37" t="s">
        <v>495</v>
      </c>
      <c r="D31" s="2" t="s">
        <v>770</v>
      </c>
      <c r="E31" s="20">
        <f>E26</f>
        <v>828475116</v>
      </c>
      <c r="F31" s="46">
        <v>3857590</v>
      </c>
      <c r="G31" s="53">
        <f>E31/F31</f>
        <v>214.764948063428</v>
      </c>
      <c r="H31" s="20">
        <f>H26</f>
        <v>654519323</v>
      </c>
      <c r="I31" s="46">
        <v>1</v>
      </c>
      <c r="J31" s="53">
        <f>H31/I31</f>
        <v>654519323</v>
      </c>
      <c r="K31" s="20">
        <f>K26</f>
        <v>15308139</v>
      </c>
      <c r="L31" s="46">
        <v>264393366</v>
      </c>
      <c r="M31" s="54">
        <f>K31/L31</f>
        <v>0.0578991040191228</v>
      </c>
      <c r="N31" s="20">
        <f>N26</f>
        <v>211175784</v>
      </c>
      <c r="O31" s="46">
        <v>156512146</v>
      </c>
      <c r="P31" s="53">
        <f>N31/O31</f>
        <v>1.34926131547644</v>
      </c>
      <c r="Q31" s="20">
        <f>Q26</f>
        <v>135737941</v>
      </c>
      <c r="R31" s="46">
        <v>97887635</v>
      </c>
      <c r="S31" s="53">
        <f>Q31/R31</f>
        <v>1.38667096206789</v>
      </c>
      <c r="T31" s="20">
        <f>T26</f>
        <v>37418273</v>
      </c>
      <c r="U31" s="46">
        <v>9244219</v>
      </c>
      <c r="V31" s="53">
        <f>T31/U31</f>
        <v>4.04774843607664</v>
      </c>
    </row>
    <row r="32" spans="1:22">
      <c r="A32" s="2"/>
      <c r="B32" s="41"/>
      <c r="C32" s="6" t="s">
        <v>771</v>
      </c>
      <c r="D32" s="2"/>
      <c r="E32" s="20"/>
      <c r="F32" s="46"/>
      <c r="G32" s="53"/>
      <c r="H32" s="20"/>
      <c r="I32" s="46"/>
      <c r="J32" s="53"/>
      <c r="K32" s="20"/>
      <c r="L32" s="46"/>
      <c r="M32" s="54"/>
      <c r="N32" s="20"/>
      <c r="O32" s="46"/>
      <c r="P32" s="53"/>
      <c r="Q32" s="20"/>
      <c r="R32" s="46"/>
      <c r="S32" s="53"/>
      <c r="T32" s="20"/>
      <c r="U32" s="46"/>
      <c r="V32" s="53"/>
    </row>
    <row r="33" hidden="1" spans="1:22">
      <c r="A33" s="2"/>
      <c r="B33" s="41"/>
      <c r="C33" s="6"/>
      <c r="D33" s="2"/>
      <c r="E33" s="20"/>
      <c r="F33" s="46"/>
      <c r="G33" s="55"/>
      <c r="H33" s="20"/>
      <c r="I33" s="46"/>
      <c r="J33" s="55"/>
      <c r="K33" s="20"/>
      <c r="L33" s="46"/>
      <c r="M33" s="38"/>
      <c r="N33" s="20"/>
      <c r="O33" s="46"/>
      <c r="P33" s="38"/>
      <c r="Q33" s="20"/>
      <c r="R33" s="46"/>
      <c r="S33" s="38"/>
      <c r="T33" s="20"/>
      <c r="U33" s="46"/>
      <c r="V33" s="38"/>
    </row>
    <row r="34" spans="1:22">
      <c r="A34" s="2">
        <v>11</v>
      </c>
      <c r="B34" s="41" t="s">
        <v>772</v>
      </c>
      <c r="C34" s="37" t="s">
        <v>773</v>
      </c>
      <c r="D34" s="2" t="s">
        <v>448</v>
      </c>
      <c r="E34" s="20">
        <v>51361890</v>
      </c>
      <c r="F34" s="46">
        <f>F14</f>
        <v>2774836998</v>
      </c>
      <c r="G34" s="55">
        <f>E34/F34</f>
        <v>0.0185098764493265</v>
      </c>
      <c r="H34" s="20">
        <v>28012562</v>
      </c>
      <c r="I34" s="46">
        <f>I14</f>
        <v>3171806451</v>
      </c>
      <c r="J34" s="55">
        <f>H34/I34</f>
        <v>0.00883173750755449</v>
      </c>
      <c r="K34" s="20">
        <v>3356475101</v>
      </c>
      <c r="L34" s="46">
        <f>L14</f>
        <v>1353093336</v>
      </c>
      <c r="M34" s="56">
        <f>K34/L34</f>
        <v>2.48059391891056</v>
      </c>
      <c r="N34" s="20">
        <v>1719327866</v>
      </c>
      <c r="O34" s="46">
        <f>O14</f>
        <v>1650895025</v>
      </c>
      <c r="P34" s="55">
        <f>N34/O34</f>
        <v>1.04145196391273</v>
      </c>
      <c r="Q34" s="20">
        <v>1276495040</v>
      </c>
      <c r="R34" s="46">
        <f>R14</f>
        <v>3902299064</v>
      </c>
      <c r="S34" s="55">
        <f>Q34/R34</f>
        <v>0.327113585879691</v>
      </c>
      <c r="T34" s="20">
        <v>43015896</v>
      </c>
      <c r="U34" s="46">
        <f>U14</f>
        <v>639483258</v>
      </c>
      <c r="V34" s="55">
        <f>T34/U34</f>
        <v>0.0672666492232077</v>
      </c>
    </row>
    <row r="35" ht="11.5" customHeight="1" spans="1:22">
      <c r="A35" s="2"/>
      <c r="B35" s="41"/>
      <c r="C35" s="6" t="s">
        <v>120</v>
      </c>
      <c r="D35" s="2"/>
      <c r="E35" s="20"/>
      <c r="F35" s="46"/>
      <c r="G35" s="55"/>
      <c r="H35" s="20"/>
      <c r="I35" s="46"/>
      <c r="J35" s="55"/>
      <c r="K35" s="20"/>
      <c r="L35" s="46"/>
      <c r="M35" s="56"/>
      <c r="N35" s="20"/>
      <c r="O35" s="46"/>
      <c r="P35" s="55"/>
      <c r="Q35" s="20"/>
      <c r="R35" s="46"/>
      <c r="S35" s="55"/>
      <c r="T35" s="20"/>
      <c r="U35" s="46"/>
      <c r="V35" s="55"/>
    </row>
    <row r="36" hidden="1" spans="1:22">
      <c r="G36" s="38"/>
      <c r="J36" s="38"/>
      <c r="K36" s="57" t="s">
        <v>774</v>
      </c>
      <c r="M36" s="38"/>
      <c r="N36" s="57" t="s">
        <v>774</v>
      </c>
      <c r="P36" s="38"/>
      <c r="Q36" s="57" t="s">
        <v>774</v>
      </c>
      <c r="S36" s="38"/>
      <c r="T36" s="57" t="s">
        <v>774</v>
      </c>
      <c r="V36" s="38"/>
    </row>
    <row r="37" spans="1:22">
      <c r="A37" s="2">
        <v>12</v>
      </c>
      <c r="B37" s="2" t="s">
        <v>743</v>
      </c>
      <c r="C37" s="37" t="s">
        <v>744</v>
      </c>
      <c r="D37" s="2" t="s">
        <v>172</v>
      </c>
      <c r="E37" s="20">
        <f>E3</f>
        <v>670709971</v>
      </c>
      <c r="F37" s="46">
        <v>3488210387</v>
      </c>
      <c r="G37" s="47">
        <f>E37/F37</f>
        <v>0.192279104924298</v>
      </c>
      <c r="H37" s="20">
        <f>H3</f>
        <v>515433967</v>
      </c>
      <c r="I37" s="46">
        <v>4604126049</v>
      </c>
      <c r="J37" s="47">
        <f>H37/I37</f>
        <v>0.111950446515675</v>
      </c>
      <c r="K37" s="20">
        <f>K3</f>
        <v>-198965878</v>
      </c>
      <c r="L37" s="46">
        <v>5560623702</v>
      </c>
      <c r="M37" s="47">
        <f>K37/L37</f>
        <v>-0.0357812160402866</v>
      </c>
      <c r="N37" s="20">
        <f>N3</f>
        <v>210895504</v>
      </c>
      <c r="O37" s="46">
        <v>3701440774</v>
      </c>
      <c r="P37" s="47">
        <f>N37/O37</f>
        <v>0.0569765982698931</v>
      </c>
      <c r="Q37" s="20">
        <f>Q3</f>
        <v>29552588</v>
      </c>
      <c r="R37" s="46">
        <v>6093506505</v>
      </c>
      <c r="S37" s="47">
        <f>Q37/R37</f>
        <v>0.00484984925768944</v>
      </c>
      <c r="T37" s="20">
        <f>T3</f>
        <v>27802863</v>
      </c>
      <c r="U37" s="46">
        <v>6093506505</v>
      </c>
      <c r="V37" s="47">
        <f>T37/U37</f>
        <v>0.00456270342489771</v>
      </c>
    </row>
    <row r="38" ht="9" customHeight="1" spans="1:22">
      <c r="A38" s="2"/>
      <c r="B38" s="2"/>
      <c r="C38" s="2" t="s">
        <v>741</v>
      </c>
      <c r="D38" s="2"/>
      <c r="E38" s="20"/>
      <c r="F38" s="46"/>
      <c r="G38" s="47"/>
      <c r="H38" s="20"/>
      <c r="I38" s="46"/>
      <c r="J38" s="47"/>
      <c r="K38" s="20"/>
      <c r="L38" s="46"/>
      <c r="M38" s="47"/>
      <c r="N38" s="20"/>
      <c r="O38" s="46"/>
      <c r="P38" s="47"/>
      <c r="Q38" s="20"/>
      <c r="R38" s="46"/>
      <c r="S38" s="47"/>
      <c r="T38" s="20"/>
      <c r="U38" s="46"/>
      <c r="V38" s="47"/>
    </row>
  </sheetData>
  <mergeCells count="238">
    <mergeCell ref="A1:D1"/>
    <mergeCell ref="E1:G1"/>
    <mergeCell ref="H1:J1"/>
    <mergeCell ref="K1:M1"/>
    <mergeCell ref="N1:P1"/>
    <mergeCell ref="Q1:S1"/>
    <mergeCell ref="T1:V1"/>
    <mergeCell ref="A3:A4"/>
    <mergeCell ref="A6:A7"/>
    <mergeCell ref="A11:A12"/>
    <mergeCell ref="A14:A15"/>
    <mergeCell ref="A17:A18"/>
    <mergeCell ref="A20:A21"/>
    <mergeCell ref="A23:A24"/>
    <mergeCell ref="A26:A27"/>
    <mergeCell ref="A31:A32"/>
    <mergeCell ref="A34:A35"/>
    <mergeCell ref="A37:A38"/>
    <mergeCell ref="B3:B4"/>
    <mergeCell ref="B6:B7"/>
    <mergeCell ref="B11:B12"/>
    <mergeCell ref="B14:B15"/>
    <mergeCell ref="B17:B18"/>
    <mergeCell ref="B20:B21"/>
    <mergeCell ref="B23:B24"/>
    <mergeCell ref="B26:B27"/>
    <mergeCell ref="B31:B32"/>
    <mergeCell ref="B34:B35"/>
    <mergeCell ref="B37:B38"/>
    <mergeCell ref="D3:D4"/>
    <mergeCell ref="D6:D7"/>
    <mergeCell ref="D11:D12"/>
    <mergeCell ref="D14:D15"/>
    <mergeCell ref="D17:D18"/>
    <mergeCell ref="D20:D21"/>
    <mergeCell ref="D23:D24"/>
    <mergeCell ref="D26:D27"/>
    <mergeCell ref="D31:D32"/>
    <mergeCell ref="D34:D35"/>
    <mergeCell ref="D37:D38"/>
    <mergeCell ref="E3:E4"/>
    <mergeCell ref="E6:E7"/>
    <mergeCell ref="E11:E12"/>
    <mergeCell ref="E14:E15"/>
    <mergeCell ref="E17:E18"/>
    <mergeCell ref="E20:E21"/>
    <mergeCell ref="E23:E24"/>
    <mergeCell ref="E26:E27"/>
    <mergeCell ref="E31:E32"/>
    <mergeCell ref="E34:E35"/>
    <mergeCell ref="E37:E38"/>
    <mergeCell ref="F3:F4"/>
    <mergeCell ref="F6:F7"/>
    <mergeCell ref="F11:F12"/>
    <mergeCell ref="F14:F15"/>
    <mergeCell ref="F17:F18"/>
    <mergeCell ref="F20:F21"/>
    <mergeCell ref="F23:F24"/>
    <mergeCell ref="F26:F27"/>
    <mergeCell ref="F31:F32"/>
    <mergeCell ref="F34:F35"/>
    <mergeCell ref="F37:F38"/>
    <mergeCell ref="G3:G4"/>
    <mergeCell ref="G6:G7"/>
    <mergeCell ref="G11:G12"/>
    <mergeCell ref="G14:G15"/>
    <mergeCell ref="G17:G18"/>
    <mergeCell ref="G20:G21"/>
    <mergeCell ref="G23:G24"/>
    <mergeCell ref="G26:G27"/>
    <mergeCell ref="G31:G32"/>
    <mergeCell ref="G34:G35"/>
    <mergeCell ref="G37:G38"/>
    <mergeCell ref="H3:H4"/>
    <mergeCell ref="H6:H7"/>
    <mergeCell ref="H11:H12"/>
    <mergeCell ref="H14:H15"/>
    <mergeCell ref="H17:H18"/>
    <mergeCell ref="H20:H21"/>
    <mergeCell ref="H23:H24"/>
    <mergeCell ref="H26:H27"/>
    <mergeCell ref="H31:H32"/>
    <mergeCell ref="H34:H35"/>
    <mergeCell ref="H37:H38"/>
    <mergeCell ref="I3:I4"/>
    <mergeCell ref="I6:I7"/>
    <mergeCell ref="I11:I12"/>
    <mergeCell ref="I14:I15"/>
    <mergeCell ref="I17:I18"/>
    <mergeCell ref="I20:I21"/>
    <mergeCell ref="I23:I24"/>
    <mergeCell ref="I26:I27"/>
    <mergeCell ref="I31:I32"/>
    <mergeCell ref="I34:I35"/>
    <mergeCell ref="I37:I38"/>
    <mergeCell ref="J3:J4"/>
    <mergeCell ref="J6:J7"/>
    <mergeCell ref="J11:J12"/>
    <mergeCell ref="J14:J15"/>
    <mergeCell ref="J17:J18"/>
    <mergeCell ref="J20:J21"/>
    <mergeCell ref="J23:J24"/>
    <mergeCell ref="J26:J27"/>
    <mergeCell ref="J31:J32"/>
    <mergeCell ref="J34:J35"/>
    <mergeCell ref="J37:J38"/>
    <mergeCell ref="K3:K4"/>
    <mergeCell ref="K6:K7"/>
    <mergeCell ref="K11:K12"/>
    <mergeCell ref="K14:K15"/>
    <mergeCell ref="K17:K18"/>
    <mergeCell ref="K20:K21"/>
    <mergeCell ref="K23:K24"/>
    <mergeCell ref="K26:K27"/>
    <mergeCell ref="K31:K32"/>
    <mergeCell ref="K34:K35"/>
    <mergeCell ref="K37:K38"/>
    <mergeCell ref="L3:L4"/>
    <mergeCell ref="L6:L7"/>
    <mergeCell ref="L11:L12"/>
    <mergeCell ref="L14:L15"/>
    <mergeCell ref="L17:L18"/>
    <mergeCell ref="L20:L21"/>
    <mergeCell ref="L23:L24"/>
    <mergeCell ref="L26:L27"/>
    <mergeCell ref="L31:L32"/>
    <mergeCell ref="L34:L35"/>
    <mergeCell ref="L37:L38"/>
    <mergeCell ref="M3:M4"/>
    <mergeCell ref="M6:M7"/>
    <mergeCell ref="M11:M12"/>
    <mergeCell ref="M14:M15"/>
    <mergeCell ref="M17:M18"/>
    <mergeCell ref="M20:M21"/>
    <mergeCell ref="M23:M24"/>
    <mergeCell ref="M26:M27"/>
    <mergeCell ref="M31:M32"/>
    <mergeCell ref="M34:M35"/>
    <mergeCell ref="M37:M38"/>
    <mergeCell ref="N3:N4"/>
    <mergeCell ref="N6:N7"/>
    <mergeCell ref="N11:N12"/>
    <mergeCell ref="N14:N15"/>
    <mergeCell ref="N17:N18"/>
    <mergeCell ref="N20:N21"/>
    <mergeCell ref="N23:N24"/>
    <mergeCell ref="N26:N27"/>
    <mergeCell ref="N31:N32"/>
    <mergeCell ref="N34:N35"/>
    <mergeCell ref="N37:N38"/>
    <mergeCell ref="O3:O4"/>
    <mergeCell ref="O6:O7"/>
    <mergeCell ref="O11:O12"/>
    <mergeCell ref="O14:O15"/>
    <mergeCell ref="O17:O18"/>
    <mergeCell ref="O20:O21"/>
    <mergeCell ref="O23:O24"/>
    <mergeCell ref="O26:O27"/>
    <mergeCell ref="O31:O32"/>
    <mergeCell ref="O34:O35"/>
    <mergeCell ref="O37:O38"/>
    <mergeCell ref="P3:P4"/>
    <mergeCell ref="P6:P7"/>
    <mergeCell ref="P11:P12"/>
    <mergeCell ref="P14:P15"/>
    <mergeCell ref="P17:P18"/>
    <mergeCell ref="P20:P21"/>
    <mergeCell ref="P23:P24"/>
    <mergeCell ref="P26:P27"/>
    <mergeCell ref="P31:P32"/>
    <mergeCell ref="P34:P35"/>
    <mergeCell ref="P37:P38"/>
    <mergeCell ref="Q3:Q4"/>
    <mergeCell ref="Q6:Q7"/>
    <mergeCell ref="Q11:Q12"/>
    <mergeCell ref="Q14:Q15"/>
    <mergeCell ref="Q17:Q18"/>
    <mergeCell ref="Q20:Q21"/>
    <mergeCell ref="Q23:Q24"/>
    <mergeCell ref="Q26:Q27"/>
    <mergeCell ref="Q31:Q32"/>
    <mergeCell ref="Q34:Q35"/>
    <mergeCell ref="Q37:Q38"/>
    <mergeCell ref="R3:R4"/>
    <mergeCell ref="R6:R7"/>
    <mergeCell ref="R11:R12"/>
    <mergeCell ref="R14:R15"/>
    <mergeCell ref="R17:R18"/>
    <mergeCell ref="R20:R21"/>
    <mergeCell ref="R23:R24"/>
    <mergeCell ref="R26:R27"/>
    <mergeCell ref="R31:R32"/>
    <mergeCell ref="R34:R35"/>
    <mergeCell ref="R37:R38"/>
    <mergeCell ref="S3:S4"/>
    <mergeCell ref="S6:S7"/>
    <mergeCell ref="S11:S12"/>
    <mergeCell ref="S14:S15"/>
    <mergeCell ref="S17:S18"/>
    <mergeCell ref="S20:S21"/>
    <mergeCell ref="S23:S24"/>
    <mergeCell ref="S26:S27"/>
    <mergeCell ref="S31:S32"/>
    <mergeCell ref="S34:S35"/>
    <mergeCell ref="S37:S38"/>
    <mergeCell ref="T3:T4"/>
    <mergeCell ref="T6:T7"/>
    <mergeCell ref="T11:T12"/>
    <mergeCell ref="T14:T15"/>
    <mergeCell ref="T17:T18"/>
    <mergeCell ref="T20:T21"/>
    <mergeCell ref="T23:T24"/>
    <mergeCell ref="T26:T27"/>
    <mergeCell ref="T31:T32"/>
    <mergeCell ref="T34:T35"/>
    <mergeCell ref="T37:T38"/>
    <mergeCell ref="U3:U4"/>
    <mergeCell ref="U6:U7"/>
    <mergeCell ref="U11:U12"/>
    <mergeCell ref="U14:U15"/>
    <mergeCell ref="U17:U18"/>
    <mergeCell ref="U20:U21"/>
    <mergeCell ref="U23:U24"/>
    <mergeCell ref="U26:U27"/>
    <mergeCell ref="U31:U32"/>
    <mergeCell ref="U34:U35"/>
    <mergeCell ref="U37:U38"/>
    <mergeCell ref="V3:V4"/>
    <mergeCell ref="V6:V7"/>
    <mergeCell ref="V11:V12"/>
    <mergeCell ref="V14:V15"/>
    <mergeCell ref="V17:V18"/>
    <mergeCell ref="V20:V21"/>
    <mergeCell ref="V23:V24"/>
    <mergeCell ref="V26:V27"/>
    <mergeCell ref="V31:V32"/>
    <mergeCell ref="V34:V35"/>
    <mergeCell ref="V37:V38"/>
  </mergeCells>
  <pageMargins left="0.7" right="0.7" top="0.75" bottom="0.75" header="0.3" footer="0.3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"/>
  <sheetViews>
    <sheetView workbookViewId="0">
      <selection activeCell="A1" sqref="A1:I1"/>
    </sheetView>
  </sheetViews>
  <sheetFormatPr defaultColWidth="9" defaultRowHeight="15"/>
  <cols>
    <col min="1" max="1" width="4.81904761904762" customWidth="1"/>
    <col min="2" max="2" width="33.6285714285714" customWidth="1"/>
    <col min="3" max="3" width="48.1809523809524" customWidth="1"/>
    <col min="4" max="4" width="17.9047619047619" customWidth="1"/>
    <col min="5" max="5" width="15" customWidth="1"/>
    <col min="6" max="6" width="13.9047619047619" customWidth="1"/>
    <col min="7" max="7" width="15" customWidth="1"/>
    <col min="8" max="8" width="14.2666666666667" customWidth="1"/>
    <col min="9" max="9" width="15.2666666666667" customWidth="1"/>
    <col min="10" max="12" width="8.72380952380952" customWidth="1"/>
  </cols>
  <sheetData>
    <row r="1" s="15" customFormat="1" ht="18.75" spans="1:11">
      <c r="A1" s="16" t="s">
        <v>781</v>
      </c>
      <c r="B1" s="16"/>
      <c r="C1" s="16"/>
      <c r="D1" s="16"/>
      <c r="E1" s="16"/>
      <c r="F1" s="16"/>
      <c r="G1" s="16"/>
      <c r="H1" s="16"/>
      <c r="I1" s="16"/>
    </row>
    <row r="2" ht="37.5" spans="1:11">
      <c r="A2" s="17" t="s">
        <v>0</v>
      </c>
      <c r="B2" s="17" t="s">
        <v>241</v>
      </c>
      <c r="C2" s="17" t="s">
        <v>242</v>
      </c>
      <c r="D2" s="17" t="s">
        <v>1</v>
      </c>
      <c r="E2" s="18">
        <v>2078</v>
      </c>
      <c r="F2" s="18">
        <v>2079</v>
      </c>
      <c r="G2" s="18">
        <v>2080</v>
      </c>
      <c r="H2" s="18">
        <v>2081</v>
      </c>
      <c r="I2" s="18">
        <v>2082</v>
      </c>
      <c r="J2" s="2"/>
    </row>
    <row r="3" ht="15.75" spans="1:11">
      <c r="A3" s="2">
        <v>1</v>
      </c>
      <c r="B3" s="19" t="s">
        <v>303</v>
      </c>
      <c r="C3" s="19" t="s">
        <v>245</v>
      </c>
      <c r="D3" s="2" t="s">
        <v>246</v>
      </c>
      <c r="E3" s="20">
        <v>283229759</v>
      </c>
      <c r="F3" s="20">
        <v>700535139</v>
      </c>
      <c r="G3" s="20">
        <v>1383218480</v>
      </c>
      <c r="H3" s="20">
        <v>1496459033</v>
      </c>
      <c r="I3" s="21">
        <v>1512649487</v>
      </c>
      <c r="K3" s="2"/>
    </row>
    <row r="4" ht="15.75" spans="1:11">
      <c r="A4" s="2">
        <v>2</v>
      </c>
      <c r="B4" s="19" t="s">
        <v>304</v>
      </c>
      <c r="C4" s="19" t="s">
        <v>248</v>
      </c>
      <c r="D4" s="2" t="s">
        <v>246</v>
      </c>
      <c r="E4" s="22">
        <v>29834180</v>
      </c>
      <c r="F4" s="22">
        <v>247118474</v>
      </c>
      <c r="G4" s="22">
        <v>557929373</v>
      </c>
      <c r="H4" s="22">
        <v>736069901</v>
      </c>
      <c r="I4" s="22">
        <v>752939549</v>
      </c>
      <c r="J4" s="2"/>
    </row>
    <row r="5" ht="15.75" spans="1:11">
      <c r="A5" s="2">
        <v>3</v>
      </c>
      <c r="B5" s="19" t="s">
        <v>249</v>
      </c>
      <c r="C5" s="19" t="s">
        <v>250</v>
      </c>
      <c r="D5" s="2" t="s">
        <v>246</v>
      </c>
      <c r="E5" s="20">
        <v>-49649767</v>
      </c>
      <c r="F5" s="20">
        <v>188083374</v>
      </c>
      <c r="G5" s="20">
        <v>382640106</v>
      </c>
      <c r="H5" s="20">
        <v>518268720</v>
      </c>
      <c r="I5" s="21">
        <v>515433967</v>
      </c>
    </row>
    <row r="6" ht="30" spans="1:11">
      <c r="A6" s="2">
        <v>4</v>
      </c>
      <c r="B6" s="19" t="s">
        <v>251</v>
      </c>
      <c r="C6" s="19" t="s">
        <v>252</v>
      </c>
      <c r="D6" s="23" t="s">
        <v>253</v>
      </c>
      <c r="E6" s="24">
        <f t="shared" ref="E6:I6" si="0">E5/E3</f>
        <v>-0.175298553285144</v>
      </c>
      <c r="F6" s="24">
        <f t="shared" si="0"/>
        <v>0.268485281507057</v>
      </c>
      <c r="G6" s="24">
        <f t="shared" si="0"/>
        <v>0.276630273187212</v>
      </c>
      <c r="H6" s="24">
        <f t="shared" si="0"/>
        <v>0.346330042166948</v>
      </c>
      <c r="I6" s="24">
        <f t="shared" si="0"/>
        <v>0.340749110372058</v>
      </c>
    </row>
    <row r="7" ht="15.75" spans="1:11">
      <c r="A7" s="2">
        <v>5</v>
      </c>
      <c r="B7" s="19" t="s">
        <v>254</v>
      </c>
      <c r="C7" s="19" t="s">
        <v>255</v>
      </c>
      <c r="D7" s="2" t="s">
        <v>246</v>
      </c>
      <c r="E7" s="2">
        <v>-2.63</v>
      </c>
      <c r="F7" s="2">
        <v>9.97</v>
      </c>
      <c r="G7" s="2">
        <v>20.28</v>
      </c>
      <c r="H7" s="2">
        <v>26.41</v>
      </c>
      <c r="I7" s="2">
        <v>26.27</v>
      </c>
    </row>
    <row r="8" ht="31.5" spans="1:11">
      <c r="A8" s="2">
        <v>6</v>
      </c>
      <c r="B8" s="19" t="s">
        <v>256</v>
      </c>
      <c r="C8" s="19" t="s">
        <v>257</v>
      </c>
      <c r="D8" s="2" t="s">
        <v>246</v>
      </c>
      <c r="E8" s="25">
        <v>-152</v>
      </c>
      <c r="F8" s="25">
        <v>31.6</v>
      </c>
      <c r="G8" s="25">
        <v>38.97</v>
      </c>
      <c r="H8" s="25">
        <v>30.55</v>
      </c>
      <c r="I8" s="25">
        <v>36.02</v>
      </c>
    </row>
    <row r="9" ht="31.5" spans="1:11">
      <c r="A9" s="2">
        <v>7</v>
      </c>
      <c r="B9" s="19" t="s">
        <v>258</v>
      </c>
      <c r="C9" s="19" t="s">
        <v>259</v>
      </c>
      <c r="D9" s="2" t="s">
        <v>246</v>
      </c>
      <c r="E9" s="2"/>
      <c r="F9" s="2"/>
      <c r="G9" s="2"/>
      <c r="H9" s="2"/>
      <c r="J9" s="20"/>
    </row>
    <row r="10" ht="31.5" spans="1:11">
      <c r="A10" s="2">
        <v>8</v>
      </c>
      <c r="B10" s="19" t="s">
        <v>260</v>
      </c>
      <c r="C10" s="19" t="s">
        <v>261</v>
      </c>
      <c r="D10" s="2" t="s">
        <v>246</v>
      </c>
      <c r="E10" s="2"/>
      <c r="F10" s="2"/>
      <c r="G10" s="2"/>
      <c r="H10" s="2"/>
      <c r="J10" s="20"/>
    </row>
    <row r="11" customHeight="1" spans="1:11">
      <c r="A11" s="2">
        <v>9</v>
      </c>
      <c r="B11" s="19" t="s">
        <v>262</v>
      </c>
      <c r="C11" s="19" t="s">
        <v>263</v>
      </c>
      <c r="D11" s="2" t="s">
        <v>246</v>
      </c>
      <c r="E11" s="2"/>
      <c r="F11" s="2"/>
      <c r="G11" s="2"/>
      <c r="H11" s="2"/>
    </row>
    <row r="12" ht="16.5" customHeight="1" spans="1:11">
      <c r="A12" s="2">
        <v>10</v>
      </c>
      <c r="B12" s="19" t="s">
        <v>264</v>
      </c>
      <c r="C12" s="19" t="s">
        <v>265</v>
      </c>
      <c r="D12" s="26" t="s">
        <v>246</v>
      </c>
      <c r="E12" s="2"/>
      <c r="F12" s="2"/>
      <c r="G12" s="2"/>
      <c r="H12" s="2"/>
    </row>
  </sheetData>
  <mergeCells count="2">
    <mergeCell ref="A1:I1"/>
    <mergeCell ref="J9:J10"/>
  </mergeCells>
  <pageMargins left="0.7" right="0.7" top="0.75" bottom="0.75" header="0.3" footer="0.3"/>
  <pageSetup paperSize="1" orientation="portrait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9"/>
  <sheetViews>
    <sheetView workbookViewId="0">
      <selection activeCell="F26" sqref="F26"/>
    </sheetView>
  </sheetViews>
  <sheetFormatPr defaultColWidth="9" defaultRowHeight="15" outlineLevelCol="3"/>
  <cols>
    <col min="1" max="1" width="6.18095238095238" style="2" customWidth="1"/>
    <col min="2" max="2" width="47.6285714285714" style="3" customWidth="1"/>
    <col min="3" max="3" width="51.7238095238095" customWidth="1"/>
    <col min="4" max="4" width="53.5428571428571" customWidth="1"/>
    <col min="5" max="9" width="10.3619047619048" customWidth="1"/>
  </cols>
  <sheetData>
    <row r="1" ht="15.75" spans="1:4">
      <c r="A1" s="4" t="s">
        <v>0</v>
      </c>
      <c r="B1" s="4" t="s">
        <v>782</v>
      </c>
      <c r="C1" s="4" t="s">
        <v>783</v>
      </c>
      <c r="D1" s="4" t="s">
        <v>1</v>
      </c>
    </row>
    <row r="2" ht="15.75" spans="1:4">
      <c r="A2" s="5">
        <v>1</v>
      </c>
      <c r="B2" s="1" t="s">
        <v>784</v>
      </c>
      <c r="C2" s="1" t="s">
        <v>785</v>
      </c>
      <c r="D2" t="s">
        <v>786</v>
      </c>
    </row>
    <row r="3" ht="15.75" spans="1:4">
      <c r="A3" s="6">
        <v>2</v>
      </c>
      <c r="B3" s="7" t="s">
        <v>787</v>
      </c>
      <c r="C3" s="1" t="s">
        <v>788</v>
      </c>
    </row>
    <row r="4" ht="15.75" spans="1:4">
      <c r="A4" s="5">
        <v>3</v>
      </c>
      <c r="B4" s="7" t="s">
        <v>789</v>
      </c>
      <c r="C4" s="1" t="s">
        <v>788</v>
      </c>
    </row>
    <row r="5" ht="15.75" spans="1:4">
      <c r="A5" s="5">
        <v>4</v>
      </c>
      <c r="B5" s="1" t="s">
        <v>790</v>
      </c>
      <c r="C5" s="1" t="s">
        <v>791</v>
      </c>
    </row>
    <row r="6" ht="15.75" spans="1:4">
      <c r="A6" s="6">
        <v>5</v>
      </c>
      <c r="B6" s="7" t="s">
        <v>792</v>
      </c>
      <c r="C6" s="1" t="s">
        <v>793</v>
      </c>
    </row>
    <row r="7" ht="15.75" spans="1:4">
      <c r="A7" s="5">
        <v>6</v>
      </c>
      <c r="B7" s="7" t="s">
        <v>794</v>
      </c>
      <c r="C7" s="1" t="s">
        <v>795</v>
      </c>
    </row>
    <row r="8" ht="15.75" spans="1:4">
      <c r="A8" s="5">
        <v>7</v>
      </c>
      <c r="B8" s="7" t="s">
        <v>796</v>
      </c>
      <c r="C8" s="1" t="s">
        <v>797</v>
      </c>
    </row>
    <row r="9" ht="15.75" spans="1:4">
      <c r="A9" s="6">
        <v>8</v>
      </c>
      <c r="B9" s="7" t="s">
        <v>798</v>
      </c>
      <c r="C9" s="1" t="s">
        <v>799</v>
      </c>
    </row>
    <row r="10" ht="15.75" spans="1:4">
      <c r="A10" s="5">
        <v>9</v>
      </c>
      <c r="B10" s="7" t="s">
        <v>800</v>
      </c>
      <c r="C10" s="1" t="s">
        <v>801</v>
      </c>
    </row>
    <row r="14" ht="18.75" spans="1:4">
      <c r="A14" s="8" t="s">
        <v>802</v>
      </c>
      <c r="B14" s="8"/>
      <c r="C14" s="8"/>
      <c r="D14" s="8"/>
    </row>
    <row r="15" s="1" customFormat="1" ht="15.75" spans="1:4">
      <c r="A15" s="9" t="s">
        <v>0</v>
      </c>
      <c r="B15" s="9" t="s">
        <v>803</v>
      </c>
      <c r="C15" s="9" t="s">
        <v>804</v>
      </c>
      <c r="D15" s="9" t="s">
        <v>1</v>
      </c>
    </row>
    <row r="16" ht="15.75" spans="1:4">
      <c r="A16" s="10">
        <v>1</v>
      </c>
      <c r="B16" s="11" t="s">
        <v>805</v>
      </c>
    </row>
    <row r="17" ht="15.75" spans="1:2">
      <c r="A17" s="1"/>
      <c r="B17" s="1" t="s">
        <v>806</v>
      </c>
    </row>
    <row r="18" ht="15.75" spans="1:2">
      <c r="A18" s="1"/>
      <c r="B18" s="1" t="s">
        <v>807</v>
      </c>
    </row>
    <row r="19" ht="15.75" spans="1:2">
      <c r="A19" s="1"/>
      <c r="B19" s="1" t="s">
        <v>808</v>
      </c>
    </row>
    <row r="20" ht="15.75" spans="1:2">
      <c r="A20" s="12"/>
      <c r="B20" s="1" t="s">
        <v>809</v>
      </c>
    </row>
    <row r="21" ht="15.75" spans="1:2">
      <c r="A21" s="12"/>
      <c r="B21" s="1" t="s">
        <v>810</v>
      </c>
    </row>
    <row r="22" ht="15.75" spans="1:2">
      <c r="A22" s="12"/>
      <c r="B22" s="13"/>
    </row>
    <row r="23" ht="15.75" spans="1:2">
      <c r="A23" s="10">
        <v>2</v>
      </c>
      <c r="B23" s="11" t="s">
        <v>811</v>
      </c>
    </row>
    <row r="24" ht="15.75" spans="1:2">
      <c r="A24" s="12"/>
      <c r="B24" s="13" t="s">
        <v>812</v>
      </c>
    </row>
    <row r="25" ht="15.75" spans="1:2">
      <c r="A25" s="12"/>
      <c r="B25" s="13" t="s">
        <v>813</v>
      </c>
    </row>
    <row r="26" ht="15.75" spans="1:2">
      <c r="A26" s="12"/>
      <c r="B26" s="13" t="s">
        <v>814</v>
      </c>
    </row>
    <row r="27" ht="15.75" spans="1:2">
      <c r="A27" s="12"/>
      <c r="B27" s="13" t="s">
        <v>815</v>
      </c>
    </row>
    <row r="28" ht="15.75" spans="1:2">
      <c r="A28" s="12"/>
      <c r="B28" s="13" t="s">
        <v>816</v>
      </c>
    </row>
    <row r="29" ht="15.75" spans="1:2">
      <c r="A29" s="12"/>
      <c r="B29" s="13" t="s">
        <v>817</v>
      </c>
    </row>
    <row r="30" ht="15.75" spans="1:2">
      <c r="A30" s="12"/>
      <c r="B30" s="13"/>
    </row>
    <row r="31" ht="15.75" spans="1:2">
      <c r="A31" s="10">
        <v>3</v>
      </c>
      <c r="B31" s="11" t="s">
        <v>818</v>
      </c>
    </row>
    <row r="32" ht="15.75" spans="1:2">
      <c r="A32" s="12"/>
      <c r="B32" s="13" t="s">
        <v>819</v>
      </c>
    </row>
    <row r="33" ht="15.75" spans="1:2">
      <c r="A33" s="12"/>
      <c r="B33" s="13" t="s">
        <v>820</v>
      </c>
    </row>
    <row r="34" ht="15.75" spans="1:2">
      <c r="A34" s="12"/>
      <c r="B34" s="13" t="s">
        <v>821</v>
      </c>
    </row>
    <row r="35" ht="15.75" spans="1:2">
      <c r="A35" s="12"/>
      <c r="B35" s="13" t="s">
        <v>822</v>
      </c>
    </row>
    <row r="36" ht="15.75" spans="1:2">
      <c r="A36" s="12"/>
      <c r="B36" s="13" t="s">
        <v>823</v>
      </c>
    </row>
    <row r="37" ht="15.75" spans="1:2">
      <c r="A37" s="12"/>
      <c r="B37" s="13"/>
    </row>
    <row r="38" ht="15.75" spans="1:2">
      <c r="A38" s="10">
        <v>4</v>
      </c>
      <c r="B38" s="11" t="s">
        <v>824</v>
      </c>
    </row>
    <row r="39" ht="15.75" spans="1:2">
      <c r="A39" s="12"/>
      <c r="B39" s="13" t="s">
        <v>825</v>
      </c>
    </row>
    <row r="40" ht="15.75" spans="1:2">
      <c r="A40" s="12"/>
      <c r="B40" s="13" t="s">
        <v>826</v>
      </c>
    </row>
    <row r="41" ht="15.75" spans="1:2">
      <c r="A41" s="12"/>
      <c r="B41" s="13" t="s">
        <v>827</v>
      </c>
    </row>
    <row r="42" ht="15.75" spans="1:2">
      <c r="A42" s="12"/>
      <c r="B42" s="13"/>
    </row>
    <row r="43" ht="15.75" spans="1:2">
      <c r="A43" s="10">
        <v>5</v>
      </c>
      <c r="B43" s="11" t="s">
        <v>828</v>
      </c>
    </row>
    <row r="44" ht="15.75" spans="1:2">
      <c r="A44" s="12"/>
      <c r="B44" s="13" t="s">
        <v>829</v>
      </c>
    </row>
    <row r="45" ht="15.75" spans="1:2">
      <c r="A45" s="12"/>
      <c r="B45" s="13" t="s">
        <v>830</v>
      </c>
    </row>
    <row r="46" ht="15.75" spans="1:2">
      <c r="A46" s="12"/>
      <c r="B46" s="13" t="s">
        <v>831</v>
      </c>
    </row>
    <row r="47" ht="15.75" spans="1:2">
      <c r="A47" s="12"/>
      <c r="B47" s="13"/>
    </row>
    <row r="48" ht="15.75" spans="1:2">
      <c r="A48" s="10">
        <v>6</v>
      </c>
      <c r="B48" s="14" t="s">
        <v>832</v>
      </c>
    </row>
    <row r="49" ht="15.75" spans="1:2">
      <c r="A49" s="12"/>
      <c r="B49" s="13" t="s">
        <v>833</v>
      </c>
    </row>
    <row r="50" ht="15.75" spans="1:2">
      <c r="A50" s="12"/>
      <c r="B50" s="13" t="s">
        <v>834</v>
      </c>
    </row>
    <row r="51" ht="15.75" spans="1:2">
      <c r="A51" s="12"/>
      <c r="B51" s="13" t="s">
        <v>835</v>
      </c>
    </row>
    <row r="52" ht="15.75" spans="1:2">
      <c r="A52" s="12"/>
      <c r="B52" s="13" t="s">
        <v>836</v>
      </c>
    </row>
    <row r="53" ht="15.75" spans="1:2">
      <c r="A53" s="12"/>
      <c r="B53" s="13" t="s">
        <v>837</v>
      </c>
    </row>
    <row r="54" ht="15.75" spans="1:2">
      <c r="A54" s="12"/>
      <c r="B54" s="13" t="s">
        <v>838</v>
      </c>
    </row>
    <row r="55" ht="15.75" spans="1:2">
      <c r="A55" s="12"/>
      <c r="B55" s="13"/>
    </row>
    <row r="56" ht="15.75" spans="1:2">
      <c r="A56" s="10">
        <v>7</v>
      </c>
      <c r="B56" s="11" t="s">
        <v>839</v>
      </c>
    </row>
    <row r="57" ht="15.75" spans="1:2">
      <c r="A57" s="12"/>
      <c r="B57" s="13" t="s">
        <v>840</v>
      </c>
    </row>
    <row r="58" ht="15.75" spans="1:2">
      <c r="A58" s="12"/>
      <c r="B58" s="13" t="s">
        <v>841</v>
      </c>
    </row>
    <row r="59" ht="15.75" spans="1:2">
      <c r="A59" s="12"/>
      <c r="B59" s="13"/>
    </row>
  </sheetData>
  <mergeCells count="1">
    <mergeCell ref="A14:D14"/>
  </mergeCells>
  <hyperlinks>
    <hyperlink ref="B10" r:id="rId1" display="https://www.alphaspread.com/"/>
    <hyperlink ref="B7" r:id="rId2" display="https://www.google.com/finance/?hl=en"/>
    <hyperlink ref="B8" r:id="rId3" display="https://www.gurufocus.com/"/>
    <hyperlink ref="B9" r:id="rId4" display="https://finviz.com/"/>
    <hyperlink ref="B6" r:id="rId5" display="https://finance.yahoo.com/"/>
    <hyperlink ref="B3" r:id="rId6" display="https://www.sharesansar.com/"/>
    <hyperlink ref="B4" r:id="rId7" display="https://www.nepalipaisa.com/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1. Appendix</vt:lpstr>
      <vt:lpstr>2. Compounding Formula</vt:lpstr>
      <vt:lpstr>3.1 Banks</vt:lpstr>
      <vt:lpstr>3.2 Banks ratio</vt:lpstr>
      <vt:lpstr>3.3 Bank Final</vt:lpstr>
      <vt:lpstr>4.1 Devlop Banks</vt:lpstr>
      <vt:lpstr>4.2 Devlop Bank Ratio</vt:lpstr>
      <vt:lpstr>4.3 Devlop Bank Final</vt:lpstr>
      <vt:lpstr>5.1 Hydropower</vt:lpstr>
      <vt:lpstr>5.2 Hydro ratio</vt:lpstr>
      <vt:lpstr>5.3 Hydro Final</vt:lpstr>
      <vt:lpstr>6.1 Manufacturing</vt:lpstr>
      <vt:lpstr>6.2 Manufacturing Ratio</vt:lpstr>
      <vt:lpstr>6.3 Manufacturing Final</vt:lpstr>
      <vt:lpstr>7.1 Finances</vt:lpstr>
      <vt:lpstr>7.2 Finances Ratio</vt:lpstr>
      <vt:lpstr>7.3 Finance Final</vt:lpstr>
      <vt:lpstr>8.1 Micro-Finance</vt:lpstr>
      <vt:lpstr>8.2 Microfinance Ratio</vt:lpstr>
      <vt:lpstr>8.3 Microfinance Final</vt:lpstr>
      <vt:lpstr>9.1 Insurance</vt:lpstr>
      <vt:lpstr>9.2 Insurance ratio</vt:lpstr>
      <vt:lpstr>9.3 Insurance Final</vt:lpstr>
      <vt:lpstr>10.1 Non-life Insurance</vt:lpstr>
      <vt:lpstr>10.2 Non-life Inc. Ratio</vt:lpstr>
      <vt:lpstr>10.3 Non-life Inc. Final</vt:lpstr>
      <vt:lpstr>11.1 Investment</vt:lpstr>
      <vt:lpstr>11.2 Investment Ratio</vt:lpstr>
      <vt:lpstr>12.1 Others &amp; Trading</vt:lpstr>
      <vt:lpstr>12.2 Others &amp; Trading Ratio</vt:lpstr>
      <vt:lpstr>13.1 Hotel &amp; Tourism</vt:lpstr>
      <vt:lpstr>13.2 Hotel &amp; Tourism Ratio</vt:lpstr>
      <vt:lpstr>13.3 H&amp;T Final</vt:lpstr>
      <vt:lpstr>14. Tools &amp; Checklists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Chalise</dc:creator>
  <cp:lastModifiedBy>&amp;is Manandhar</cp:lastModifiedBy>
  <dcterms:created xsi:type="dcterms:W3CDTF">2015-06-05T18:17:00Z</dcterms:created>
  <cp:lastPrinted>2025-03-17T16:59:00Z</cp:lastPrinted>
  <dcterms:modified xsi:type="dcterms:W3CDTF">2026-06-12T16:15:01Z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6D941782C6C34B8B98D595168693FE49_12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